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46132</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46132</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46132</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46132</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46132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46132</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46101.36954861111</v>
      </c>
      <c r="C13" s="1" t="n">
        <v>46132</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46132</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46132</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46132</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46132</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46132</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46132</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46132</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46132</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46132</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46132</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55016-2025</t>
        </is>
      </c>
      <c r="B24" s="1" t="n">
        <v>45967</v>
      </c>
      <c r="C24" s="1" t="n">
        <v>46132</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46132</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46132</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46132</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46132</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46132</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46132</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46132</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46132</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46132</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46132</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46132</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46132</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46132</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46132</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46132</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46132</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46132</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46132</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46132</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46132</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46132</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42634-2025</t>
        </is>
      </c>
      <c r="B46" s="1" t="n">
        <v>45905.90519675926</v>
      </c>
      <c r="C46" s="1" t="n">
        <v>46132</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46132</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12721-2024</t>
        </is>
      </c>
      <c r="B48" s="1" t="n">
        <v>45384.48111111111</v>
      </c>
      <c r="C48" s="1" t="n">
        <v>46132</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16398-2025</t>
        </is>
      </c>
      <c r="B49" s="1" t="n">
        <v>45751.44270833334</v>
      </c>
      <c r="C49" s="1" t="n">
        <v>46132</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46132</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46132</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46132</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46132</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46132</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46132</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46132</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15758-2023</t>
        </is>
      </c>
      <c r="B57" s="1" t="n">
        <v>45021</v>
      </c>
      <c r="C57" s="1" t="n">
        <v>46132</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54241-2025</t>
        </is>
      </c>
      <c r="B58" s="1" t="n">
        <v>45964.63199074074</v>
      </c>
      <c r="C58" s="1" t="n">
        <v>46132</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38916-2023</t>
        </is>
      </c>
      <c r="B59" s="1" t="n">
        <v>45163</v>
      </c>
      <c r="C59" s="1" t="n">
        <v>46132</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46132</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43429-2024</t>
        </is>
      </c>
      <c r="B61" s="1" t="n">
        <v>45568.63905092593</v>
      </c>
      <c r="C61" s="1" t="n">
        <v>46132</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46132</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59520-2025</t>
        </is>
      </c>
      <c r="B63" s="1" t="n">
        <v>45989</v>
      </c>
      <c r="C63" s="1" t="n">
        <v>46132</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46132</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14339-2026</t>
        </is>
      </c>
      <c r="B65" s="1" t="n">
        <v>46100.32696759259</v>
      </c>
      <c r="C65" s="1" t="n">
        <v>46132</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46132</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16286-2026</t>
        </is>
      </c>
      <c r="B67" s="1" t="n">
        <v>46111.50828703704</v>
      </c>
      <c r="C67" s="1" t="n">
        <v>46132</v>
      </c>
      <c r="D67" t="inlineStr">
        <is>
          <t>ÖREBRO LÄN</t>
        </is>
      </c>
      <c r="E67" t="inlineStr">
        <is>
          <t>NORA</t>
        </is>
      </c>
      <c r="G67" t="n">
        <v>4.6</v>
      </c>
      <c r="H67" t="n">
        <v>1</v>
      </c>
      <c r="I67" t="n">
        <v>4</v>
      </c>
      <c r="J67" t="n">
        <v>1</v>
      </c>
      <c r="K67" t="n">
        <v>0</v>
      </c>
      <c r="L67" t="n">
        <v>0</v>
      </c>
      <c r="M67" t="n">
        <v>0</v>
      </c>
      <c r="N67" t="n">
        <v>0</v>
      </c>
      <c r="O67" t="n">
        <v>1</v>
      </c>
      <c r="P67" t="n">
        <v>0</v>
      </c>
      <c r="Q67" t="n">
        <v>6</v>
      </c>
      <c r="R67" s="2" t="inlineStr">
        <is>
          <t>Orange taggsvamp
Dropptaggsvamp
Mindre märgborre
Rostfläck
Vedticka
Fläcknycklar</t>
        </is>
      </c>
      <c r="S67">
        <f>HYPERLINK("https://klasma.github.io/Logging_1884/artfynd/A 16286-2026 artfynd.xlsx", "A 16286-2026")</f>
        <v/>
      </c>
      <c r="T67">
        <f>HYPERLINK("https://klasma.github.io/Logging_1884/kartor/A 16286-2026 karta.png", "A 16286-2026")</f>
        <v/>
      </c>
      <c r="V67">
        <f>HYPERLINK("https://klasma.github.io/Logging_1884/klagomål/A 16286-2026 FSC-klagomål.docx", "A 16286-2026")</f>
        <v/>
      </c>
      <c r="W67">
        <f>HYPERLINK("https://klasma.github.io/Logging_1884/klagomålsmail/A 16286-2026 FSC-klagomål mail.docx", "A 16286-2026")</f>
        <v/>
      </c>
      <c r="X67">
        <f>HYPERLINK("https://klasma.github.io/Logging_1884/tillsyn/A 16286-2026 tillsynsbegäran.docx", "A 16286-2026")</f>
        <v/>
      </c>
      <c r="Y67">
        <f>HYPERLINK("https://klasma.github.io/Logging_1884/tillsynsmail/A 16286-2026 tillsynsbegäran mail.docx", "A 16286-2026")</f>
        <v/>
      </c>
    </row>
    <row r="68" ht="15" customHeight="1">
      <c r="A68" t="inlineStr">
        <is>
          <t>A 55852-2024</t>
        </is>
      </c>
      <c r="B68" s="1" t="n">
        <v>45623</v>
      </c>
      <c r="C68" s="1" t="n">
        <v>46132</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15075-2022</t>
        </is>
      </c>
      <c r="B69" s="1" t="n">
        <v>44657</v>
      </c>
      <c r="C69" s="1" t="n">
        <v>46132</v>
      </c>
      <c r="D69" t="inlineStr">
        <is>
          <t>ÖREBRO LÄN</t>
        </is>
      </c>
      <c r="E69" t="inlineStr">
        <is>
          <t>HALLSBERG</t>
        </is>
      </c>
      <c r="G69" t="n">
        <v>3.5</v>
      </c>
      <c r="H69" t="n">
        <v>2</v>
      </c>
      <c r="I69" t="n">
        <v>3</v>
      </c>
      <c r="J69" t="n">
        <v>2</v>
      </c>
      <c r="K69" t="n">
        <v>0</v>
      </c>
      <c r="L69" t="n">
        <v>0</v>
      </c>
      <c r="M69" t="n">
        <v>0</v>
      </c>
      <c r="N69" t="n">
        <v>0</v>
      </c>
      <c r="O69" t="n">
        <v>2</v>
      </c>
      <c r="P69" t="n">
        <v>0</v>
      </c>
      <c r="Q69" t="n">
        <v>6</v>
      </c>
      <c r="R69" s="2" t="inlineStr">
        <is>
          <t>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45254.63260416667</v>
      </c>
      <c r="C70" s="1" t="n">
        <v>46132</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46132</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46132</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12560-2025</t>
        </is>
      </c>
      <c r="B73" s="1" t="n">
        <v>45731.48357638889</v>
      </c>
      <c r="C73" s="1" t="n">
        <v>46132</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65217-2021</t>
        </is>
      </c>
      <c r="B74" s="1" t="n">
        <v>44515</v>
      </c>
      <c r="C74" s="1" t="n">
        <v>46132</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46132</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43619-2024</t>
        </is>
      </c>
      <c r="B76" s="1" t="n">
        <v>45569</v>
      </c>
      <c r="C76" s="1" t="n">
        <v>46132</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63227-2023</t>
        </is>
      </c>
      <c r="B77" s="1" t="n">
        <v>45272</v>
      </c>
      <c r="C77" s="1" t="n">
        <v>46132</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41520-2023</t>
        </is>
      </c>
      <c r="B78" s="1" t="n">
        <v>45175</v>
      </c>
      <c r="C78" s="1" t="n">
        <v>46132</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3025-2026</t>
        </is>
      </c>
      <c r="B79" s="1" t="n">
        <v>46038.67769675926</v>
      </c>
      <c r="C79" s="1" t="n">
        <v>46132</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14341-2026</t>
        </is>
      </c>
      <c r="B80" s="1" t="n">
        <v>46100.32896990741</v>
      </c>
      <c r="C80" s="1" t="n">
        <v>46132</v>
      </c>
      <c r="D80" t="inlineStr">
        <is>
          <t>ÖREBRO LÄN</t>
        </is>
      </c>
      <c r="E80" t="inlineStr">
        <is>
          <t>HÄLLEFORS</t>
        </is>
      </c>
      <c r="F80" t="inlineStr">
        <is>
          <t>Sveaskog</t>
        </is>
      </c>
      <c r="G80" t="n">
        <v>3.1</v>
      </c>
      <c r="H80" t="n">
        <v>4</v>
      </c>
      <c r="I80" t="n">
        <v>1</v>
      </c>
      <c r="J80" t="n">
        <v>3</v>
      </c>
      <c r="K80" t="n">
        <v>0</v>
      </c>
      <c r="L80" t="n">
        <v>0</v>
      </c>
      <c r="M80" t="n">
        <v>0</v>
      </c>
      <c r="N80" t="n">
        <v>0</v>
      </c>
      <c r="O80" t="n">
        <v>3</v>
      </c>
      <c r="P80" t="n">
        <v>0</v>
      </c>
      <c r="Q80" t="n">
        <v>5</v>
      </c>
      <c r="R80" s="2" t="inlineStr">
        <is>
          <t>Järpe
Spillkråka
Talltita
Vedticka
Revlummer</t>
        </is>
      </c>
      <c r="S80">
        <f>HYPERLINK("https://klasma.github.io/Logging_1863/artfynd/A 14341-2026 artfynd.xlsx", "A 14341-2026")</f>
        <v/>
      </c>
      <c r="T80">
        <f>HYPERLINK("https://klasma.github.io/Logging_1863/kartor/A 14341-2026 karta.png", "A 14341-2026")</f>
        <v/>
      </c>
      <c r="V80">
        <f>HYPERLINK("https://klasma.github.io/Logging_1863/klagomål/A 14341-2026 FSC-klagomål.docx", "A 14341-2026")</f>
        <v/>
      </c>
      <c r="W80">
        <f>HYPERLINK("https://klasma.github.io/Logging_1863/klagomålsmail/A 14341-2026 FSC-klagomål mail.docx", "A 14341-2026")</f>
        <v/>
      </c>
      <c r="X80">
        <f>HYPERLINK("https://klasma.github.io/Logging_1863/tillsyn/A 14341-2026 tillsynsbegäran.docx", "A 14341-2026")</f>
        <v/>
      </c>
      <c r="Y80">
        <f>HYPERLINK("https://klasma.github.io/Logging_1863/tillsynsmail/A 14341-2026 tillsynsbegäran mail.docx", "A 14341-2026")</f>
        <v/>
      </c>
      <c r="Z80">
        <f>HYPERLINK("https://klasma.github.io/Logging_1863/fåglar/A 14341-2026 prioriterade fågelarter.docx", "A 14341-2026")</f>
        <v/>
      </c>
    </row>
    <row r="81" ht="15" customHeight="1">
      <c r="A81" t="inlineStr">
        <is>
          <t>A 8178-2026</t>
        </is>
      </c>
      <c r="B81" s="1" t="n">
        <v>46064.41263888889</v>
      </c>
      <c r="C81" s="1" t="n">
        <v>46132</v>
      </c>
      <c r="D81" t="inlineStr">
        <is>
          <t>ÖREBRO LÄN</t>
        </is>
      </c>
      <c r="E81" t="inlineStr">
        <is>
          <t>LINDESBERG</t>
        </is>
      </c>
      <c r="G81" t="n">
        <v>2.4</v>
      </c>
      <c r="H81" t="n">
        <v>3</v>
      </c>
      <c r="I81" t="n">
        <v>1</v>
      </c>
      <c r="J81" t="n">
        <v>2</v>
      </c>
      <c r="K81" t="n">
        <v>0</v>
      </c>
      <c r="L81" t="n">
        <v>1</v>
      </c>
      <c r="M81" t="n">
        <v>0</v>
      </c>
      <c r="N81" t="n">
        <v>0</v>
      </c>
      <c r="O81" t="n">
        <v>3</v>
      </c>
      <c r="P81" t="n">
        <v>1</v>
      </c>
      <c r="Q81" t="n">
        <v>5</v>
      </c>
      <c r="R81" s="2" t="inlineStr">
        <is>
          <t>Asknätfjäril
Entita
Gul taggsvamp
Thomsons trägnagare
Blåsippa</t>
        </is>
      </c>
      <c r="S81">
        <f>HYPERLINK("https://klasma.github.io/Logging_1885/artfynd/A 8178-2026 artfynd.xlsx", "A 8178-2026")</f>
        <v/>
      </c>
      <c r="T81">
        <f>HYPERLINK("https://klasma.github.io/Logging_1885/kartor/A 8178-2026 karta.png", "A 8178-2026")</f>
        <v/>
      </c>
      <c r="V81">
        <f>HYPERLINK("https://klasma.github.io/Logging_1885/klagomål/A 8178-2026 FSC-klagomål.docx", "A 8178-2026")</f>
        <v/>
      </c>
      <c r="W81">
        <f>HYPERLINK("https://klasma.github.io/Logging_1885/klagomålsmail/A 8178-2026 FSC-klagomål mail.docx", "A 8178-2026")</f>
        <v/>
      </c>
      <c r="X81">
        <f>HYPERLINK("https://klasma.github.io/Logging_1885/tillsyn/A 8178-2026 tillsynsbegäran.docx", "A 8178-2026")</f>
        <v/>
      </c>
      <c r="Y81">
        <f>HYPERLINK("https://klasma.github.io/Logging_1885/tillsynsmail/A 8178-2026 tillsynsbegäran mail.docx", "A 8178-2026")</f>
        <v/>
      </c>
      <c r="Z81">
        <f>HYPERLINK("https://klasma.github.io/Logging_1885/fåglar/A 8178-2026 prioriterade fågelarter.docx", "A 8178-2026")</f>
        <v/>
      </c>
    </row>
    <row r="82" ht="15" customHeight="1">
      <c r="A82" t="inlineStr">
        <is>
          <t>A 60587-2025</t>
        </is>
      </c>
      <c r="B82" s="1" t="n">
        <v>45996.33436342593</v>
      </c>
      <c r="C82" s="1" t="n">
        <v>46132</v>
      </c>
      <c r="D82" t="inlineStr">
        <is>
          <t>ÖREBRO LÄN</t>
        </is>
      </c>
      <c r="E82" t="inlineStr">
        <is>
          <t>LAXÅ</t>
        </is>
      </c>
      <c r="F82" t="inlineStr">
        <is>
          <t>Sveaskog</t>
        </is>
      </c>
      <c r="G82" t="n">
        <v>4.6</v>
      </c>
      <c r="H82" t="n">
        <v>5</v>
      </c>
      <c r="I82" t="n">
        <v>0</v>
      </c>
      <c r="J82" t="n">
        <v>3</v>
      </c>
      <c r="K82" t="n">
        <v>0</v>
      </c>
      <c r="L82" t="n">
        <v>0</v>
      </c>
      <c r="M82" t="n">
        <v>0</v>
      </c>
      <c r="N82" t="n">
        <v>0</v>
      </c>
      <c r="O82" t="n">
        <v>3</v>
      </c>
      <c r="P82" t="n">
        <v>0</v>
      </c>
      <c r="Q82" t="n">
        <v>5</v>
      </c>
      <c r="R82" s="2" t="inlineStr">
        <is>
          <t>Spillkråka
Talltita
Tretåig hackspett
Tjäder
Mattlummer</t>
        </is>
      </c>
      <c r="S82">
        <f>HYPERLINK("https://klasma.github.io/Logging_1860/artfynd/A 60587-2025 artfynd.xlsx", "A 60587-2025")</f>
        <v/>
      </c>
      <c r="T82">
        <f>HYPERLINK("https://klasma.github.io/Logging_1860/kartor/A 60587-2025 karta.png", "A 60587-2025")</f>
        <v/>
      </c>
      <c r="V82">
        <f>HYPERLINK("https://klasma.github.io/Logging_1860/klagomål/A 60587-2025 FSC-klagomål.docx", "A 60587-2025")</f>
        <v/>
      </c>
      <c r="W82">
        <f>HYPERLINK("https://klasma.github.io/Logging_1860/klagomålsmail/A 60587-2025 FSC-klagomål mail.docx", "A 60587-2025")</f>
        <v/>
      </c>
      <c r="X82">
        <f>HYPERLINK("https://klasma.github.io/Logging_1860/tillsyn/A 60587-2025 tillsynsbegäran.docx", "A 60587-2025")</f>
        <v/>
      </c>
      <c r="Y82">
        <f>HYPERLINK("https://klasma.github.io/Logging_1860/tillsynsmail/A 60587-2025 tillsynsbegäran mail.docx", "A 60587-2025")</f>
        <v/>
      </c>
      <c r="Z82">
        <f>HYPERLINK("https://klasma.github.io/Logging_1860/fåglar/A 60587-2025 prioriterade fågelarter.docx", "A 60587-2025")</f>
        <v/>
      </c>
    </row>
    <row r="83" ht="15" customHeight="1">
      <c r="A83" t="inlineStr">
        <is>
          <t>A 56010-2025</t>
        </is>
      </c>
      <c r="B83" s="1" t="n">
        <v>45973.58516203704</v>
      </c>
      <c r="C83" s="1" t="n">
        <v>46132</v>
      </c>
      <c r="D83" t="inlineStr">
        <is>
          <t>ÖREBRO LÄN</t>
        </is>
      </c>
      <c r="E83" t="inlineStr">
        <is>
          <t>LAXÅ</t>
        </is>
      </c>
      <c r="F83" t="inlineStr">
        <is>
          <t>Sveaskog</t>
        </is>
      </c>
      <c r="G83" t="n">
        <v>1.5</v>
      </c>
      <c r="H83" t="n">
        <v>3</v>
      </c>
      <c r="I83" t="n">
        <v>2</v>
      </c>
      <c r="J83" t="n">
        <v>2</v>
      </c>
      <c r="K83" t="n">
        <v>0</v>
      </c>
      <c r="L83" t="n">
        <v>0</v>
      </c>
      <c r="M83" t="n">
        <v>0</v>
      </c>
      <c r="N83" t="n">
        <v>0</v>
      </c>
      <c r="O83" t="n">
        <v>2</v>
      </c>
      <c r="P83" t="n">
        <v>0</v>
      </c>
      <c r="Q83" t="n">
        <v>5</v>
      </c>
      <c r="R83" s="2" t="inlineStr">
        <is>
          <t>Spillkråka
Tretåig hackspett
Vedticka
Vågbandad barkbock
Tjäder</t>
        </is>
      </c>
      <c r="S83">
        <f>HYPERLINK("https://klasma.github.io/Logging_1860/artfynd/A 56010-2025 artfynd.xlsx", "A 56010-2025")</f>
        <v/>
      </c>
      <c r="T83">
        <f>HYPERLINK("https://klasma.github.io/Logging_1860/kartor/A 56010-2025 karta.png", "A 56010-2025")</f>
        <v/>
      </c>
      <c r="V83">
        <f>HYPERLINK("https://klasma.github.io/Logging_1860/klagomål/A 56010-2025 FSC-klagomål.docx", "A 56010-2025")</f>
        <v/>
      </c>
      <c r="W83">
        <f>HYPERLINK("https://klasma.github.io/Logging_1860/klagomålsmail/A 56010-2025 FSC-klagomål mail.docx", "A 56010-2025")</f>
        <v/>
      </c>
      <c r="X83">
        <f>HYPERLINK("https://klasma.github.io/Logging_1860/tillsyn/A 56010-2025 tillsynsbegäran.docx", "A 56010-2025")</f>
        <v/>
      </c>
      <c r="Y83">
        <f>HYPERLINK("https://klasma.github.io/Logging_1860/tillsynsmail/A 56010-2025 tillsynsbegäran mail.docx", "A 56010-2025")</f>
        <v/>
      </c>
      <c r="Z83">
        <f>HYPERLINK("https://klasma.github.io/Logging_1860/fåglar/A 56010-2025 prioriterade fågelarter.docx", "A 56010-2025")</f>
        <v/>
      </c>
    </row>
    <row r="84" ht="15" customHeight="1">
      <c r="A84" t="inlineStr">
        <is>
          <t>A 11444-2026</t>
        </is>
      </c>
      <c r="B84" s="1" t="n">
        <v>46083.5328125</v>
      </c>
      <c r="C84" s="1" t="n">
        <v>46132</v>
      </c>
      <c r="D84" t="inlineStr">
        <is>
          <t>ÖREBRO LÄN</t>
        </is>
      </c>
      <c r="E84" t="inlineStr">
        <is>
          <t>LJUSNARSBERG</t>
        </is>
      </c>
      <c r="G84" t="n">
        <v>41.9</v>
      </c>
      <c r="H84" t="n">
        <v>4</v>
      </c>
      <c r="I84" t="n">
        <v>1</v>
      </c>
      <c r="J84" t="n">
        <v>1</v>
      </c>
      <c r="K84" t="n">
        <v>0</v>
      </c>
      <c r="L84" t="n">
        <v>0</v>
      </c>
      <c r="M84" t="n">
        <v>0</v>
      </c>
      <c r="N84" t="n">
        <v>0</v>
      </c>
      <c r="O84" t="n">
        <v>1</v>
      </c>
      <c r="P84" t="n">
        <v>0</v>
      </c>
      <c r="Q84" t="n">
        <v>5</v>
      </c>
      <c r="R84" s="2" t="inlineStr">
        <is>
          <t>Spillkråka
Mindre märgborre
Kungsfågel
Tjäder
Mattlummer</t>
        </is>
      </c>
      <c r="S84">
        <f>HYPERLINK("https://klasma.github.io/Logging_1864/artfynd/A 11444-2026 artfynd.xlsx", "A 11444-2026")</f>
        <v/>
      </c>
      <c r="T84">
        <f>HYPERLINK("https://klasma.github.io/Logging_1864/kartor/A 11444-2026 karta.png", "A 11444-2026")</f>
        <v/>
      </c>
      <c r="V84">
        <f>HYPERLINK("https://klasma.github.io/Logging_1864/klagomål/A 11444-2026 FSC-klagomål.docx", "A 11444-2026")</f>
        <v/>
      </c>
      <c r="W84">
        <f>HYPERLINK("https://klasma.github.io/Logging_1864/klagomålsmail/A 11444-2026 FSC-klagomål mail.docx", "A 11444-2026")</f>
        <v/>
      </c>
      <c r="X84">
        <f>HYPERLINK("https://klasma.github.io/Logging_1864/tillsyn/A 11444-2026 tillsynsbegäran.docx", "A 11444-2026")</f>
        <v/>
      </c>
      <c r="Y84">
        <f>HYPERLINK("https://klasma.github.io/Logging_1864/tillsynsmail/A 11444-2026 tillsynsbegäran mail.docx", "A 11444-2026")</f>
        <v/>
      </c>
      <c r="Z84">
        <f>HYPERLINK("https://klasma.github.io/Logging_1864/fåglar/A 11444-2026 prioriterade fågelarter.docx", "A 11444-2026")</f>
        <v/>
      </c>
    </row>
    <row r="85" ht="15" customHeight="1">
      <c r="A85" t="inlineStr">
        <is>
          <t>A 15267-2025</t>
        </is>
      </c>
      <c r="B85" s="1" t="n">
        <v>45744.66456018519</v>
      </c>
      <c r="C85" s="1" t="n">
        <v>46132</v>
      </c>
      <c r="D85" t="inlineStr">
        <is>
          <t>ÖREBRO LÄN</t>
        </is>
      </c>
      <c r="E85" t="inlineStr">
        <is>
          <t>KARLSKOGA</t>
        </is>
      </c>
      <c r="F85" t="inlineStr">
        <is>
          <t>Sveaskog</t>
        </is>
      </c>
      <c r="G85" t="n">
        <v>1.6</v>
      </c>
      <c r="H85" t="n">
        <v>3</v>
      </c>
      <c r="I85" t="n">
        <v>2</v>
      </c>
      <c r="J85" t="n">
        <v>2</v>
      </c>
      <c r="K85" t="n">
        <v>0</v>
      </c>
      <c r="L85" t="n">
        <v>0</v>
      </c>
      <c r="M85" t="n">
        <v>0</v>
      </c>
      <c r="N85" t="n">
        <v>0</v>
      </c>
      <c r="O85" t="n">
        <v>2</v>
      </c>
      <c r="P85" t="n">
        <v>0</v>
      </c>
      <c r="Q85" t="n">
        <v>5</v>
      </c>
      <c r="R85" s="2" t="inlineStr">
        <is>
          <t>Garnlav
Tretåig hackspett
Plattlummer
Vedticka
Tjäder</t>
        </is>
      </c>
      <c r="S85">
        <f>HYPERLINK("https://klasma.github.io/Logging_1883/artfynd/A 15267-2025 artfynd.xlsx", "A 15267-2025")</f>
        <v/>
      </c>
      <c r="T85">
        <f>HYPERLINK("https://klasma.github.io/Logging_1883/kartor/A 15267-2025 karta.png", "A 15267-2025")</f>
        <v/>
      </c>
      <c r="V85">
        <f>HYPERLINK("https://klasma.github.io/Logging_1883/klagomål/A 15267-2025 FSC-klagomål.docx", "A 15267-2025")</f>
        <v/>
      </c>
      <c r="W85">
        <f>HYPERLINK("https://klasma.github.io/Logging_1883/klagomålsmail/A 15267-2025 FSC-klagomål mail.docx", "A 15267-2025")</f>
        <v/>
      </c>
      <c r="X85">
        <f>HYPERLINK("https://klasma.github.io/Logging_1883/tillsyn/A 15267-2025 tillsynsbegäran.docx", "A 15267-2025")</f>
        <v/>
      </c>
      <c r="Y85">
        <f>HYPERLINK("https://klasma.github.io/Logging_1883/tillsynsmail/A 15267-2025 tillsynsbegäran mail.docx", "A 15267-2025")</f>
        <v/>
      </c>
      <c r="Z85">
        <f>HYPERLINK("https://klasma.github.io/Logging_1883/fåglar/A 15267-2025 prioriterade fågelarter.docx", "A 15267-2025")</f>
        <v/>
      </c>
    </row>
    <row r="86" ht="15" customHeight="1">
      <c r="A86" t="inlineStr">
        <is>
          <t>A 2424-2022</t>
        </is>
      </c>
      <c r="B86" s="1" t="n">
        <v>44579</v>
      </c>
      <c r="C86" s="1" t="n">
        <v>46132</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46132</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46132</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46132</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39189-2025</t>
        </is>
      </c>
      <c r="B90" s="1" t="n">
        <v>45888.67560185185</v>
      </c>
      <c r="C90" s="1" t="n">
        <v>46132</v>
      </c>
      <c r="D90" t="inlineStr">
        <is>
          <t>ÖREBRO LÄN</t>
        </is>
      </c>
      <c r="E90" t="inlineStr">
        <is>
          <t>LINDESBERG</t>
        </is>
      </c>
      <c r="G90" t="n">
        <v>2.1</v>
      </c>
      <c r="H90" t="n">
        <v>0</v>
      </c>
      <c r="I90" t="n">
        <v>2</v>
      </c>
      <c r="J90" t="n">
        <v>2</v>
      </c>
      <c r="K90" t="n">
        <v>0</v>
      </c>
      <c r="L90" t="n">
        <v>0</v>
      </c>
      <c r="M90" t="n">
        <v>0</v>
      </c>
      <c r="N90" t="n">
        <v>0</v>
      </c>
      <c r="O90" t="n">
        <v>2</v>
      </c>
      <c r="P90" t="n">
        <v>0</v>
      </c>
      <c r="Q90" t="n">
        <v>4</v>
      </c>
      <c r="R90" s="2" t="inlineStr">
        <is>
          <t>Svartvit taggsvamp
Ullticka
Dropptaggsvamp
Vedticka</t>
        </is>
      </c>
      <c r="S90">
        <f>HYPERLINK("https://klasma.github.io/Logging_1885/artfynd/A 39189-2025 artfynd.xlsx", "A 39189-2025")</f>
        <v/>
      </c>
      <c r="T90">
        <f>HYPERLINK("https://klasma.github.io/Logging_1885/kartor/A 39189-2025 karta.png", "A 39189-2025")</f>
        <v/>
      </c>
      <c r="V90">
        <f>HYPERLINK("https://klasma.github.io/Logging_1885/klagomål/A 39189-2025 FSC-klagomål.docx", "A 39189-2025")</f>
        <v/>
      </c>
      <c r="W90">
        <f>HYPERLINK("https://klasma.github.io/Logging_1885/klagomålsmail/A 39189-2025 FSC-klagomål mail.docx", "A 39189-2025")</f>
        <v/>
      </c>
      <c r="X90">
        <f>HYPERLINK("https://klasma.github.io/Logging_1885/tillsyn/A 39189-2025 tillsynsbegäran.docx", "A 39189-2025")</f>
        <v/>
      </c>
      <c r="Y90">
        <f>HYPERLINK("https://klasma.github.io/Logging_1885/tillsynsmail/A 39189-2025 tillsynsbegäran mail.docx", "A 39189-2025")</f>
        <v/>
      </c>
    </row>
    <row r="91" ht="15" customHeight="1">
      <c r="A91" t="inlineStr">
        <is>
          <t>A 33069-2025</t>
        </is>
      </c>
      <c r="B91" s="1" t="n">
        <v>45840</v>
      </c>
      <c r="C91" s="1" t="n">
        <v>46132</v>
      </c>
      <c r="D91" t="inlineStr">
        <is>
          <t>ÖREBRO LÄN</t>
        </is>
      </c>
      <c r="E91" t="inlineStr">
        <is>
          <t>ÖREBRO</t>
        </is>
      </c>
      <c r="G91" t="n">
        <v>11.6</v>
      </c>
      <c r="H91" t="n">
        <v>4</v>
      </c>
      <c r="I91" t="n">
        <v>0</v>
      </c>
      <c r="J91" t="n">
        <v>0</v>
      </c>
      <c r="K91" t="n">
        <v>0</v>
      </c>
      <c r="L91" t="n">
        <v>0</v>
      </c>
      <c r="M91" t="n">
        <v>0</v>
      </c>
      <c r="N91" t="n">
        <v>0</v>
      </c>
      <c r="O91" t="n">
        <v>0</v>
      </c>
      <c r="P91" t="n">
        <v>0</v>
      </c>
      <c r="Q91" t="n">
        <v>4</v>
      </c>
      <c r="R91" s="2" t="inlineStr">
        <is>
          <t>Gröngöling
Mindre vattensalamander
Vanlig groda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42783-2025</t>
        </is>
      </c>
      <c r="B92" s="1" t="n">
        <v>45908.51018518519</v>
      </c>
      <c r="C92" s="1" t="n">
        <v>46132</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41623-2024</t>
        </is>
      </c>
      <c r="B93" s="1" t="n">
        <v>45560</v>
      </c>
      <c r="C93" s="1" t="n">
        <v>46132</v>
      </c>
      <c r="D93" t="inlineStr">
        <is>
          <t>ÖREBRO LÄN</t>
        </is>
      </c>
      <c r="E93" t="inlineStr">
        <is>
          <t>LJUSNARSBERG</t>
        </is>
      </c>
      <c r="G93" t="n">
        <v>0.5</v>
      </c>
      <c r="H93" t="n">
        <v>0</v>
      </c>
      <c r="I93" t="n">
        <v>0</v>
      </c>
      <c r="J93" t="n">
        <v>3</v>
      </c>
      <c r="K93" t="n">
        <v>1</v>
      </c>
      <c r="L93" t="n">
        <v>0</v>
      </c>
      <c r="M93" t="n">
        <v>0</v>
      </c>
      <c r="N93" t="n">
        <v>0</v>
      </c>
      <c r="O93" t="n">
        <v>4</v>
      </c>
      <c r="P93" t="n">
        <v>1</v>
      </c>
      <c r="Q93" t="n">
        <v>4</v>
      </c>
      <c r="R93" s="2" t="inlineStr">
        <is>
          <t>Skuggmalmätare
Brunflammig fältmätare
Glimmalmätare
Ligusterfly</t>
        </is>
      </c>
      <c r="S93">
        <f>HYPERLINK("https://klasma.github.io/Logging_1864/artfynd/A 41623-2024 artfynd.xlsx", "A 41623-2024")</f>
        <v/>
      </c>
      <c r="T93">
        <f>HYPERLINK("https://klasma.github.io/Logging_1864/kartor/A 41623-2024 karta.png", "A 41623-2024")</f>
        <v/>
      </c>
      <c r="V93">
        <f>HYPERLINK("https://klasma.github.io/Logging_1864/klagomål/A 41623-2024 FSC-klagomål.docx", "A 41623-2024")</f>
        <v/>
      </c>
      <c r="W93">
        <f>HYPERLINK("https://klasma.github.io/Logging_1864/klagomålsmail/A 41623-2024 FSC-klagomål mail.docx", "A 41623-2024")</f>
        <v/>
      </c>
      <c r="X93">
        <f>HYPERLINK("https://klasma.github.io/Logging_1864/tillsyn/A 41623-2024 tillsynsbegäran.docx", "A 41623-2024")</f>
        <v/>
      </c>
      <c r="Y93">
        <f>HYPERLINK("https://klasma.github.io/Logging_1864/tillsynsmail/A 41623-2024 tillsynsbegäran mail.docx", "A 41623-2024")</f>
        <v/>
      </c>
    </row>
    <row r="94" ht="15" customHeight="1">
      <c r="A94" t="inlineStr">
        <is>
          <t>A 7751-2024</t>
        </is>
      </c>
      <c r="B94" s="1" t="n">
        <v>45349</v>
      </c>
      <c r="C94" s="1" t="n">
        <v>46132</v>
      </c>
      <c r="D94" t="inlineStr">
        <is>
          <t>ÖREBRO LÄN</t>
        </is>
      </c>
      <c r="E94" t="inlineStr">
        <is>
          <t>ASKERSUND</t>
        </is>
      </c>
      <c r="G94" t="n">
        <v>12.4</v>
      </c>
      <c r="H94" t="n">
        <v>2</v>
      </c>
      <c r="I94" t="n">
        <v>0</v>
      </c>
      <c r="J94" t="n">
        <v>2</v>
      </c>
      <c r="K94" t="n">
        <v>0</v>
      </c>
      <c r="L94" t="n">
        <v>0</v>
      </c>
      <c r="M94" t="n">
        <v>0</v>
      </c>
      <c r="N94" t="n">
        <v>0</v>
      </c>
      <c r="O94" t="n">
        <v>2</v>
      </c>
      <c r="P94" t="n">
        <v>0</v>
      </c>
      <c r="Q94" t="n">
        <v>4</v>
      </c>
      <c r="R94" s="2" t="inlineStr">
        <is>
          <t>Slåtterfibbla
Svinrot
Fläcknycklar
Nattviol</t>
        </is>
      </c>
      <c r="S94">
        <f>HYPERLINK("https://klasma.github.io/Logging_1882/artfynd/A 7751-2024 artfynd.xlsx", "A 7751-2024")</f>
        <v/>
      </c>
      <c r="T94">
        <f>HYPERLINK("https://klasma.github.io/Logging_1882/kartor/A 7751-2024 karta.png", "A 7751-2024")</f>
        <v/>
      </c>
      <c r="V94">
        <f>HYPERLINK("https://klasma.github.io/Logging_1882/klagomål/A 7751-2024 FSC-klagomål.docx", "A 7751-2024")</f>
        <v/>
      </c>
      <c r="W94">
        <f>HYPERLINK("https://klasma.github.io/Logging_1882/klagomålsmail/A 7751-2024 FSC-klagomål mail.docx", "A 7751-2024")</f>
        <v/>
      </c>
      <c r="X94">
        <f>HYPERLINK("https://klasma.github.io/Logging_1882/tillsyn/A 7751-2024 tillsynsbegäran.docx", "A 7751-2024")</f>
        <v/>
      </c>
      <c r="Y94">
        <f>HYPERLINK("https://klasma.github.io/Logging_1882/tillsynsmail/A 7751-2024 tillsynsbegäran mail.docx", "A 7751-2024")</f>
        <v/>
      </c>
    </row>
    <row r="95" ht="15" customHeight="1">
      <c r="A95" t="inlineStr">
        <is>
          <t>A 47975-2025</t>
        </is>
      </c>
      <c r="B95" s="1" t="n">
        <v>45932</v>
      </c>
      <c r="C95" s="1" t="n">
        <v>46132</v>
      </c>
      <c r="D95" t="inlineStr">
        <is>
          <t>ÖREBRO LÄN</t>
        </is>
      </c>
      <c r="E95" t="inlineStr">
        <is>
          <t>DEGERFORS</t>
        </is>
      </c>
      <c r="G95" t="n">
        <v>11.8</v>
      </c>
      <c r="H95" t="n">
        <v>4</v>
      </c>
      <c r="I95" t="n">
        <v>0</v>
      </c>
      <c r="J95" t="n">
        <v>3</v>
      </c>
      <c r="K95" t="n">
        <v>0</v>
      </c>
      <c r="L95" t="n">
        <v>0</v>
      </c>
      <c r="M95" t="n">
        <v>0</v>
      </c>
      <c r="N95" t="n">
        <v>0</v>
      </c>
      <c r="O95" t="n">
        <v>3</v>
      </c>
      <c r="P95" t="n">
        <v>0</v>
      </c>
      <c r="Q95" t="n">
        <v>4</v>
      </c>
      <c r="R95" s="2" t="inlineStr">
        <is>
          <t>Kråka
Spillkråka
Tretåig hackspett
Kungsfågel</t>
        </is>
      </c>
      <c r="S95">
        <f>HYPERLINK("https://klasma.github.io/Logging_1862/artfynd/A 47975-2025 artfynd.xlsx", "A 47975-2025")</f>
        <v/>
      </c>
      <c r="T95">
        <f>HYPERLINK("https://klasma.github.io/Logging_1862/kartor/A 47975-2025 karta.png", "A 47975-2025")</f>
        <v/>
      </c>
      <c r="V95">
        <f>HYPERLINK("https://klasma.github.io/Logging_1862/klagomål/A 47975-2025 FSC-klagomål.docx", "A 47975-2025")</f>
        <v/>
      </c>
      <c r="W95">
        <f>HYPERLINK("https://klasma.github.io/Logging_1862/klagomålsmail/A 47975-2025 FSC-klagomål mail.docx", "A 47975-2025")</f>
        <v/>
      </c>
      <c r="X95">
        <f>HYPERLINK("https://klasma.github.io/Logging_1862/tillsyn/A 47975-2025 tillsynsbegäran.docx", "A 47975-2025")</f>
        <v/>
      </c>
      <c r="Y95">
        <f>HYPERLINK("https://klasma.github.io/Logging_1862/tillsynsmail/A 47975-2025 tillsynsbegäran mail.docx", "A 47975-2025")</f>
        <v/>
      </c>
      <c r="Z95">
        <f>HYPERLINK("https://klasma.github.io/Logging_1862/fåglar/A 47975-2025 prioriterade fågelarter.docx", "A 47975-2025")</f>
        <v/>
      </c>
    </row>
    <row r="96" ht="15" customHeight="1">
      <c r="A96" t="inlineStr">
        <is>
          <t>A 2441-2025</t>
        </is>
      </c>
      <c r="B96" s="1" t="n">
        <v>45674</v>
      </c>
      <c r="C96" s="1" t="n">
        <v>46132</v>
      </c>
      <c r="D96" t="inlineStr">
        <is>
          <t>ÖREBRO LÄN</t>
        </is>
      </c>
      <c r="E96" t="inlineStr">
        <is>
          <t>ASKERSUND</t>
        </is>
      </c>
      <c r="G96" t="n">
        <v>1.5</v>
      </c>
      <c r="H96" t="n">
        <v>2</v>
      </c>
      <c r="I96" t="n">
        <v>1</v>
      </c>
      <c r="J96" t="n">
        <v>1</v>
      </c>
      <c r="K96" t="n">
        <v>0</v>
      </c>
      <c r="L96" t="n">
        <v>0</v>
      </c>
      <c r="M96" t="n">
        <v>0</v>
      </c>
      <c r="N96" t="n">
        <v>0</v>
      </c>
      <c r="O96" t="n">
        <v>1</v>
      </c>
      <c r="P96" t="n">
        <v>0</v>
      </c>
      <c r="Q96" t="n">
        <v>4</v>
      </c>
      <c r="R96" s="2" t="inlineStr">
        <is>
          <t>Solvända
Svart trolldruva
Grönvit nattviol
Blåsippa</t>
        </is>
      </c>
      <c r="S96">
        <f>HYPERLINK("https://klasma.github.io/Logging_1882/artfynd/A 2441-2025 artfynd.xlsx", "A 2441-2025")</f>
        <v/>
      </c>
      <c r="T96">
        <f>HYPERLINK("https://klasma.github.io/Logging_1882/kartor/A 2441-2025 karta.png", "A 2441-2025")</f>
        <v/>
      </c>
      <c r="V96">
        <f>HYPERLINK("https://klasma.github.io/Logging_1882/klagomål/A 2441-2025 FSC-klagomål.docx", "A 2441-2025")</f>
        <v/>
      </c>
      <c r="W96">
        <f>HYPERLINK("https://klasma.github.io/Logging_1882/klagomålsmail/A 2441-2025 FSC-klagomål mail.docx", "A 2441-2025")</f>
        <v/>
      </c>
      <c r="X96">
        <f>HYPERLINK("https://klasma.github.io/Logging_1882/tillsyn/A 2441-2025 tillsynsbegäran.docx", "A 2441-2025")</f>
        <v/>
      </c>
      <c r="Y96">
        <f>HYPERLINK("https://klasma.github.io/Logging_1882/tillsynsmail/A 2441-2025 tillsynsbegäran mail.docx", "A 2441-2025")</f>
        <v/>
      </c>
    </row>
    <row r="97" ht="15" customHeight="1">
      <c r="A97" t="inlineStr">
        <is>
          <t>A 65216-2021</t>
        </is>
      </c>
      <c r="B97" s="1" t="n">
        <v>44515</v>
      </c>
      <c r="C97" s="1" t="n">
        <v>46132</v>
      </c>
      <c r="D97" t="inlineStr">
        <is>
          <t>ÖREBRO LÄN</t>
        </is>
      </c>
      <c r="E97" t="inlineStr">
        <is>
          <t>LJUSNARSBERG</t>
        </is>
      </c>
      <c r="F97" t="inlineStr">
        <is>
          <t>Bergvik skog väst AB</t>
        </is>
      </c>
      <c r="G97" t="n">
        <v>1.9</v>
      </c>
      <c r="H97" t="n">
        <v>0</v>
      </c>
      <c r="I97" t="n">
        <v>1</v>
      </c>
      <c r="J97" t="n">
        <v>3</v>
      </c>
      <c r="K97" t="n">
        <v>0</v>
      </c>
      <c r="L97" t="n">
        <v>0</v>
      </c>
      <c r="M97" t="n">
        <v>0</v>
      </c>
      <c r="N97" t="n">
        <v>0</v>
      </c>
      <c r="O97" t="n">
        <v>3</v>
      </c>
      <c r="P97" t="n">
        <v>0</v>
      </c>
      <c r="Q97" t="n">
        <v>4</v>
      </c>
      <c r="R97" s="2" t="inlineStr">
        <is>
          <t>Brunpudrad nållav
Garnlav
Tallriska
Mindre märgborre</t>
        </is>
      </c>
      <c r="S97">
        <f>HYPERLINK("https://klasma.github.io/Logging_1864/artfynd/A 65216-2021 artfynd.xlsx", "A 65216-2021")</f>
        <v/>
      </c>
      <c r="T97">
        <f>HYPERLINK("https://klasma.github.io/Logging_1864/kartor/A 65216-2021 karta.png", "A 65216-2021")</f>
        <v/>
      </c>
      <c r="V97">
        <f>HYPERLINK("https://klasma.github.io/Logging_1864/klagomål/A 65216-2021 FSC-klagomål.docx", "A 65216-2021")</f>
        <v/>
      </c>
      <c r="W97">
        <f>HYPERLINK("https://klasma.github.io/Logging_1864/klagomålsmail/A 65216-2021 FSC-klagomål mail.docx", "A 65216-2021")</f>
        <v/>
      </c>
      <c r="X97">
        <f>HYPERLINK("https://klasma.github.io/Logging_1864/tillsyn/A 65216-2021 tillsynsbegäran.docx", "A 65216-2021")</f>
        <v/>
      </c>
      <c r="Y97">
        <f>HYPERLINK("https://klasma.github.io/Logging_1864/tillsynsmail/A 65216-2021 tillsynsbegäran mail.docx", "A 65216-2021")</f>
        <v/>
      </c>
    </row>
    <row r="98" ht="15" customHeight="1">
      <c r="A98" t="inlineStr">
        <is>
          <t>A 12974-2022</t>
        </is>
      </c>
      <c r="B98" s="1" t="n">
        <v>44643.38490740741</v>
      </c>
      <c r="C98" s="1" t="n">
        <v>46132</v>
      </c>
      <c r="D98" t="inlineStr">
        <is>
          <t>ÖREBRO LÄN</t>
        </is>
      </c>
      <c r="E98" t="inlineStr">
        <is>
          <t>ÖREBRO</t>
        </is>
      </c>
      <c r="G98" t="n">
        <v>3.3</v>
      </c>
      <c r="H98" t="n">
        <v>4</v>
      </c>
      <c r="I98" t="n">
        <v>0</v>
      </c>
      <c r="J98" t="n">
        <v>2</v>
      </c>
      <c r="K98" t="n">
        <v>0</v>
      </c>
      <c r="L98" t="n">
        <v>0</v>
      </c>
      <c r="M98" t="n">
        <v>0</v>
      </c>
      <c r="N98" t="n">
        <v>0</v>
      </c>
      <c r="O98" t="n">
        <v>2</v>
      </c>
      <c r="P98" t="n">
        <v>0</v>
      </c>
      <c r="Q98" t="n">
        <v>4</v>
      </c>
      <c r="R98" s="2" t="inlineStr">
        <is>
          <t>Duvhök
Grönsångare
Kungsfågel
Kopparödla</t>
        </is>
      </c>
      <c r="S98">
        <f>HYPERLINK("https://klasma.github.io/Logging_1880/artfynd/A 12974-2022 artfynd.xlsx", "A 12974-2022")</f>
        <v/>
      </c>
      <c r="T98">
        <f>HYPERLINK("https://klasma.github.io/Logging_1880/kartor/A 12974-2022 karta.png", "A 12974-2022")</f>
        <v/>
      </c>
      <c r="V98">
        <f>HYPERLINK("https://klasma.github.io/Logging_1880/klagomål/A 12974-2022 FSC-klagomål.docx", "A 12974-2022")</f>
        <v/>
      </c>
      <c r="W98">
        <f>HYPERLINK("https://klasma.github.io/Logging_1880/klagomålsmail/A 12974-2022 FSC-klagomål mail.docx", "A 12974-2022")</f>
        <v/>
      </c>
      <c r="X98">
        <f>HYPERLINK("https://klasma.github.io/Logging_1880/tillsyn/A 12974-2022 tillsynsbegäran.docx", "A 12974-2022")</f>
        <v/>
      </c>
      <c r="Y98">
        <f>HYPERLINK("https://klasma.github.io/Logging_1880/tillsynsmail/A 12974-2022 tillsynsbegäran mail.docx", "A 12974-2022")</f>
        <v/>
      </c>
      <c r="Z98">
        <f>HYPERLINK("https://klasma.github.io/Logging_1880/fåglar/A 12974-2022 prioriterade fågelarter.docx", "A 12974-2022")</f>
        <v/>
      </c>
    </row>
    <row r="99" ht="15" customHeight="1">
      <c r="A99" t="inlineStr">
        <is>
          <t>A 60085-2021</t>
        </is>
      </c>
      <c r="B99" s="1" t="n">
        <v>44495</v>
      </c>
      <c r="C99" s="1" t="n">
        <v>46132</v>
      </c>
      <c r="D99" t="inlineStr">
        <is>
          <t>ÖREBRO LÄN</t>
        </is>
      </c>
      <c r="E99" t="inlineStr">
        <is>
          <t>KARLSKOGA</t>
        </is>
      </c>
      <c r="G99" t="n">
        <v>3.6</v>
      </c>
      <c r="H99" t="n">
        <v>0</v>
      </c>
      <c r="I99" t="n">
        <v>3</v>
      </c>
      <c r="J99" t="n">
        <v>0</v>
      </c>
      <c r="K99" t="n">
        <v>1</v>
      </c>
      <c r="L99" t="n">
        <v>0</v>
      </c>
      <c r="M99" t="n">
        <v>0</v>
      </c>
      <c r="N99" t="n">
        <v>0</v>
      </c>
      <c r="O99" t="n">
        <v>1</v>
      </c>
      <c r="P99" t="n">
        <v>1</v>
      </c>
      <c r="Q99" t="n">
        <v>4</v>
      </c>
      <c r="R99" s="2" t="inlineStr">
        <is>
          <t>Citronfingersvamp
Mörk husmossa
Svart trolldruva
Västlig hakmossa</t>
        </is>
      </c>
      <c r="S99">
        <f>HYPERLINK("https://klasma.github.io/Logging_1883/artfynd/A 60085-2021 artfynd.xlsx", "A 60085-2021")</f>
        <v/>
      </c>
      <c r="T99">
        <f>HYPERLINK("https://klasma.github.io/Logging_1883/kartor/A 60085-2021 karta.png", "A 60085-2021")</f>
        <v/>
      </c>
      <c r="V99">
        <f>HYPERLINK("https://klasma.github.io/Logging_1883/klagomål/A 60085-2021 FSC-klagomål.docx", "A 60085-2021")</f>
        <v/>
      </c>
      <c r="W99">
        <f>HYPERLINK("https://klasma.github.io/Logging_1883/klagomålsmail/A 60085-2021 FSC-klagomål mail.docx", "A 60085-2021")</f>
        <v/>
      </c>
      <c r="X99">
        <f>HYPERLINK("https://klasma.github.io/Logging_1883/tillsyn/A 60085-2021 tillsynsbegäran.docx", "A 60085-2021")</f>
        <v/>
      </c>
      <c r="Y99">
        <f>HYPERLINK("https://klasma.github.io/Logging_1883/tillsynsmail/A 60085-2021 tillsynsbegäran mail.docx", "A 60085-2021")</f>
        <v/>
      </c>
    </row>
    <row r="100" ht="15" customHeight="1">
      <c r="A100" t="inlineStr">
        <is>
          <t>A 401-2023</t>
        </is>
      </c>
      <c r="B100" s="1" t="n">
        <v>44929</v>
      </c>
      <c r="C100" s="1" t="n">
        <v>46132</v>
      </c>
      <c r="D100" t="inlineStr">
        <is>
          <t>ÖREBRO LÄN</t>
        </is>
      </c>
      <c r="E100" t="inlineStr">
        <is>
          <t>ASKERSUND</t>
        </is>
      </c>
      <c r="F100" t="inlineStr">
        <is>
          <t>Sveaskog</t>
        </is>
      </c>
      <c r="G100" t="n">
        <v>3.6</v>
      </c>
      <c r="H100" t="n">
        <v>3</v>
      </c>
      <c r="I100" t="n">
        <v>0</v>
      </c>
      <c r="J100" t="n">
        <v>1</v>
      </c>
      <c r="K100" t="n">
        <v>0</v>
      </c>
      <c r="L100" t="n">
        <v>0</v>
      </c>
      <c r="M100" t="n">
        <v>0</v>
      </c>
      <c r="N100" t="n">
        <v>0</v>
      </c>
      <c r="O100" t="n">
        <v>1</v>
      </c>
      <c r="P100" t="n">
        <v>0</v>
      </c>
      <c r="Q100" t="n">
        <v>4</v>
      </c>
      <c r="R100" s="2" t="inlineStr">
        <is>
          <t>Blanksvart spiklav
Vanlig groda
Fläcknycklar
Mattlummer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row>
    <row r="101" ht="15" customHeight="1">
      <c r="A101" t="inlineStr">
        <is>
          <t>A 3669-2023</t>
        </is>
      </c>
      <c r="B101" s="1" t="n">
        <v>44950</v>
      </c>
      <c r="C101" s="1" t="n">
        <v>46132</v>
      </c>
      <c r="D101" t="inlineStr">
        <is>
          <t>ÖREBRO LÄN</t>
        </is>
      </c>
      <c r="E101" t="inlineStr">
        <is>
          <t>ASKERSUND</t>
        </is>
      </c>
      <c r="G101" t="n">
        <v>2.5</v>
      </c>
      <c r="H101" t="n">
        <v>0</v>
      </c>
      <c r="I101" t="n">
        <v>2</v>
      </c>
      <c r="J101" t="n">
        <v>2</v>
      </c>
      <c r="K101" t="n">
        <v>0</v>
      </c>
      <c r="L101" t="n">
        <v>0</v>
      </c>
      <c r="M101" t="n">
        <v>0</v>
      </c>
      <c r="N101" t="n">
        <v>0</v>
      </c>
      <c r="O101" t="n">
        <v>2</v>
      </c>
      <c r="P101" t="n">
        <v>0</v>
      </c>
      <c r="Q101" t="n">
        <v>4</v>
      </c>
      <c r="R101" s="2" t="inlineStr">
        <is>
          <t>Gropticka
Motaggsvamp
Blåmossa
Dropptaggsvamp</t>
        </is>
      </c>
      <c r="S101">
        <f>HYPERLINK("https://klasma.github.io/Logging_1882/artfynd/A 3669-2023 artfynd.xlsx", "A 3669-2023")</f>
        <v/>
      </c>
      <c r="T101">
        <f>HYPERLINK("https://klasma.github.io/Logging_1882/kartor/A 3669-2023 karta.png", "A 3669-2023")</f>
        <v/>
      </c>
      <c r="V101">
        <f>HYPERLINK("https://klasma.github.io/Logging_1882/klagomål/A 3669-2023 FSC-klagomål.docx", "A 3669-2023")</f>
        <v/>
      </c>
      <c r="W101">
        <f>HYPERLINK("https://klasma.github.io/Logging_1882/klagomålsmail/A 3669-2023 FSC-klagomål mail.docx", "A 3669-2023")</f>
        <v/>
      </c>
      <c r="X101">
        <f>HYPERLINK("https://klasma.github.io/Logging_1882/tillsyn/A 3669-2023 tillsynsbegäran.docx", "A 3669-2023")</f>
        <v/>
      </c>
      <c r="Y101">
        <f>HYPERLINK("https://klasma.github.io/Logging_1882/tillsynsmail/A 3669-2023 tillsynsbegäran mail.docx", "A 3669-2023")</f>
        <v/>
      </c>
    </row>
    <row r="102" ht="15" customHeight="1">
      <c r="A102" t="inlineStr">
        <is>
          <t>A 48284-2023</t>
        </is>
      </c>
      <c r="B102" s="1" t="n">
        <v>45205</v>
      </c>
      <c r="C102" s="1" t="n">
        <v>46132</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73321-2021</t>
        </is>
      </c>
      <c r="B103" s="1" t="n">
        <v>44550</v>
      </c>
      <c r="C103" s="1" t="n">
        <v>46132</v>
      </c>
      <c r="D103" t="inlineStr">
        <is>
          <t>ÖREBRO LÄN</t>
        </is>
      </c>
      <c r="E103" t="inlineStr">
        <is>
          <t>DEGERFORS</t>
        </is>
      </c>
      <c r="G103" t="n">
        <v>17</v>
      </c>
      <c r="H103" t="n">
        <v>2</v>
      </c>
      <c r="I103" t="n">
        <v>0</v>
      </c>
      <c r="J103" t="n">
        <v>2</v>
      </c>
      <c r="K103" t="n">
        <v>2</v>
      </c>
      <c r="L103" t="n">
        <v>0</v>
      </c>
      <c r="M103" t="n">
        <v>0</v>
      </c>
      <c r="N103" t="n">
        <v>0</v>
      </c>
      <c r="O103" t="n">
        <v>4</v>
      </c>
      <c r="P103" t="n">
        <v>2</v>
      </c>
      <c r="Q103" t="n">
        <v>4</v>
      </c>
      <c r="R103" s="2" t="inlineStr">
        <is>
          <t>Knärot
Rynkskinn
Grynig filtlav
Gulsparv</t>
        </is>
      </c>
      <c r="S103">
        <f>HYPERLINK("https://klasma.github.io/Logging_1862/artfynd/A 73321-2021 artfynd.xlsx", "A 73321-2021")</f>
        <v/>
      </c>
      <c r="T103">
        <f>HYPERLINK("https://klasma.github.io/Logging_1862/kartor/A 73321-2021 karta.png", "A 73321-2021")</f>
        <v/>
      </c>
      <c r="U103">
        <f>HYPERLINK("https://klasma.github.io/Logging_1862/knärot/A 73321-2021 karta knärot.png", "A 73321-2021")</f>
        <v/>
      </c>
      <c r="V103">
        <f>HYPERLINK("https://klasma.github.io/Logging_1862/klagomål/A 73321-2021 FSC-klagomål.docx", "A 73321-2021")</f>
        <v/>
      </c>
      <c r="W103">
        <f>HYPERLINK("https://klasma.github.io/Logging_1862/klagomålsmail/A 73321-2021 FSC-klagomål mail.docx", "A 73321-2021")</f>
        <v/>
      </c>
      <c r="X103">
        <f>HYPERLINK("https://klasma.github.io/Logging_1862/tillsyn/A 73321-2021 tillsynsbegäran.docx", "A 73321-2021")</f>
        <v/>
      </c>
      <c r="Y103">
        <f>HYPERLINK("https://klasma.github.io/Logging_1862/tillsynsmail/A 73321-2021 tillsynsbegäran mail.docx", "A 73321-2021")</f>
        <v/>
      </c>
      <c r="Z103">
        <f>HYPERLINK("https://klasma.github.io/Logging_1862/fåglar/A 73321-2021 prioriterade fågelarter.docx", "A 73321-2021")</f>
        <v/>
      </c>
    </row>
    <row r="104" ht="15" customHeight="1">
      <c r="A104" t="inlineStr">
        <is>
          <t>A 54592-2023</t>
        </is>
      </c>
      <c r="B104" s="1" t="n">
        <v>45228</v>
      </c>
      <c r="C104" s="1" t="n">
        <v>46132</v>
      </c>
      <c r="D104" t="inlineStr">
        <is>
          <t>ÖREBRO LÄN</t>
        </is>
      </c>
      <c r="E104" t="inlineStr">
        <is>
          <t>ASKERSUND</t>
        </is>
      </c>
      <c r="G104" t="n">
        <v>4.6</v>
      </c>
      <c r="H104" t="n">
        <v>1</v>
      </c>
      <c r="I104" t="n">
        <v>0</v>
      </c>
      <c r="J104" t="n">
        <v>3</v>
      </c>
      <c r="K104" t="n">
        <v>0</v>
      </c>
      <c r="L104" t="n">
        <v>1</v>
      </c>
      <c r="M104" t="n">
        <v>0</v>
      </c>
      <c r="N104" t="n">
        <v>0</v>
      </c>
      <c r="O104" t="n">
        <v>4</v>
      </c>
      <c r="P104" t="n">
        <v>1</v>
      </c>
      <c r="Q104" t="n">
        <v>4</v>
      </c>
      <c r="R104" s="2" t="inlineStr">
        <is>
          <t>Ask
Spillkråka
Svinrot
Vårstarr</t>
        </is>
      </c>
      <c r="S104">
        <f>HYPERLINK("https://klasma.github.io/Logging_1882/artfynd/A 54592-2023 artfynd.xlsx", "A 54592-2023")</f>
        <v/>
      </c>
      <c r="T104">
        <f>HYPERLINK("https://klasma.github.io/Logging_1882/kartor/A 54592-2023 karta.png", "A 54592-2023")</f>
        <v/>
      </c>
      <c r="V104">
        <f>HYPERLINK("https://klasma.github.io/Logging_1882/klagomål/A 54592-2023 FSC-klagomål.docx", "A 54592-2023")</f>
        <v/>
      </c>
      <c r="W104">
        <f>HYPERLINK("https://klasma.github.io/Logging_1882/klagomålsmail/A 54592-2023 FSC-klagomål mail.docx", "A 54592-2023")</f>
        <v/>
      </c>
      <c r="X104">
        <f>HYPERLINK("https://klasma.github.io/Logging_1882/tillsyn/A 54592-2023 tillsynsbegäran.docx", "A 54592-2023")</f>
        <v/>
      </c>
      <c r="Y104">
        <f>HYPERLINK("https://klasma.github.io/Logging_1882/tillsynsmail/A 54592-2023 tillsynsbegäran mail.docx", "A 54592-2023")</f>
        <v/>
      </c>
      <c r="Z104">
        <f>HYPERLINK("https://klasma.github.io/Logging_1882/fåglar/A 54592-2023 prioriterade fågelarter.docx", "A 54592-2023")</f>
        <v/>
      </c>
    </row>
    <row r="105" ht="15" customHeight="1">
      <c r="A105" t="inlineStr">
        <is>
          <t>A 58832-2025</t>
        </is>
      </c>
      <c r="B105" s="1" t="n">
        <v>45987</v>
      </c>
      <c r="C105" s="1" t="n">
        <v>46132</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46132</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56950-2025</t>
        </is>
      </c>
      <c r="B107" s="1" t="n">
        <v>45978.64929398148</v>
      </c>
      <c r="C107" s="1" t="n">
        <v>46132</v>
      </c>
      <c r="D107" t="inlineStr">
        <is>
          <t>ÖREBRO LÄN</t>
        </is>
      </c>
      <c r="E107" t="inlineStr">
        <is>
          <t>NORA</t>
        </is>
      </c>
      <c r="F107" t="inlineStr">
        <is>
          <t>Övriga Aktiebolag</t>
        </is>
      </c>
      <c r="G107" t="n">
        <v>5.4</v>
      </c>
      <c r="H107" t="n">
        <v>3</v>
      </c>
      <c r="I107" t="n">
        <v>0</v>
      </c>
      <c r="J107" t="n">
        <v>3</v>
      </c>
      <c r="K107" t="n">
        <v>0</v>
      </c>
      <c r="L107" t="n">
        <v>0</v>
      </c>
      <c r="M107" t="n">
        <v>0</v>
      </c>
      <c r="N107" t="n">
        <v>0</v>
      </c>
      <c r="O107" t="n">
        <v>3</v>
      </c>
      <c r="P107" t="n">
        <v>0</v>
      </c>
      <c r="Q107" t="n">
        <v>4</v>
      </c>
      <c r="R107" s="2" t="inlineStr">
        <is>
          <t>Spillkråka
Stjärntagging
Tretåig hackspett
Tjäder</t>
        </is>
      </c>
      <c r="S107">
        <f>HYPERLINK("https://klasma.github.io/Logging_1884/artfynd/A 56950-2025 artfynd.xlsx", "A 56950-2025")</f>
        <v/>
      </c>
      <c r="T107">
        <f>HYPERLINK("https://klasma.github.io/Logging_1884/kartor/A 56950-2025 karta.png", "A 56950-2025")</f>
        <v/>
      </c>
      <c r="V107">
        <f>HYPERLINK("https://klasma.github.io/Logging_1884/klagomål/A 56950-2025 FSC-klagomål.docx", "A 56950-2025")</f>
        <v/>
      </c>
      <c r="W107">
        <f>HYPERLINK("https://klasma.github.io/Logging_1884/klagomålsmail/A 56950-2025 FSC-klagomål mail.docx", "A 56950-2025")</f>
        <v/>
      </c>
      <c r="X107">
        <f>HYPERLINK("https://klasma.github.io/Logging_1884/tillsyn/A 56950-2025 tillsynsbegäran.docx", "A 56950-2025")</f>
        <v/>
      </c>
      <c r="Y107">
        <f>HYPERLINK("https://klasma.github.io/Logging_1884/tillsynsmail/A 56950-2025 tillsynsbegäran mail.docx", "A 56950-2025")</f>
        <v/>
      </c>
      <c r="Z107">
        <f>HYPERLINK("https://klasma.github.io/Logging_1884/fåglar/A 56950-2025 prioriterade fågelarter.docx", "A 56950-2025")</f>
        <v/>
      </c>
    </row>
    <row r="108" ht="15" customHeight="1">
      <c r="A108" t="inlineStr">
        <is>
          <t>A 60580-2025</t>
        </is>
      </c>
      <c r="B108" s="1" t="n">
        <v>45996.3310300926</v>
      </c>
      <c r="C108" s="1" t="n">
        <v>46132</v>
      </c>
      <c r="D108" t="inlineStr">
        <is>
          <t>ÖREBRO LÄN</t>
        </is>
      </c>
      <c r="E108" t="inlineStr">
        <is>
          <t>LAXÅ</t>
        </is>
      </c>
      <c r="F108" t="inlineStr">
        <is>
          <t>Sveaskog</t>
        </is>
      </c>
      <c r="G108" t="n">
        <v>9.6</v>
      </c>
      <c r="H108" t="n">
        <v>4</v>
      </c>
      <c r="I108" t="n">
        <v>0</v>
      </c>
      <c r="J108" t="n">
        <v>3</v>
      </c>
      <c r="K108" t="n">
        <v>0</v>
      </c>
      <c r="L108" t="n">
        <v>0</v>
      </c>
      <c r="M108" t="n">
        <v>0</v>
      </c>
      <c r="N108" t="n">
        <v>0</v>
      </c>
      <c r="O108" t="n">
        <v>3</v>
      </c>
      <c r="P108" t="n">
        <v>0</v>
      </c>
      <c r="Q108" t="n">
        <v>4</v>
      </c>
      <c r="R108" s="2" t="inlineStr">
        <is>
          <t>Spillkråka
Talltita
Tretåig hackspett
Tjäder</t>
        </is>
      </c>
      <c r="S108">
        <f>HYPERLINK("https://klasma.github.io/Logging_1860/artfynd/A 60580-2025 artfynd.xlsx", "A 60580-2025")</f>
        <v/>
      </c>
      <c r="T108">
        <f>HYPERLINK("https://klasma.github.io/Logging_1860/kartor/A 60580-2025 karta.png", "A 60580-2025")</f>
        <v/>
      </c>
      <c r="V108">
        <f>HYPERLINK("https://klasma.github.io/Logging_1860/klagomål/A 60580-2025 FSC-klagomål.docx", "A 60580-2025")</f>
        <v/>
      </c>
      <c r="W108">
        <f>HYPERLINK("https://klasma.github.io/Logging_1860/klagomålsmail/A 60580-2025 FSC-klagomål mail.docx", "A 60580-2025")</f>
        <v/>
      </c>
      <c r="X108">
        <f>HYPERLINK("https://klasma.github.io/Logging_1860/tillsyn/A 60580-2025 tillsynsbegäran.docx", "A 60580-2025")</f>
        <v/>
      </c>
      <c r="Y108">
        <f>HYPERLINK("https://klasma.github.io/Logging_1860/tillsynsmail/A 60580-2025 tillsynsbegäran mail.docx", "A 60580-2025")</f>
        <v/>
      </c>
      <c r="Z108">
        <f>HYPERLINK("https://klasma.github.io/Logging_1860/fåglar/A 60580-2025 prioriterade fågelarter.docx", "A 60580-2025")</f>
        <v/>
      </c>
    </row>
    <row r="109" ht="15" customHeight="1">
      <c r="A109" t="inlineStr">
        <is>
          <t>A 8889-2026</t>
        </is>
      </c>
      <c r="B109" s="1" t="n">
        <v>46068.43813657408</v>
      </c>
      <c r="C109" s="1" t="n">
        <v>46132</v>
      </c>
      <c r="D109" t="inlineStr">
        <is>
          <t>ÖREBRO LÄN</t>
        </is>
      </c>
      <c r="E109" t="inlineStr">
        <is>
          <t>ASKERSUND</t>
        </is>
      </c>
      <c r="F109" t="inlineStr">
        <is>
          <t>Sveaskog</t>
        </is>
      </c>
      <c r="G109" t="n">
        <v>4.6</v>
      </c>
      <c r="H109" t="n">
        <v>0</v>
      </c>
      <c r="I109" t="n">
        <v>0</v>
      </c>
      <c r="J109" t="n">
        <v>3</v>
      </c>
      <c r="K109" t="n">
        <v>1</v>
      </c>
      <c r="L109" t="n">
        <v>0</v>
      </c>
      <c r="M109" t="n">
        <v>0</v>
      </c>
      <c r="N109" t="n">
        <v>0</v>
      </c>
      <c r="O109" t="n">
        <v>4</v>
      </c>
      <c r="P109" t="n">
        <v>1</v>
      </c>
      <c r="Q109" t="n">
        <v>4</v>
      </c>
      <c r="R109" s="2" t="inlineStr">
        <is>
          <t>Slåttergubbe
Månlåsbräken
Slåtterfibbla
Sommarfibbla</t>
        </is>
      </c>
      <c r="S109">
        <f>HYPERLINK("https://klasma.github.io/Logging_1882/artfynd/A 8889-2026 artfynd.xlsx", "A 8889-2026")</f>
        <v/>
      </c>
      <c r="T109">
        <f>HYPERLINK("https://klasma.github.io/Logging_1882/kartor/A 8889-2026 karta.png", "A 8889-2026")</f>
        <v/>
      </c>
      <c r="V109">
        <f>HYPERLINK("https://klasma.github.io/Logging_1882/klagomål/A 8889-2026 FSC-klagomål.docx", "A 8889-2026")</f>
        <v/>
      </c>
      <c r="W109">
        <f>HYPERLINK("https://klasma.github.io/Logging_1882/klagomålsmail/A 8889-2026 FSC-klagomål mail.docx", "A 8889-2026")</f>
        <v/>
      </c>
      <c r="X109">
        <f>HYPERLINK("https://klasma.github.io/Logging_1882/tillsyn/A 8889-2026 tillsynsbegäran.docx", "A 8889-2026")</f>
        <v/>
      </c>
      <c r="Y109">
        <f>HYPERLINK("https://klasma.github.io/Logging_1882/tillsynsmail/A 8889-2026 tillsynsbegäran mail.docx", "A 8889-2026")</f>
        <v/>
      </c>
    </row>
    <row r="110" ht="15" customHeight="1">
      <c r="A110" t="inlineStr">
        <is>
          <t>A 44863-2023</t>
        </is>
      </c>
      <c r="B110" s="1" t="n">
        <v>45190</v>
      </c>
      <c r="C110" s="1" t="n">
        <v>46132</v>
      </c>
      <c r="D110" t="inlineStr">
        <is>
          <t>ÖREBRO LÄN</t>
        </is>
      </c>
      <c r="E110" t="inlineStr">
        <is>
          <t>HALLSBERG</t>
        </is>
      </c>
      <c r="F110" t="inlineStr">
        <is>
          <t>Allmännings- och besparingsskogar</t>
        </is>
      </c>
      <c r="G110" t="n">
        <v>12.5</v>
      </c>
      <c r="H110" t="n">
        <v>1</v>
      </c>
      <c r="I110" t="n">
        <v>3</v>
      </c>
      <c r="J110" t="n">
        <v>0</v>
      </c>
      <c r="K110" t="n">
        <v>0</v>
      </c>
      <c r="L110" t="n">
        <v>0</v>
      </c>
      <c r="M110" t="n">
        <v>0</v>
      </c>
      <c r="N110" t="n">
        <v>0</v>
      </c>
      <c r="O110" t="n">
        <v>0</v>
      </c>
      <c r="P110" t="n">
        <v>0</v>
      </c>
      <c r="Q110" t="n">
        <v>4</v>
      </c>
      <c r="R110" s="2" t="inlineStr">
        <is>
          <t>Björksplintborre
Dolkstekelsglasvinge
Strutbräken
Blåsippa</t>
        </is>
      </c>
      <c r="S110">
        <f>HYPERLINK("https://klasma.github.io/Logging_1861/artfynd/A 44863-2023 artfynd.xlsx", "A 44863-2023")</f>
        <v/>
      </c>
      <c r="T110">
        <f>HYPERLINK("https://klasma.github.io/Logging_1861/kartor/A 44863-2023 karta.png", "A 44863-2023")</f>
        <v/>
      </c>
      <c r="V110">
        <f>HYPERLINK("https://klasma.github.io/Logging_1861/klagomål/A 44863-2023 FSC-klagomål.docx", "A 44863-2023")</f>
        <v/>
      </c>
      <c r="W110">
        <f>HYPERLINK("https://klasma.github.io/Logging_1861/klagomålsmail/A 44863-2023 FSC-klagomål mail.docx", "A 44863-2023")</f>
        <v/>
      </c>
      <c r="X110">
        <f>HYPERLINK("https://klasma.github.io/Logging_1861/tillsyn/A 44863-2023 tillsynsbegäran.docx", "A 44863-2023")</f>
        <v/>
      </c>
      <c r="Y110">
        <f>HYPERLINK("https://klasma.github.io/Logging_1861/tillsynsmail/A 44863-2023 tillsynsbegäran mail.docx", "A 44863-2023")</f>
        <v/>
      </c>
    </row>
    <row r="111" ht="15" customHeight="1">
      <c r="A111" t="inlineStr">
        <is>
          <t>A 5354-2024</t>
        </is>
      </c>
      <c r="B111" s="1" t="n">
        <v>45331</v>
      </c>
      <c r="C111" s="1" t="n">
        <v>46132</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57553-2023</t>
        </is>
      </c>
      <c r="B112" s="1" t="n">
        <v>45246</v>
      </c>
      <c r="C112" s="1" t="n">
        <v>46132</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22024-2024</t>
        </is>
      </c>
      <c r="B113" s="1" t="n">
        <v>45443.59229166667</v>
      </c>
      <c r="C113" s="1" t="n">
        <v>46132</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34293-2023</t>
        </is>
      </c>
      <c r="B114" s="1" t="n">
        <v>45138</v>
      </c>
      <c r="C114" s="1" t="n">
        <v>46132</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51530-2024</t>
        </is>
      </c>
      <c r="B115" s="1" t="n">
        <v>45604</v>
      </c>
      <c r="C115" s="1" t="n">
        <v>46132</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Kötticka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43996-2021</t>
        </is>
      </c>
      <c r="B116" s="1" t="n">
        <v>44434</v>
      </c>
      <c r="C116" s="1" t="n">
        <v>46132</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46132</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46132</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46132</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46132</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46132</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46132</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46132</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46132</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50096-2023</t>
        </is>
      </c>
      <c r="B125" s="1" t="n">
        <v>45215</v>
      </c>
      <c r="C125" s="1" t="n">
        <v>46132</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39193-2025</t>
        </is>
      </c>
      <c r="B126" s="1" t="n">
        <v>45888.67765046296</v>
      </c>
      <c r="C126" s="1" t="n">
        <v>46132</v>
      </c>
      <c r="D126" t="inlineStr">
        <is>
          <t>ÖREBRO LÄN</t>
        </is>
      </c>
      <c r="E126" t="inlineStr">
        <is>
          <t>LINDESBERG</t>
        </is>
      </c>
      <c r="G126" t="n">
        <v>1.6</v>
      </c>
      <c r="H126" t="n">
        <v>0</v>
      </c>
      <c r="I126" t="n">
        <v>1</v>
      </c>
      <c r="J126" t="n">
        <v>2</v>
      </c>
      <c r="K126" t="n">
        <v>0</v>
      </c>
      <c r="L126" t="n">
        <v>0</v>
      </c>
      <c r="M126" t="n">
        <v>0</v>
      </c>
      <c r="N126" t="n">
        <v>0</v>
      </c>
      <c r="O126" t="n">
        <v>2</v>
      </c>
      <c r="P126" t="n">
        <v>0</v>
      </c>
      <c r="Q126" t="n">
        <v>3</v>
      </c>
      <c r="R126" s="2" t="inlineStr">
        <is>
          <t>Motaggsvamp
Ullticka
Grönpyrola</t>
        </is>
      </c>
      <c r="S126">
        <f>HYPERLINK("https://klasma.github.io/Logging_1885/artfynd/A 39193-2025 artfynd.xlsx", "A 39193-2025")</f>
        <v/>
      </c>
      <c r="T126">
        <f>HYPERLINK("https://klasma.github.io/Logging_1885/kartor/A 39193-2025 karta.png", "A 39193-2025")</f>
        <v/>
      </c>
      <c r="U126">
        <f>HYPERLINK("https://klasma.github.io/Logging_1885/knärot/A 39193-2025 karta knärot.png", "A 39193-2025")</f>
        <v/>
      </c>
      <c r="V126">
        <f>HYPERLINK("https://klasma.github.io/Logging_1885/klagomål/A 39193-2025 FSC-klagomål.docx", "A 39193-2025")</f>
        <v/>
      </c>
      <c r="W126">
        <f>HYPERLINK("https://klasma.github.io/Logging_1885/klagomålsmail/A 39193-2025 FSC-klagomål mail.docx", "A 39193-2025")</f>
        <v/>
      </c>
      <c r="X126">
        <f>HYPERLINK("https://klasma.github.io/Logging_1885/tillsyn/A 39193-2025 tillsynsbegäran.docx", "A 39193-2025")</f>
        <v/>
      </c>
      <c r="Y126">
        <f>HYPERLINK("https://klasma.github.io/Logging_1885/tillsynsmail/A 39193-2025 tillsynsbegäran mail.docx", "A 39193-2025")</f>
        <v/>
      </c>
    </row>
    <row r="127" ht="15" customHeight="1">
      <c r="A127" t="inlineStr">
        <is>
          <t>A 50580-2022</t>
        </is>
      </c>
      <c r="B127" s="1" t="n">
        <v>44861</v>
      </c>
      <c r="C127" s="1" t="n">
        <v>46132</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3731-2025</t>
        </is>
      </c>
      <c r="B128" s="1" t="n">
        <v>45681</v>
      </c>
      <c r="C128" s="1" t="n">
        <v>46132</v>
      </c>
      <c r="D128" t="inlineStr">
        <is>
          <t>ÖREBRO LÄN</t>
        </is>
      </c>
      <c r="E128" t="inlineStr">
        <is>
          <t>ASKERSUND</t>
        </is>
      </c>
      <c r="G128" t="n">
        <v>1.5</v>
      </c>
      <c r="H128" t="n">
        <v>0</v>
      </c>
      <c r="I128" t="n">
        <v>0</v>
      </c>
      <c r="J128" t="n">
        <v>2</v>
      </c>
      <c r="K128" t="n">
        <v>1</v>
      </c>
      <c r="L128" t="n">
        <v>0</v>
      </c>
      <c r="M128" t="n">
        <v>0</v>
      </c>
      <c r="N128" t="n">
        <v>0</v>
      </c>
      <c r="O128" t="n">
        <v>3</v>
      </c>
      <c r="P128" t="n">
        <v>1</v>
      </c>
      <c r="Q128" t="n">
        <v>3</v>
      </c>
      <c r="R128" s="2" t="inlineStr">
        <is>
          <t>Slåttergubbe
Slåtterfibbla
Svinrot</t>
        </is>
      </c>
      <c r="S128">
        <f>HYPERLINK("https://klasma.github.io/Logging_1882/artfynd/A 3731-2025 artfynd.xlsx", "A 3731-2025")</f>
        <v/>
      </c>
      <c r="T128">
        <f>HYPERLINK("https://klasma.github.io/Logging_1882/kartor/A 3731-2025 karta.png", "A 3731-2025")</f>
        <v/>
      </c>
      <c r="V128">
        <f>HYPERLINK("https://klasma.github.io/Logging_1882/klagomål/A 3731-2025 FSC-klagomål.docx", "A 3731-2025")</f>
        <v/>
      </c>
      <c r="W128">
        <f>HYPERLINK("https://klasma.github.io/Logging_1882/klagomålsmail/A 3731-2025 FSC-klagomål mail.docx", "A 3731-2025")</f>
        <v/>
      </c>
      <c r="X128">
        <f>HYPERLINK("https://klasma.github.io/Logging_1882/tillsyn/A 3731-2025 tillsynsbegäran.docx", "A 3731-2025")</f>
        <v/>
      </c>
      <c r="Y128">
        <f>HYPERLINK("https://klasma.github.io/Logging_1882/tillsynsmail/A 3731-2025 tillsynsbegäran mail.docx", "A 3731-2025")</f>
        <v/>
      </c>
    </row>
    <row r="129" ht="15" customHeight="1">
      <c r="A129" t="inlineStr">
        <is>
          <t>A 13627-2025</t>
        </is>
      </c>
      <c r="B129" s="1" t="n">
        <v>45736</v>
      </c>
      <c r="C129" s="1" t="n">
        <v>46132</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4652-2023</t>
        </is>
      </c>
      <c r="B130" s="1" t="n">
        <v>44957</v>
      </c>
      <c r="C130" s="1" t="n">
        <v>46132</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34279-2024</t>
        </is>
      </c>
      <c r="B131" s="1" t="n">
        <v>45524</v>
      </c>
      <c r="C131" s="1" t="n">
        <v>46132</v>
      </c>
      <c r="D131" t="inlineStr">
        <is>
          <t>ÖREBRO LÄN</t>
        </is>
      </c>
      <c r="E131" t="inlineStr">
        <is>
          <t>LAXÅ</t>
        </is>
      </c>
      <c r="G131" t="n">
        <v>0.9</v>
      </c>
      <c r="H131" t="n">
        <v>3</v>
      </c>
      <c r="I131" t="n">
        <v>0</v>
      </c>
      <c r="J131" t="n">
        <v>1</v>
      </c>
      <c r="K131" t="n">
        <v>0</v>
      </c>
      <c r="L131" t="n">
        <v>0</v>
      </c>
      <c r="M131" t="n">
        <v>0</v>
      </c>
      <c r="N131" t="n">
        <v>0</v>
      </c>
      <c r="O131" t="n">
        <v>1</v>
      </c>
      <c r="P131" t="n">
        <v>0</v>
      </c>
      <c r="Q131" t="n">
        <v>3</v>
      </c>
      <c r="R131" s="2" t="inlineStr">
        <is>
          <t>Kråka
Grönsiska
Järnsparv</t>
        </is>
      </c>
      <c r="S131">
        <f>HYPERLINK("https://klasma.github.io/Logging_1860/artfynd/A 34279-2024 artfynd.xlsx", "A 34279-2024")</f>
        <v/>
      </c>
      <c r="T131">
        <f>HYPERLINK("https://klasma.github.io/Logging_1860/kartor/A 34279-2024 karta.png", "A 34279-2024")</f>
        <v/>
      </c>
      <c r="V131">
        <f>HYPERLINK("https://klasma.github.io/Logging_1860/klagomål/A 34279-2024 FSC-klagomål.docx", "A 34279-2024")</f>
        <v/>
      </c>
      <c r="W131">
        <f>HYPERLINK("https://klasma.github.io/Logging_1860/klagomålsmail/A 34279-2024 FSC-klagomål mail.docx", "A 34279-2024")</f>
        <v/>
      </c>
      <c r="X131">
        <f>HYPERLINK("https://klasma.github.io/Logging_1860/tillsyn/A 34279-2024 tillsynsbegäran.docx", "A 34279-2024")</f>
        <v/>
      </c>
      <c r="Y131">
        <f>HYPERLINK("https://klasma.github.io/Logging_1860/tillsynsmail/A 34279-2024 tillsynsbegäran mail.docx", "A 34279-2024")</f>
        <v/>
      </c>
      <c r="Z131">
        <f>HYPERLINK("https://klasma.github.io/Logging_1860/fåglar/A 34279-2024 prioriterade fågelarter.docx", "A 34279-2024")</f>
        <v/>
      </c>
    </row>
    <row r="132" ht="15" customHeight="1">
      <c r="A132" t="inlineStr">
        <is>
          <t>A 17074-2024</t>
        </is>
      </c>
      <c r="B132" s="1" t="n">
        <v>45412</v>
      </c>
      <c r="C132" s="1" t="n">
        <v>46132</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54112-2022</t>
        </is>
      </c>
      <c r="B133" s="1" t="n">
        <v>44879</v>
      </c>
      <c r="C133" s="1" t="n">
        <v>46132</v>
      </c>
      <c r="D133" t="inlineStr">
        <is>
          <t>ÖREBRO LÄN</t>
        </is>
      </c>
      <c r="E133" t="inlineStr">
        <is>
          <t>KUMLA</t>
        </is>
      </c>
      <c r="F133" t="inlineStr">
        <is>
          <t>Kommuner</t>
        </is>
      </c>
      <c r="G133" t="n">
        <v>2</v>
      </c>
      <c r="H133" t="n">
        <v>3</v>
      </c>
      <c r="I133" t="n">
        <v>0</v>
      </c>
      <c r="J133" t="n">
        <v>2</v>
      </c>
      <c r="K133" t="n">
        <v>0</v>
      </c>
      <c r="L133" t="n">
        <v>0</v>
      </c>
      <c r="M133" t="n">
        <v>0</v>
      </c>
      <c r="N133" t="n">
        <v>0</v>
      </c>
      <c r="O133" t="n">
        <v>2</v>
      </c>
      <c r="P133" t="n">
        <v>0</v>
      </c>
      <c r="Q133" t="n">
        <v>3</v>
      </c>
      <c r="R133" s="2" t="inlineStr">
        <is>
          <t>Svartvit flugsnappare
Sävsparv
Skogsödla</t>
        </is>
      </c>
      <c r="S133">
        <f>HYPERLINK("https://klasma.github.io/Logging_1881/artfynd/A 54112-2022 artfynd.xlsx", "A 54112-2022")</f>
        <v/>
      </c>
      <c r="T133">
        <f>HYPERLINK("https://klasma.github.io/Logging_1881/kartor/A 54112-2022 karta.png", "A 54112-2022")</f>
        <v/>
      </c>
      <c r="V133">
        <f>HYPERLINK("https://klasma.github.io/Logging_1881/klagomål/A 54112-2022 FSC-klagomål.docx", "A 54112-2022")</f>
        <v/>
      </c>
      <c r="W133">
        <f>HYPERLINK("https://klasma.github.io/Logging_1881/klagomålsmail/A 54112-2022 FSC-klagomål mail.docx", "A 54112-2022")</f>
        <v/>
      </c>
      <c r="X133">
        <f>HYPERLINK("https://klasma.github.io/Logging_1881/tillsyn/A 54112-2022 tillsynsbegäran.docx", "A 54112-2022")</f>
        <v/>
      </c>
      <c r="Y133">
        <f>HYPERLINK("https://klasma.github.io/Logging_1881/tillsynsmail/A 54112-2022 tillsynsbegäran mail.docx", "A 54112-2022")</f>
        <v/>
      </c>
      <c r="Z133">
        <f>HYPERLINK("https://klasma.github.io/Logging_1881/fåglar/A 54112-2022 prioriterade fågelarter.docx", "A 54112-2022")</f>
        <v/>
      </c>
    </row>
    <row r="134" ht="15" customHeight="1">
      <c r="A134" t="inlineStr">
        <is>
          <t>A 16122-2023</t>
        </is>
      </c>
      <c r="B134" s="1" t="n">
        <v>45027</v>
      </c>
      <c r="C134" s="1" t="n">
        <v>46132</v>
      </c>
      <c r="D134" t="inlineStr">
        <is>
          <t>ÖREBRO LÄN</t>
        </is>
      </c>
      <c r="E134" t="inlineStr">
        <is>
          <t>HALLSBERG</t>
        </is>
      </c>
      <c r="F134" t="inlineStr">
        <is>
          <t>Allmännings- och besparingsskogar</t>
        </is>
      </c>
      <c r="G134" t="n">
        <v>10.7</v>
      </c>
      <c r="H134" t="n">
        <v>3</v>
      </c>
      <c r="I134" t="n">
        <v>0</v>
      </c>
      <c r="J134" t="n">
        <v>1</v>
      </c>
      <c r="K134" t="n">
        <v>0</v>
      </c>
      <c r="L134" t="n">
        <v>0</v>
      </c>
      <c r="M134" t="n">
        <v>0</v>
      </c>
      <c r="N134" t="n">
        <v>0</v>
      </c>
      <c r="O134" t="n">
        <v>1</v>
      </c>
      <c r="P134" t="n">
        <v>0</v>
      </c>
      <c r="Q134" t="n">
        <v>3</v>
      </c>
      <c r="R134" s="2" t="inlineStr">
        <is>
          <t>Spillkråka
Fläcknycklar
Revlummer</t>
        </is>
      </c>
      <c r="S134">
        <f>HYPERLINK("https://klasma.github.io/Logging_1861/artfynd/A 16122-2023 artfynd.xlsx", "A 16122-2023")</f>
        <v/>
      </c>
      <c r="T134">
        <f>HYPERLINK("https://klasma.github.io/Logging_1861/kartor/A 16122-2023 karta.png", "A 16122-2023")</f>
        <v/>
      </c>
      <c r="V134">
        <f>HYPERLINK("https://klasma.github.io/Logging_1861/klagomål/A 16122-2023 FSC-klagomål.docx", "A 16122-2023")</f>
        <v/>
      </c>
      <c r="W134">
        <f>HYPERLINK("https://klasma.github.io/Logging_1861/klagomålsmail/A 16122-2023 FSC-klagomål mail.docx", "A 16122-2023")</f>
        <v/>
      </c>
      <c r="X134">
        <f>HYPERLINK("https://klasma.github.io/Logging_1861/tillsyn/A 16122-2023 tillsynsbegäran.docx", "A 16122-2023")</f>
        <v/>
      </c>
      <c r="Y134">
        <f>HYPERLINK("https://klasma.github.io/Logging_1861/tillsynsmail/A 16122-2023 tillsynsbegäran mail.docx", "A 16122-2023")</f>
        <v/>
      </c>
      <c r="Z134">
        <f>HYPERLINK("https://klasma.github.io/Logging_1861/fåglar/A 16122-2023 prioriterade fågelarter.docx", "A 16122-2023")</f>
        <v/>
      </c>
    </row>
    <row r="135" ht="15" customHeight="1">
      <c r="A135" t="inlineStr">
        <is>
          <t>A 42636-2025</t>
        </is>
      </c>
      <c r="B135" s="1" t="n">
        <v>45905.90789351852</v>
      </c>
      <c r="C135" s="1" t="n">
        <v>46132</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46132</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26868-2025</t>
        </is>
      </c>
      <c r="B137" s="1" t="n">
        <v>45810</v>
      </c>
      <c r="C137" s="1" t="n">
        <v>46132</v>
      </c>
      <c r="D137" t="inlineStr">
        <is>
          <t>ÖREBRO LÄN</t>
        </is>
      </c>
      <c r="E137" t="inlineStr">
        <is>
          <t>ASKERSUND</t>
        </is>
      </c>
      <c r="F137" t="inlineStr">
        <is>
          <t>Sveaskog</t>
        </is>
      </c>
      <c r="G137" t="n">
        <v>3.9</v>
      </c>
      <c r="H137" t="n">
        <v>3</v>
      </c>
      <c r="I137" t="n">
        <v>0</v>
      </c>
      <c r="J137" t="n">
        <v>0</v>
      </c>
      <c r="K137" t="n">
        <v>0</v>
      </c>
      <c r="L137" t="n">
        <v>0</v>
      </c>
      <c r="M137" t="n">
        <v>0</v>
      </c>
      <c r="N137" t="n">
        <v>0</v>
      </c>
      <c r="O137" t="n">
        <v>0</v>
      </c>
      <c r="P137" t="n">
        <v>0</v>
      </c>
      <c r="Q137" t="n">
        <v>3</v>
      </c>
      <c r="R137" s="2" t="inlineStr">
        <is>
          <t>Vanlig groda
Blåsippa
Mattlummer</t>
        </is>
      </c>
      <c r="S137">
        <f>HYPERLINK("https://klasma.github.io/Logging_1882/artfynd/A 26868-2025 artfynd.xlsx", "A 26868-2025")</f>
        <v/>
      </c>
      <c r="T137">
        <f>HYPERLINK("https://klasma.github.io/Logging_1882/kartor/A 26868-2025 karta.png", "A 26868-2025")</f>
        <v/>
      </c>
      <c r="V137">
        <f>HYPERLINK("https://klasma.github.io/Logging_1882/klagomål/A 26868-2025 FSC-klagomål.docx", "A 26868-2025")</f>
        <v/>
      </c>
      <c r="W137">
        <f>HYPERLINK("https://klasma.github.io/Logging_1882/klagomålsmail/A 26868-2025 FSC-klagomål mail.docx", "A 26868-2025")</f>
        <v/>
      </c>
      <c r="X137">
        <f>HYPERLINK("https://klasma.github.io/Logging_1882/tillsyn/A 26868-2025 tillsynsbegäran.docx", "A 26868-2025")</f>
        <v/>
      </c>
      <c r="Y137">
        <f>HYPERLINK("https://klasma.github.io/Logging_1882/tillsynsmail/A 26868-2025 tillsynsbegäran mail.docx", "A 26868-2025")</f>
        <v/>
      </c>
    </row>
    <row r="138" ht="15" customHeight="1">
      <c r="A138" t="inlineStr">
        <is>
          <t>A 3945-2022</t>
        </is>
      </c>
      <c r="B138" s="1" t="n">
        <v>44587</v>
      </c>
      <c r="C138" s="1" t="n">
        <v>46132</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54877-2024</t>
        </is>
      </c>
      <c r="B139" s="1" t="n">
        <v>45618.60362268519</v>
      </c>
      <c r="C139" s="1" t="n">
        <v>46132</v>
      </c>
      <c r="D139" t="inlineStr">
        <is>
          <t>ÖREBRO LÄN</t>
        </is>
      </c>
      <c r="E139" t="inlineStr">
        <is>
          <t>LAXÅ</t>
        </is>
      </c>
      <c r="F139" t="inlineStr">
        <is>
          <t>Sveaskog</t>
        </is>
      </c>
      <c r="G139" t="n">
        <v>1.3</v>
      </c>
      <c r="H139" t="n">
        <v>0</v>
      </c>
      <c r="I139" t="n">
        <v>2</v>
      </c>
      <c r="J139" t="n">
        <v>1</v>
      </c>
      <c r="K139" t="n">
        <v>0</v>
      </c>
      <c r="L139" t="n">
        <v>0</v>
      </c>
      <c r="M139" t="n">
        <v>0</v>
      </c>
      <c r="N139" t="n">
        <v>0</v>
      </c>
      <c r="O139" t="n">
        <v>1</v>
      </c>
      <c r="P139" t="n">
        <v>0</v>
      </c>
      <c r="Q139" t="n">
        <v>3</v>
      </c>
      <c r="R139" s="2" t="inlineStr">
        <is>
          <t>Tallticka
Dropptaggsvamp
Grovticka</t>
        </is>
      </c>
      <c r="S139">
        <f>HYPERLINK("https://klasma.github.io/Logging_1860/artfynd/A 54877-2024 artfynd.xlsx", "A 54877-2024")</f>
        <v/>
      </c>
      <c r="T139">
        <f>HYPERLINK("https://klasma.github.io/Logging_1860/kartor/A 54877-2024 karta.png", "A 54877-2024")</f>
        <v/>
      </c>
      <c r="V139">
        <f>HYPERLINK("https://klasma.github.io/Logging_1860/klagomål/A 54877-2024 FSC-klagomål.docx", "A 54877-2024")</f>
        <v/>
      </c>
      <c r="W139">
        <f>HYPERLINK("https://klasma.github.io/Logging_1860/klagomålsmail/A 54877-2024 FSC-klagomål mail.docx", "A 54877-2024")</f>
        <v/>
      </c>
      <c r="X139">
        <f>HYPERLINK("https://klasma.github.io/Logging_1860/tillsyn/A 54877-2024 tillsynsbegäran.docx", "A 54877-2024")</f>
        <v/>
      </c>
      <c r="Y139">
        <f>HYPERLINK("https://klasma.github.io/Logging_1860/tillsynsmail/A 54877-2024 tillsynsbegäran mail.docx", "A 54877-2024")</f>
        <v/>
      </c>
    </row>
    <row r="140" ht="15" customHeight="1">
      <c r="A140" t="inlineStr">
        <is>
          <t>A 55325-2025</t>
        </is>
      </c>
      <c r="B140" s="1" t="n">
        <v>45971.33545138889</v>
      </c>
      <c r="C140" s="1" t="n">
        <v>46132</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45554-2025</t>
        </is>
      </c>
      <c r="B141" s="1" t="n">
        <v>45922.64197916666</v>
      </c>
      <c r="C141" s="1" t="n">
        <v>46132</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47782-2025</t>
        </is>
      </c>
      <c r="B142" s="1" t="n">
        <v>45931</v>
      </c>
      <c r="C142" s="1" t="n">
        <v>46132</v>
      </c>
      <c r="D142" t="inlineStr">
        <is>
          <t>ÖREBRO LÄN</t>
        </is>
      </c>
      <c r="E142" t="inlineStr">
        <is>
          <t>DEGERFORS</t>
        </is>
      </c>
      <c r="G142" t="n">
        <v>13.4</v>
      </c>
      <c r="H142" t="n">
        <v>3</v>
      </c>
      <c r="I142" t="n">
        <v>0</v>
      </c>
      <c r="J142" t="n">
        <v>3</v>
      </c>
      <c r="K142" t="n">
        <v>0</v>
      </c>
      <c r="L142" t="n">
        <v>0</v>
      </c>
      <c r="M142" t="n">
        <v>0</v>
      </c>
      <c r="N142" t="n">
        <v>0</v>
      </c>
      <c r="O142" t="n">
        <v>3</v>
      </c>
      <c r="P142" t="n">
        <v>0</v>
      </c>
      <c r="Q142" t="n">
        <v>3</v>
      </c>
      <c r="R142" s="2" t="inlineStr">
        <is>
          <t>Spillkråka
Talltita
Tretåig hackspett</t>
        </is>
      </c>
      <c r="S142">
        <f>HYPERLINK("https://klasma.github.io/Logging_1862/artfynd/A 47782-2025 artfynd.xlsx", "A 47782-2025")</f>
        <v/>
      </c>
      <c r="T142">
        <f>HYPERLINK("https://klasma.github.io/Logging_1862/kartor/A 47782-2025 karta.png", "A 47782-2025")</f>
        <v/>
      </c>
      <c r="V142">
        <f>HYPERLINK("https://klasma.github.io/Logging_1862/klagomål/A 47782-2025 FSC-klagomål.docx", "A 47782-2025")</f>
        <v/>
      </c>
      <c r="W142">
        <f>HYPERLINK("https://klasma.github.io/Logging_1862/klagomålsmail/A 47782-2025 FSC-klagomål mail.docx", "A 47782-2025")</f>
        <v/>
      </c>
      <c r="X142">
        <f>HYPERLINK("https://klasma.github.io/Logging_1862/tillsyn/A 47782-2025 tillsynsbegäran.docx", "A 47782-2025")</f>
        <v/>
      </c>
      <c r="Y142">
        <f>HYPERLINK("https://klasma.github.io/Logging_1862/tillsynsmail/A 47782-2025 tillsynsbegäran mail.docx", "A 47782-2025")</f>
        <v/>
      </c>
      <c r="Z142">
        <f>HYPERLINK("https://klasma.github.io/Logging_1862/fåglar/A 47782-2025 prioriterade fågelarter.docx", "A 47782-2025")</f>
        <v/>
      </c>
    </row>
    <row r="143" ht="15" customHeight="1">
      <c r="A143" t="inlineStr">
        <is>
          <t>A 44883-2024</t>
        </is>
      </c>
      <c r="B143" s="1" t="n">
        <v>45575</v>
      </c>
      <c r="C143" s="1" t="n">
        <v>46132</v>
      </c>
      <c r="D143" t="inlineStr">
        <is>
          <t>ÖREBRO LÄN</t>
        </is>
      </c>
      <c r="E143" t="inlineStr">
        <is>
          <t>ASKERSUND</t>
        </is>
      </c>
      <c r="F143" t="inlineStr">
        <is>
          <t>Sveaskog</t>
        </is>
      </c>
      <c r="G143" t="n">
        <v>2.8</v>
      </c>
      <c r="H143" t="n">
        <v>1</v>
      </c>
      <c r="I143" t="n">
        <v>1</v>
      </c>
      <c r="J143" t="n">
        <v>1</v>
      </c>
      <c r="K143" t="n">
        <v>0</v>
      </c>
      <c r="L143" t="n">
        <v>0</v>
      </c>
      <c r="M143" t="n">
        <v>0</v>
      </c>
      <c r="N143" t="n">
        <v>0</v>
      </c>
      <c r="O143" t="n">
        <v>1</v>
      </c>
      <c r="P143" t="n">
        <v>0</v>
      </c>
      <c r="Q143" t="n">
        <v>3</v>
      </c>
      <c r="R143" s="2" t="inlineStr">
        <is>
          <t>Svinrot
Svart trolldruva
Gullviva</t>
        </is>
      </c>
      <c r="S143">
        <f>HYPERLINK("https://klasma.github.io/Logging_1882/artfynd/A 44883-2024 artfynd.xlsx", "A 44883-2024")</f>
        <v/>
      </c>
      <c r="T143">
        <f>HYPERLINK("https://klasma.github.io/Logging_1882/kartor/A 44883-2024 karta.png", "A 44883-2024")</f>
        <v/>
      </c>
      <c r="V143">
        <f>HYPERLINK("https://klasma.github.io/Logging_1882/klagomål/A 44883-2024 FSC-klagomål.docx", "A 44883-2024")</f>
        <v/>
      </c>
      <c r="W143">
        <f>HYPERLINK("https://klasma.github.io/Logging_1882/klagomålsmail/A 44883-2024 FSC-klagomål mail.docx", "A 44883-2024")</f>
        <v/>
      </c>
      <c r="X143">
        <f>HYPERLINK("https://klasma.github.io/Logging_1882/tillsyn/A 44883-2024 tillsynsbegäran.docx", "A 44883-2024")</f>
        <v/>
      </c>
      <c r="Y143">
        <f>HYPERLINK("https://klasma.github.io/Logging_1882/tillsynsmail/A 44883-2024 tillsynsbegäran mail.docx", "A 44883-2024")</f>
        <v/>
      </c>
    </row>
    <row r="144" ht="15" customHeight="1">
      <c r="A144" t="inlineStr">
        <is>
          <t>A 34283-2024</t>
        </is>
      </c>
      <c r="B144" s="1" t="n">
        <v>45524</v>
      </c>
      <c r="C144" s="1" t="n">
        <v>46132</v>
      </c>
      <c r="D144" t="inlineStr">
        <is>
          <t>ÖREBRO LÄN</t>
        </is>
      </c>
      <c r="E144" t="inlineStr">
        <is>
          <t>LAXÅ</t>
        </is>
      </c>
      <c r="G144" t="n">
        <v>1.8</v>
      </c>
      <c r="H144" t="n">
        <v>3</v>
      </c>
      <c r="I144" t="n">
        <v>0</v>
      </c>
      <c r="J144" t="n">
        <v>0</v>
      </c>
      <c r="K144" t="n">
        <v>0</v>
      </c>
      <c r="L144" t="n">
        <v>0</v>
      </c>
      <c r="M144" t="n">
        <v>0</v>
      </c>
      <c r="N144" t="n">
        <v>0</v>
      </c>
      <c r="O144" t="n">
        <v>0</v>
      </c>
      <c r="P144" t="n">
        <v>0</v>
      </c>
      <c r="Q144" t="n">
        <v>3</v>
      </c>
      <c r="R144" s="2" t="inlineStr">
        <is>
          <t>Grönsiska
Järnsparv
Kungsfågel</t>
        </is>
      </c>
      <c r="S144">
        <f>HYPERLINK("https://klasma.github.io/Logging_1860/artfynd/A 34283-2024 artfynd.xlsx", "A 34283-2024")</f>
        <v/>
      </c>
      <c r="T144">
        <f>HYPERLINK("https://klasma.github.io/Logging_1860/kartor/A 34283-2024 karta.png", "A 34283-2024")</f>
        <v/>
      </c>
      <c r="V144">
        <f>HYPERLINK("https://klasma.github.io/Logging_1860/klagomål/A 34283-2024 FSC-klagomål.docx", "A 34283-2024")</f>
        <v/>
      </c>
      <c r="W144">
        <f>HYPERLINK("https://klasma.github.io/Logging_1860/klagomålsmail/A 34283-2024 FSC-klagomål mail.docx", "A 34283-2024")</f>
        <v/>
      </c>
      <c r="X144">
        <f>HYPERLINK("https://klasma.github.io/Logging_1860/tillsyn/A 34283-2024 tillsynsbegäran.docx", "A 34283-2024")</f>
        <v/>
      </c>
      <c r="Y144">
        <f>HYPERLINK("https://klasma.github.io/Logging_1860/tillsynsmail/A 34283-2024 tillsynsbegäran mail.docx", "A 34283-2024")</f>
        <v/>
      </c>
      <c r="Z144">
        <f>HYPERLINK("https://klasma.github.io/Logging_1860/fåglar/A 34283-2024 prioriterade fågelarter.docx", "A 34283-2024")</f>
        <v/>
      </c>
    </row>
    <row r="145" ht="15" customHeight="1">
      <c r="A145" t="inlineStr">
        <is>
          <t>A 49945-2025</t>
        </is>
      </c>
      <c r="B145" s="1" t="n">
        <v>45940.69754629629</v>
      </c>
      <c r="C145" s="1" t="n">
        <v>46132</v>
      </c>
      <c r="D145" t="inlineStr">
        <is>
          <t>ÖREBRO LÄN</t>
        </is>
      </c>
      <c r="E145" t="inlineStr">
        <is>
          <t>LINDESBERG</t>
        </is>
      </c>
      <c r="F145" t="inlineStr">
        <is>
          <t>Sveaskog</t>
        </is>
      </c>
      <c r="G145" t="n">
        <v>2.4</v>
      </c>
      <c r="H145" t="n">
        <v>1</v>
      </c>
      <c r="I145" t="n">
        <v>1</v>
      </c>
      <c r="J145" t="n">
        <v>1</v>
      </c>
      <c r="K145" t="n">
        <v>0</v>
      </c>
      <c r="L145" t="n">
        <v>0</v>
      </c>
      <c r="M145" t="n">
        <v>0</v>
      </c>
      <c r="N145" t="n">
        <v>0</v>
      </c>
      <c r="O145" t="n">
        <v>1</v>
      </c>
      <c r="P145" t="n">
        <v>0</v>
      </c>
      <c r="Q145" t="n">
        <v>3</v>
      </c>
      <c r="R145" s="2" t="inlineStr">
        <is>
          <t>Motaggsvamp
Zontaggsvamp
Mattlummer</t>
        </is>
      </c>
      <c r="S145">
        <f>HYPERLINK("https://klasma.github.io/Logging_1885/artfynd/A 49945-2025 artfynd.xlsx", "A 49945-2025")</f>
        <v/>
      </c>
      <c r="T145">
        <f>HYPERLINK("https://klasma.github.io/Logging_1885/kartor/A 49945-2025 karta.png", "A 49945-2025")</f>
        <v/>
      </c>
      <c r="V145">
        <f>HYPERLINK("https://klasma.github.io/Logging_1885/klagomål/A 49945-2025 FSC-klagomål.docx", "A 49945-2025")</f>
        <v/>
      </c>
      <c r="W145">
        <f>HYPERLINK("https://klasma.github.io/Logging_1885/klagomålsmail/A 49945-2025 FSC-klagomål mail.docx", "A 49945-2025")</f>
        <v/>
      </c>
      <c r="X145">
        <f>HYPERLINK("https://klasma.github.io/Logging_1885/tillsyn/A 49945-2025 tillsynsbegäran.docx", "A 49945-2025")</f>
        <v/>
      </c>
      <c r="Y145">
        <f>HYPERLINK("https://klasma.github.io/Logging_1885/tillsynsmail/A 49945-2025 tillsynsbegäran mail.docx", "A 49945-2025")</f>
        <v/>
      </c>
    </row>
    <row r="146" ht="15" customHeight="1">
      <c r="A146" t="inlineStr">
        <is>
          <t>A 34266-2025</t>
        </is>
      </c>
      <c r="B146" s="1" t="n">
        <v>45845.75751157408</v>
      </c>
      <c r="C146" s="1" t="n">
        <v>46132</v>
      </c>
      <c r="D146" t="inlineStr">
        <is>
          <t>ÖREBRO LÄN</t>
        </is>
      </c>
      <c r="E146" t="inlineStr">
        <is>
          <t>LINDESBERG</t>
        </is>
      </c>
      <c r="G146" t="n">
        <v>4.5</v>
      </c>
      <c r="H146" t="n">
        <v>2</v>
      </c>
      <c r="I146" t="n">
        <v>1</v>
      </c>
      <c r="J146" t="n">
        <v>1</v>
      </c>
      <c r="K146" t="n">
        <v>0</v>
      </c>
      <c r="L146" t="n">
        <v>0</v>
      </c>
      <c r="M146" t="n">
        <v>0</v>
      </c>
      <c r="N146" t="n">
        <v>0</v>
      </c>
      <c r="O146" t="n">
        <v>1</v>
      </c>
      <c r="P146" t="n">
        <v>0</v>
      </c>
      <c r="Q146" t="n">
        <v>3</v>
      </c>
      <c r="R146" s="2" t="inlineStr">
        <is>
          <t>Spillkråka
Dropptaggsvamp
Kungsfågel</t>
        </is>
      </c>
      <c r="S146">
        <f>HYPERLINK("https://klasma.github.io/Logging_1885/artfynd/A 34266-2025 artfynd.xlsx", "A 34266-2025")</f>
        <v/>
      </c>
      <c r="T146">
        <f>HYPERLINK("https://klasma.github.io/Logging_1885/kartor/A 34266-2025 karta.png", "A 34266-2025")</f>
        <v/>
      </c>
      <c r="V146">
        <f>HYPERLINK("https://klasma.github.io/Logging_1885/klagomål/A 34266-2025 FSC-klagomål.docx", "A 34266-2025")</f>
        <v/>
      </c>
      <c r="W146">
        <f>HYPERLINK("https://klasma.github.io/Logging_1885/klagomålsmail/A 34266-2025 FSC-klagomål mail.docx", "A 34266-2025")</f>
        <v/>
      </c>
      <c r="X146">
        <f>HYPERLINK("https://klasma.github.io/Logging_1885/tillsyn/A 34266-2025 tillsynsbegäran.docx", "A 34266-2025")</f>
        <v/>
      </c>
      <c r="Y146">
        <f>HYPERLINK("https://klasma.github.io/Logging_1885/tillsynsmail/A 34266-2025 tillsynsbegäran mail.docx", "A 34266-2025")</f>
        <v/>
      </c>
      <c r="Z146">
        <f>HYPERLINK("https://klasma.github.io/Logging_1885/fåglar/A 34266-2025 prioriterade fågelarter.docx", "A 34266-2025")</f>
        <v/>
      </c>
    </row>
    <row r="147" ht="15" customHeight="1">
      <c r="A147" t="inlineStr">
        <is>
          <t>A 35098-2025</t>
        </is>
      </c>
      <c r="B147" s="1" t="n">
        <v>45852.5469212963</v>
      </c>
      <c r="C147" s="1" t="n">
        <v>46132</v>
      </c>
      <c r="D147" t="inlineStr">
        <is>
          <t>ÖREBRO LÄN</t>
        </is>
      </c>
      <c r="E147" t="inlineStr">
        <is>
          <t>ÖREBRO</t>
        </is>
      </c>
      <c r="F147" t="inlineStr">
        <is>
          <t>Allmännings- och besparingsskogar</t>
        </is>
      </c>
      <c r="G147" t="n">
        <v>28.9</v>
      </c>
      <c r="H147" t="n">
        <v>2</v>
      </c>
      <c r="I147" t="n">
        <v>1</v>
      </c>
      <c r="J147" t="n">
        <v>1</v>
      </c>
      <c r="K147" t="n">
        <v>0</v>
      </c>
      <c r="L147" t="n">
        <v>0</v>
      </c>
      <c r="M147" t="n">
        <v>0</v>
      </c>
      <c r="N147" t="n">
        <v>0</v>
      </c>
      <c r="O147" t="n">
        <v>1</v>
      </c>
      <c r="P147" t="n">
        <v>0</v>
      </c>
      <c r="Q147" t="n">
        <v>3</v>
      </c>
      <c r="R147" s="2" t="inlineStr">
        <is>
          <t>Talltita
Grönpyrola
Revlummer</t>
        </is>
      </c>
      <c r="S147">
        <f>HYPERLINK("https://klasma.github.io/Logging_1880/artfynd/A 35098-2025 artfynd.xlsx", "A 35098-2025")</f>
        <v/>
      </c>
      <c r="T147">
        <f>HYPERLINK("https://klasma.github.io/Logging_1880/kartor/A 35098-2025 karta.png", "A 35098-2025")</f>
        <v/>
      </c>
      <c r="V147">
        <f>HYPERLINK("https://klasma.github.io/Logging_1880/klagomål/A 35098-2025 FSC-klagomål.docx", "A 35098-2025")</f>
        <v/>
      </c>
      <c r="W147">
        <f>HYPERLINK("https://klasma.github.io/Logging_1880/klagomålsmail/A 35098-2025 FSC-klagomål mail.docx", "A 35098-2025")</f>
        <v/>
      </c>
      <c r="X147">
        <f>HYPERLINK("https://klasma.github.io/Logging_1880/tillsyn/A 35098-2025 tillsynsbegäran.docx", "A 35098-2025")</f>
        <v/>
      </c>
      <c r="Y147">
        <f>HYPERLINK("https://klasma.github.io/Logging_1880/tillsynsmail/A 35098-2025 tillsynsbegäran mail.docx", "A 35098-2025")</f>
        <v/>
      </c>
      <c r="Z147">
        <f>HYPERLINK("https://klasma.github.io/Logging_1880/fåglar/A 35098-2025 prioriterade fågelarter.docx", "A 35098-2025")</f>
        <v/>
      </c>
    </row>
    <row r="148" ht="15" customHeight="1">
      <c r="A148" t="inlineStr">
        <is>
          <t>A 58837-2025</t>
        </is>
      </c>
      <c r="B148" s="1" t="n">
        <v>45987.35875</v>
      </c>
      <c r="C148" s="1" t="n">
        <v>46132</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59526-2025</t>
        </is>
      </c>
      <c r="B149" s="1" t="n">
        <v>45989.66488425926</v>
      </c>
      <c r="C149" s="1" t="n">
        <v>46132</v>
      </c>
      <c r="D149" t="inlineStr">
        <is>
          <t>ÖREBRO LÄN</t>
        </is>
      </c>
      <c r="E149" t="inlineStr">
        <is>
          <t>NORA</t>
        </is>
      </c>
      <c r="F149" t="inlineStr">
        <is>
          <t>Sveaskog</t>
        </is>
      </c>
      <c r="G149" t="n">
        <v>4</v>
      </c>
      <c r="H149" t="n">
        <v>2</v>
      </c>
      <c r="I149" t="n">
        <v>0</v>
      </c>
      <c r="J149" t="n">
        <v>2</v>
      </c>
      <c r="K149" t="n">
        <v>0</v>
      </c>
      <c r="L149" t="n">
        <v>0</v>
      </c>
      <c r="M149" t="n">
        <v>0</v>
      </c>
      <c r="N149" t="n">
        <v>0</v>
      </c>
      <c r="O149" t="n">
        <v>2</v>
      </c>
      <c r="P149" t="n">
        <v>0</v>
      </c>
      <c r="Q149" t="n">
        <v>3</v>
      </c>
      <c r="R149" s="2" t="inlineStr">
        <is>
          <t>Motaggsvamp
Spillkråka
Kungsfågel</t>
        </is>
      </c>
      <c r="S149">
        <f>HYPERLINK("https://klasma.github.io/Logging_1884/artfynd/A 59526-2025 artfynd.xlsx", "A 59526-2025")</f>
        <v/>
      </c>
      <c r="T149">
        <f>HYPERLINK("https://klasma.github.io/Logging_1884/kartor/A 59526-2025 karta.png", "A 59526-2025")</f>
        <v/>
      </c>
      <c r="V149">
        <f>HYPERLINK("https://klasma.github.io/Logging_1884/klagomål/A 59526-2025 FSC-klagomål.docx", "A 59526-2025")</f>
        <v/>
      </c>
      <c r="W149">
        <f>HYPERLINK("https://klasma.github.io/Logging_1884/klagomålsmail/A 59526-2025 FSC-klagomål mail.docx", "A 59526-2025")</f>
        <v/>
      </c>
      <c r="X149">
        <f>HYPERLINK("https://klasma.github.io/Logging_1884/tillsyn/A 59526-2025 tillsynsbegäran.docx", "A 59526-2025")</f>
        <v/>
      </c>
      <c r="Y149">
        <f>HYPERLINK("https://klasma.github.io/Logging_1884/tillsynsmail/A 59526-2025 tillsynsbegäran mail.docx", "A 59526-2025")</f>
        <v/>
      </c>
      <c r="Z149">
        <f>HYPERLINK("https://klasma.github.io/Logging_1884/fåglar/A 59526-2025 prioriterade fågelarter.docx", "A 59526-2025")</f>
        <v/>
      </c>
    </row>
    <row r="150" ht="15" customHeight="1">
      <c r="A150" t="inlineStr">
        <is>
          <t>A 50989-2023</t>
        </is>
      </c>
      <c r="B150" s="1" t="n">
        <v>45218</v>
      </c>
      <c r="C150" s="1" t="n">
        <v>46132</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17812-2025</t>
        </is>
      </c>
      <c r="B151" s="1" t="n">
        <v>45758.56012731481</v>
      </c>
      <c r="C151" s="1" t="n">
        <v>46132</v>
      </c>
      <c r="D151" t="inlineStr">
        <is>
          <t>ÖREBRO LÄN</t>
        </is>
      </c>
      <c r="E151" t="inlineStr">
        <is>
          <t>HÄLLEFORS</t>
        </is>
      </c>
      <c r="F151" t="inlineStr">
        <is>
          <t>Sveaskog</t>
        </is>
      </c>
      <c r="G151" t="n">
        <v>1.8</v>
      </c>
      <c r="H151" t="n">
        <v>2</v>
      </c>
      <c r="I151" t="n">
        <v>1</v>
      </c>
      <c r="J151" t="n">
        <v>2</v>
      </c>
      <c r="K151" t="n">
        <v>0</v>
      </c>
      <c r="L151" t="n">
        <v>0</v>
      </c>
      <c r="M151" t="n">
        <v>0</v>
      </c>
      <c r="N151" t="n">
        <v>0</v>
      </c>
      <c r="O151" t="n">
        <v>2</v>
      </c>
      <c r="P151" t="n">
        <v>0</v>
      </c>
      <c r="Q151" t="n">
        <v>3</v>
      </c>
      <c r="R151" s="2" t="inlineStr">
        <is>
          <t>Mindre hackspett
Talltita
Stuplav</t>
        </is>
      </c>
      <c r="S151">
        <f>HYPERLINK("https://klasma.github.io/Logging_1863/artfynd/A 17812-2025 artfynd.xlsx", "A 17812-2025")</f>
        <v/>
      </c>
      <c r="T151">
        <f>HYPERLINK("https://klasma.github.io/Logging_1863/kartor/A 17812-2025 karta.png", "A 17812-2025")</f>
        <v/>
      </c>
      <c r="V151">
        <f>HYPERLINK("https://klasma.github.io/Logging_1863/klagomål/A 17812-2025 FSC-klagomål.docx", "A 17812-2025")</f>
        <v/>
      </c>
      <c r="W151">
        <f>HYPERLINK("https://klasma.github.io/Logging_1863/klagomålsmail/A 17812-2025 FSC-klagomål mail.docx", "A 17812-2025")</f>
        <v/>
      </c>
      <c r="X151">
        <f>HYPERLINK("https://klasma.github.io/Logging_1863/tillsyn/A 17812-2025 tillsynsbegäran.docx", "A 17812-2025")</f>
        <v/>
      </c>
      <c r="Y151">
        <f>HYPERLINK("https://klasma.github.io/Logging_1863/tillsynsmail/A 17812-2025 tillsynsbegäran mail.docx", "A 17812-2025")</f>
        <v/>
      </c>
      <c r="Z151">
        <f>HYPERLINK("https://klasma.github.io/Logging_1863/fåglar/A 17812-2025 prioriterade fågelarter.docx", "A 17812-2025")</f>
        <v/>
      </c>
    </row>
    <row r="152" ht="15" customHeight="1">
      <c r="A152" t="inlineStr">
        <is>
          <t>A 38915-2023</t>
        </is>
      </c>
      <c r="B152" s="1" t="n">
        <v>45163</v>
      </c>
      <c r="C152" s="1" t="n">
        <v>46132</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30410-2023</t>
        </is>
      </c>
      <c r="B153" s="1" t="n">
        <v>45111</v>
      </c>
      <c r="C153" s="1" t="n">
        <v>46132</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38299-2022</t>
        </is>
      </c>
      <c r="B154" s="1" t="n">
        <v>44812</v>
      </c>
      <c r="C154" s="1" t="n">
        <v>46132</v>
      </c>
      <c r="D154" t="inlineStr">
        <is>
          <t>ÖREBRO LÄN</t>
        </is>
      </c>
      <c r="E154" t="inlineStr">
        <is>
          <t>ASKERSUND</t>
        </is>
      </c>
      <c r="G154" t="n">
        <v>6.2</v>
      </c>
      <c r="H154" t="n">
        <v>1</v>
      </c>
      <c r="I154" t="n">
        <v>2</v>
      </c>
      <c r="J154" t="n">
        <v>0</v>
      </c>
      <c r="K154" t="n">
        <v>0</v>
      </c>
      <c r="L154" t="n">
        <v>0</v>
      </c>
      <c r="M154" t="n">
        <v>0</v>
      </c>
      <c r="N154" t="n">
        <v>0</v>
      </c>
      <c r="O154" t="n">
        <v>0</v>
      </c>
      <c r="P154" t="n">
        <v>0</v>
      </c>
      <c r="Q154" t="n">
        <v>3</v>
      </c>
      <c r="R154" s="2" t="inlineStr">
        <is>
          <t>Mörk husmossa
Skogshakmossa
Nattviol</t>
        </is>
      </c>
      <c r="S154">
        <f>HYPERLINK("https://klasma.github.io/Logging_1882/artfynd/A 38299-2022 artfynd.xlsx", "A 38299-2022")</f>
        <v/>
      </c>
      <c r="T154">
        <f>HYPERLINK("https://klasma.github.io/Logging_1882/kartor/A 38299-2022 karta.png", "A 38299-2022")</f>
        <v/>
      </c>
      <c r="V154">
        <f>HYPERLINK("https://klasma.github.io/Logging_1882/klagomål/A 38299-2022 FSC-klagomål.docx", "A 38299-2022")</f>
        <v/>
      </c>
      <c r="W154">
        <f>HYPERLINK("https://klasma.github.io/Logging_1882/klagomålsmail/A 38299-2022 FSC-klagomål mail.docx", "A 38299-2022")</f>
        <v/>
      </c>
      <c r="X154">
        <f>HYPERLINK("https://klasma.github.io/Logging_1882/tillsyn/A 38299-2022 tillsynsbegäran.docx", "A 38299-2022")</f>
        <v/>
      </c>
      <c r="Y154">
        <f>HYPERLINK("https://klasma.github.io/Logging_1882/tillsynsmail/A 38299-2022 tillsynsbegäran mail.docx", "A 38299-2022")</f>
        <v/>
      </c>
    </row>
    <row r="155" ht="15" customHeight="1">
      <c r="A155" t="inlineStr">
        <is>
          <t>A 59519-2025</t>
        </is>
      </c>
      <c r="B155" s="1" t="n">
        <v>45989</v>
      </c>
      <c r="C155" s="1" t="n">
        <v>46132</v>
      </c>
      <c r="D155" t="inlineStr">
        <is>
          <t>ÖREBRO LÄN</t>
        </is>
      </c>
      <c r="E155" t="inlineStr">
        <is>
          <t>ÖREBRO</t>
        </is>
      </c>
      <c r="F155" t="inlineStr">
        <is>
          <t>Sveaskog</t>
        </is>
      </c>
      <c r="G155" t="n">
        <v>2.5</v>
      </c>
      <c r="H155" t="n">
        <v>3</v>
      </c>
      <c r="I155" t="n">
        <v>0</v>
      </c>
      <c r="J155" t="n">
        <v>0</v>
      </c>
      <c r="K155" t="n">
        <v>0</v>
      </c>
      <c r="L155" t="n">
        <v>0</v>
      </c>
      <c r="M155" t="n">
        <v>0</v>
      </c>
      <c r="N155" t="n">
        <v>0</v>
      </c>
      <c r="O155" t="n">
        <v>0</v>
      </c>
      <c r="P155" t="n">
        <v>0</v>
      </c>
      <c r="Q155" t="n">
        <v>3</v>
      </c>
      <c r="R155" s="2" t="inlineStr">
        <is>
          <t>Hasselmus
Nattviol
Blåsippa</t>
        </is>
      </c>
      <c r="S155">
        <f>HYPERLINK("https://klasma.github.io/Logging_1880/artfynd/A 59519-2025 artfynd.xlsx", "A 59519-2025")</f>
        <v/>
      </c>
      <c r="T155">
        <f>HYPERLINK("https://klasma.github.io/Logging_1880/kartor/A 59519-2025 karta.png", "A 59519-2025")</f>
        <v/>
      </c>
      <c r="V155">
        <f>HYPERLINK("https://klasma.github.io/Logging_1880/klagomål/A 59519-2025 FSC-klagomål.docx", "A 59519-2025")</f>
        <v/>
      </c>
      <c r="W155">
        <f>HYPERLINK("https://klasma.github.io/Logging_1880/klagomålsmail/A 59519-2025 FSC-klagomål mail.docx", "A 59519-2025")</f>
        <v/>
      </c>
      <c r="X155">
        <f>HYPERLINK("https://klasma.github.io/Logging_1880/tillsyn/A 59519-2025 tillsynsbegäran.docx", "A 59519-2025")</f>
        <v/>
      </c>
      <c r="Y155">
        <f>HYPERLINK("https://klasma.github.io/Logging_1880/tillsynsmail/A 59519-2025 tillsynsbegäran mail.docx", "A 59519-2025")</f>
        <v/>
      </c>
    </row>
    <row r="156" ht="15" customHeight="1">
      <c r="A156" t="inlineStr">
        <is>
          <t>A 59517-2025</t>
        </is>
      </c>
      <c r="B156" s="1" t="n">
        <v>45989.65462962963</v>
      </c>
      <c r="C156" s="1" t="n">
        <v>46132</v>
      </c>
      <c r="D156" t="inlineStr">
        <is>
          <t>ÖREBRO LÄN</t>
        </is>
      </c>
      <c r="E156" t="inlineStr">
        <is>
          <t>ÖREBRO</t>
        </is>
      </c>
      <c r="F156" t="inlineStr">
        <is>
          <t>Sveaskog</t>
        </is>
      </c>
      <c r="G156" t="n">
        <v>3.7</v>
      </c>
      <c r="H156" t="n">
        <v>0</v>
      </c>
      <c r="I156" t="n">
        <v>1</v>
      </c>
      <c r="J156" t="n">
        <v>1</v>
      </c>
      <c r="K156" t="n">
        <v>1</v>
      </c>
      <c r="L156" t="n">
        <v>0</v>
      </c>
      <c r="M156" t="n">
        <v>0</v>
      </c>
      <c r="N156" t="n">
        <v>0</v>
      </c>
      <c r="O156" t="n">
        <v>2</v>
      </c>
      <c r="P156" t="n">
        <v>1</v>
      </c>
      <c r="Q156" t="n">
        <v>3</v>
      </c>
      <c r="R156" s="2" t="inlineStr">
        <is>
          <t>Porslinsblå spindling
Gul taggsvamp
Rödgul trumpetsvamp</t>
        </is>
      </c>
      <c r="S156">
        <f>HYPERLINK("https://klasma.github.io/Logging_1880/artfynd/A 59517-2025 artfynd.xlsx", "A 59517-2025")</f>
        <v/>
      </c>
      <c r="T156">
        <f>HYPERLINK("https://klasma.github.io/Logging_1880/kartor/A 59517-2025 karta.png", "A 59517-2025")</f>
        <v/>
      </c>
      <c r="V156">
        <f>HYPERLINK("https://klasma.github.io/Logging_1880/klagomål/A 59517-2025 FSC-klagomål.docx", "A 59517-2025")</f>
        <v/>
      </c>
      <c r="W156">
        <f>HYPERLINK("https://klasma.github.io/Logging_1880/klagomålsmail/A 59517-2025 FSC-klagomål mail.docx", "A 59517-2025")</f>
        <v/>
      </c>
      <c r="X156">
        <f>HYPERLINK("https://klasma.github.io/Logging_1880/tillsyn/A 59517-2025 tillsynsbegäran.docx", "A 59517-2025")</f>
        <v/>
      </c>
      <c r="Y156">
        <f>HYPERLINK("https://klasma.github.io/Logging_1880/tillsynsmail/A 59517-2025 tillsynsbegäran mail.docx", "A 59517-2025")</f>
        <v/>
      </c>
    </row>
    <row r="157" ht="15" customHeight="1">
      <c r="A157" t="inlineStr">
        <is>
          <t>A 2206-2026</t>
        </is>
      </c>
      <c r="B157" s="1" t="n">
        <v>46036.48571759259</v>
      </c>
      <c r="C157" s="1" t="n">
        <v>46132</v>
      </c>
      <c r="D157" t="inlineStr">
        <is>
          <t>ÖREBRO LÄN</t>
        </is>
      </c>
      <c r="E157" t="inlineStr">
        <is>
          <t>ASKERSUND</t>
        </is>
      </c>
      <c r="F157" t="inlineStr">
        <is>
          <t>Sveaskog</t>
        </is>
      </c>
      <c r="G157" t="n">
        <v>2.5</v>
      </c>
      <c r="H157" t="n">
        <v>1</v>
      </c>
      <c r="I157" t="n">
        <v>0</v>
      </c>
      <c r="J157" t="n">
        <v>1</v>
      </c>
      <c r="K157" t="n">
        <v>1</v>
      </c>
      <c r="L157" t="n">
        <v>0</v>
      </c>
      <c r="M157" t="n">
        <v>0</v>
      </c>
      <c r="N157" t="n">
        <v>0</v>
      </c>
      <c r="O157" t="n">
        <v>2</v>
      </c>
      <c r="P157" t="n">
        <v>1</v>
      </c>
      <c r="Q157" t="n">
        <v>3</v>
      </c>
      <c r="R157" s="2" t="inlineStr">
        <is>
          <t>Slåttergubbe
Svinrot
Fläcknycklar</t>
        </is>
      </c>
      <c r="S157">
        <f>HYPERLINK("https://klasma.github.io/Logging_1882/artfynd/A 2206-2026 artfynd.xlsx", "A 2206-2026")</f>
        <v/>
      </c>
      <c r="T157">
        <f>HYPERLINK("https://klasma.github.io/Logging_1882/kartor/A 2206-2026 karta.png", "A 2206-2026")</f>
        <v/>
      </c>
      <c r="V157">
        <f>HYPERLINK("https://klasma.github.io/Logging_1882/klagomål/A 2206-2026 FSC-klagomål.docx", "A 2206-2026")</f>
        <v/>
      </c>
      <c r="W157">
        <f>HYPERLINK("https://klasma.github.io/Logging_1882/klagomålsmail/A 2206-2026 FSC-klagomål mail.docx", "A 2206-2026")</f>
        <v/>
      </c>
      <c r="X157">
        <f>HYPERLINK("https://klasma.github.io/Logging_1882/tillsyn/A 2206-2026 tillsynsbegäran.docx", "A 2206-2026")</f>
        <v/>
      </c>
      <c r="Y157">
        <f>HYPERLINK("https://klasma.github.io/Logging_1882/tillsynsmail/A 2206-2026 tillsynsbegäran mail.docx", "A 2206-2026")</f>
        <v/>
      </c>
    </row>
    <row r="158" ht="15" customHeight="1">
      <c r="A158" t="inlineStr">
        <is>
          <t>A 45117-2023</t>
        </is>
      </c>
      <c r="B158" s="1" t="n">
        <v>45191</v>
      </c>
      <c r="C158" s="1" t="n">
        <v>46132</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8195-2026</t>
        </is>
      </c>
      <c r="B159" s="1" t="n">
        <v>46064.43017361111</v>
      </c>
      <c r="C159" s="1" t="n">
        <v>46132</v>
      </c>
      <c r="D159" t="inlineStr">
        <is>
          <t>ÖREBRO LÄN</t>
        </is>
      </c>
      <c r="E159" t="inlineStr">
        <is>
          <t>LINDESBERG</t>
        </is>
      </c>
      <c r="G159" t="n">
        <v>2.3</v>
      </c>
      <c r="H159" t="n">
        <v>2</v>
      </c>
      <c r="I159" t="n">
        <v>1</v>
      </c>
      <c r="J159" t="n">
        <v>1</v>
      </c>
      <c r="K159" t="n">
        <v>0</v>
      </c>
      <c r="L159" t="n">
        <v>0</v>
      </c>
      <c r="M159" t="n">
        <v>0</v>
      </c>
      <c r="N159" t="n">
        <v>0</v>
      </c>
      <c r="O159" t="n">
        <v>1</v>
      </c>
      <c r="P159" t="n">
        <v>0</v>
      </c>
      <c r="Q159" t="n">
        <v>3</v>
      </c>
      <c r="R159" s="2" t="inlineStr">
        <is>
          <t>Spillkråka
Rödgul trumpetsvamp
Kungsfågel</t>
        </is>
      </c>
      <c r="S159">
        <f>HYPERLINK("https://klasma.github.io/Logging_1885/artfynd/A 8195-2026 artfynd.xlsx", "A 8195-2026")</f>
        <v/>
      </c>
      <c r="T159">
        <f>HYPERLINK("https://klasma.github.io/Logging_1885/kartor/A 8195-2026 karta.png", "A 8195-2026")</f>
        <v/>
      </c>
      <c r="V159">
        <f>HYPERLINK("https://klasma.github.io/Logging_1885/klagomål/A 8195-2026 FSC-klagomål.docx", "A 8195-2026")</f>
        <v/>
      </c>
      <c r="W159">
        <f>HYPERLINK("https://klasma.github.io/Logging_1885/klagomålsmail/A 8195-2026 FSC-klagomål mail.docx", "A 8195-2026")</f>
        <v/>
      </c>
      <c r="X159">
        <f>HYPERLINK("https://klasma.github.io/Logging_1885/tillsyn/A 8195-2026 tillsynsbegäran.docx", "A 8195-2026")</f>
        <v/>
      </c>
      <c r="Y159">
        <f>HYPERLINK("https://klasma.github.io/Logging_1885/tillsynsmail/A 8195-2026 tillsynsbegäran mail.docx", "A 8195-2026")</f>
        <v/>
      </c>
      <c r="Z159">
        <f>HYPERLINK("https://klasma.github.io/Logging_1885/fåglar/A 8195-2026 prioriterade fågelarter.docx", "A 8195-2026")</f>
        <v/>
      </c>
    </row>
    <row r="160" ht="15" customHeight="1">
      <c r="A160" t="inlineStr">
        <is>
          <t>A 56017-2025</t>
        </is>
      </c>
      <c r="B160" s="1" t="n">
        <v>45973.59269675926</v>
      </c>
      <c r="C160" s="1" t="n">
        <v>46132</v>
      </c>
      <c r="D160" t="inlineStr">
        <is>
          <t>ÖREBRO LÄN</t>
        </is>
      </c>
      <c r="E160" t="inlineStr">
        <is>
          <t>LAXÅ</t>
        </is>
      </c>
      <c r="F160" t="inlineStr">
        <is>
          <t>Sveaskog</t>
        </is>
      </c>
      <c r="G160" t="n">
        <v>0.9</v>
      </c>
      <c r="H160" t="n">
        <v>2</v>
      </c>
      <c r="I160" t="n">
        <v>1</v>
      </c>
      <c r="J160" t="n">
        <v>1</v>
      </c>
      <c r="K160" t="n">
        <v>0</v>
      </c>
      <c r="L160" t="n">
        <v>0</v>
      </c>
      <c r="M160" t="n">
        <v>0</v>
      </c>
      <c r="N160" t="n">
        <v>0</v>
      </c>
      <c r="O160" t="n">
        <v>1</v>
      </c>
      <c r="P160" t="n">
        <v>0</v>
      </c>
      <c r="Q160" t="n">
        <v>3</v>
      </c>
      <c r="R160" s="2" t="inlineStr">
        <is>
          <t>Spillkråka
Vågbandad barkbock
Tjäder</t>
        </is>
      </c>
      <c r="S160">
        <f>HYPERLINK("https://klasma.github.io/Logging_1860/artfynd/A 56017-2025 artfynd.xlsx", "A 56017-2025")</f>
        <v/>
      </c>
      <c r="T160">
        <f>HYPERLINK("https://klasma.github.io/Logging_1860/kartor/A 56017-2025 karta.png", "A 56017-2025")</f>
        <v/>
      </c>
      <c r="V160">
        <f>HYPERLINK("https://klasma.github.io/Logging_1860/klagomål/A 56017-2025 FSC-klagomål.docx", "A 56017-2025")</f>
        <v/>
      </c>
      <c r="W160">
        <f>HYPERLINK("https://klasma.github.io/Logging_1860/klagomålsmail/A 56017-2025 FSC-klagomål mail.docx", "A 56017-2025")</f>
        <v/>
      </c>
      <c r="X160">
        <f>HYPERLINK("https://klasma.github.io/Logging_1860/tillsyn/A 56017-2025 tillsynsbegäran.docx", "A 56017-2025")</f>
        <v/>
      </c>
      <c r="Y160">
        <f>HYPERLINK("https://klasma.github.io/Logging_1860/tillsynsmail/A 56017-2025 tillsynsbegäran mail.docx", "A 56017-2025")</f>
        <v/>
      </c>
      <c r="Z160">
        <f>HYPERLINK("https://klasma.github.io/Logging_1860/fåglar/A 56017-2025 prioriterade fågelarter.docx", "A 56017-2025")</f>
        <v/>
      </c>
    </row>
    <row r="161" ht="15" customHeight="1">
      <c r="A161" t="inlineStr">
        <is>
          <t>A 9649-2026</t>
        </is>
      </c>
      <c r="B161" s="1" t="n">
        <v>46072</v>
      </c>
      <c r="C161" s="1" t="n">
        <v>46132</v>
      </c>
      <c r="D161" t="inlineStr">
        <is>
          <t>ÖREBRO LÄN</t>
        </is>
      </c>
      <c r="E161" t="inlineStr">
        <is>
          <t>HÄLLEFORS</t>
        </is>
      </c>
      <c r="F161" t="inlineStr">
        <is>
          <t>Bergvik skog väst AB</t>
        </is>
      </c>
      <c r="G161" t="n">
        <v>0.8</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HYPERLINK("https://klasma.github.io/Logging_1863/artfynd/A 9649-2026 artfynd.xlsx", "A 9649-2026")</f>
        <v/>
      </c>
      <c r="T161">
        <f>HYPERLINK("https://klasma.github.io/Logging_1863/kartor/A 9649-2026 karta.png", "A 9649-2026")</f>
        <v/>
      </c>
      <c r="V161">
        <f>HYPERLINK("https://klasma.github.io/Logging_1863/klagomål/A 9649-2026 FSC-klagomål.docx", "A 9649-2026")</f>
        <v/>
      </c>
      <c r="W161">
        <f>HYPERLINK("https://klasma.github.io/Logging_1863/klagomålsmail/A 9649-2026 FSC-klagomål mail.docx", "A 9649-2026")</f>
        <v/>
      </c>
      <c r="X161">
        <f>HYPERLINK("https://klasma.github.io/Logging_1863/tillsyn/A 9649-2026 tillsynsbegäran.docx", "A 9649-2026")</f>
        <v/>
      </c>
      <c r="Y161">
        <f>HYPERLINK("https://klasma.github.io/Logging_1863/tillsynsmail/A 9649-2026 tillsynsbegäran mail.docx", "A 9649-2026")</f>
        <v/>
      </c>
    </row>
    <row r="162" ht="15" customHeight="1">
      <c r="A162" t="inlineStr">
        <is>
          <t>A 17970-2022</t>
        </is>
      </c>
      <c r="B162" s="1" t="n">
        <v>44683</v>
      </c>
      <c r="C162" s="1" t="n">
        <v>46132</v>
      </c>
      <c r="D162" t="inlineStr">
        <is>
          <t>ÖREBRO LÄN</t>
        </is>
      </c>
      <c r="E162" t="inlineStr">
        <is>
          <t>HALLSBERG</t>
        </is>
      </c>
      <c r="G162" t="n">
        <v>2.7</v>
      </c>
      <c r="H162" t="n">
        <v>2</v>
      </c>
      <c r="I162" t="n">
        <v>0</v>
      </c>
      <c r="J162" t="n">
        <v>2</v>
      </c>
      <c r="K162" t="n">
        <v>0</v>
      </c>
      <c r="L162" t="n">
        <v>0</v>
      </c>
      <c r="M162" t="n">
        <v>0</v>
      </c>
      <c r="N162" t="n">
        <v>0</v>
      </c>
      <c r="O162" t="n">
        <v>2</v>
      </c>
      <c r="P162" t="n">
        <v>0</v>
      </c>
      <c r="Q162" t="n">
        <v>3</v>
      </c>
      <c r="R162" s="2" t="inlineStr">
        <is>
          <t>Reliktbock
Spillkråka
Blåsippa</t>
        </is>
      </c>
      <c r="S162">
        <f>HYPERLINK("https://klasma.github.io/Logging_1861/artfynd/A 17970-2022 artfynd.xlsx", "A 17970-2022")</f>
        <v/>
      </c>
      <c r="T162">
        <f>HYPERLINK("https://klasma.github.io/Logging_1861/kartor/A 17970-2022 karta.png", "A 17970-2022")</f>
        <v/>
      </c>
      <c r="V162">
        <f>HYPERLINK("https://klasma.github.io/Logging_1861/klagomål/A 17970-2022 FSC-klagomål.docx", "A 17970-2022")</f>
        <v/>
      </c>
      <c r="W162">
        <f>HYPERLINK("https://klasma.github.io/Logging_1861/klagomålsmail/A 17970-2022 FSC-klagomål mail.docx", "A 17970-2022")</f>
        <v/>
      </c>
      <c r="X162">
        <f>HYPERLINK("https://klasma.github.io/Logging_1861/tillsyn/A 17970-2022 tillsynsbegäran.docx", "A 17970-2022")</f>
        <v/>
      </c>
      <c r="Y162">
        <f>HYPERLINK("https://klasma.github.io/Logging_1861/tillsynsmail/A 17970-2022 tillsynsbegäran mail.docx", "A 17970-2022")</f>
        <v/>
      </c>
      <c r="Z162">
        <f>HYPERLINK("https://klasma.github.io/Logging_1861/fåglar/A 17970-2022 prioriterade fågelarter.docx", "A 17970-2022")</f>
        <v/>
      </c>
    </row>
    <row r="163" ht="15" customHeight="1">
      <c r="A163" t="inlineStr">
        <is>
          <t>A 49813-2023</t>
        </is>
      </c>
      <c r="B163" s="1" t="n">
        <v>45212</v>
      </c>
      <c r="C163" s="1" t="n">
        <v>46132</v>
      </c>
      <c r="D163" t="inlineStr">
        <is>
          <t>ÖREBRO LÄN</t>
        </is>
      </c>
      <c r="E163" t="inlineStr">
        <is>
          <t>ASKERSUND</t>
        </is>
      </c>
      <c r="G163" t="n">
        <v>4.7</v>
      </c>
      <c r="H163" t="n">
        <v>1</v>
      </c>
      <c r="I163" t="n">
        <v>1</v>
      </c>
      <c r="J163" t="n">
        <v>1</v>
      </c>
      <c r="K163" t="n">
        <v>0</v>
      </c>
      <c r="L163" t="n">
        <v>0</v>
      </c>
      <c r="M163" t="n">
        <v>0</v>
      </c>
      <c r="N163" t="n">
        <v>0</v>
      </c>
      <c r="O163" t="n">
        <v>1</v>
      </c>
      <c r="P163" t="n">
        <v>0</v>
      </c>
      <c r="Q163" t="n">
        <v>3</v>
      </c>
      <c r="R163" s="2" t="inlineStr">
        <is>
          <t>Motaggsvamp
Björksplintborre
Mattlummer</t>
        </is>
      </c>
      <c r="S163">
        <f>HYPERLINK("https://klasma.github.io/Logging_1882/artfynd/A 49813-2023 artfynd.xlsx", "A 49813-2023")</f>
        <v/>
      </c>
      <c r="T163">
        <f>HYPERLINK("https://klasma.github.io/Logging_1882/kartor/A 49813-2023 karta.png", "A 49813-2023")</f>
        <v/>
      </c>
      <c r="V163">
        <f>HYPERLINK("https://klasma.github.io/Logging_1882/klagomål/A 49813-2023 FSC-klagomål.docx", "A 49813-2023")</f>
        <v/>
      </c>
      <c r="W163">
        <f>HYPERLINK("https://klasma.github.io/Logging_1882/klagomålsmail/A 49813-2023 FSC-klagomål mail.docx", "A 49813-2023")</f>
        <v/>
      </c>
      <c r="X163">
        <f>HYPERLINK("https://klasma.github.io/Logging_1882/tillsyn/A 49813-2023 tillsynsbegäran.docx", "A 49813-2023")</f>
        <v/>
      </c>
      <c r="Y163">
        <f>HYPERLINK("https://klasma.github.io/Logging_1882/tillsynsmail/A 49813-2023 tillsynsbegäran mail.docx", "A 49813-2023")</f>
        <v/>
      </c>
    </row>
    <row r="164" ht="15" customHeight="1">
      <c r="A164" t="inlineStr">
        <is>
          <t>A 575-2024</t>
        </is>
      </c>
      <c r="B164" s="1" t="n">
        <v>45299</v>
      </c>
      <c r="C164" s="1" t="n">
        <v>46132</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18263-2026</t>
        </is>
      </c>
      <c r="B165" s="1" t="n">
        <v>46126.37391203704</v>
      </c>
      <c r="C165" s="1" t="n">
        <v>46132</v>
      </c>
      <c r="D165" t="inlineStr">
        <is>
          <t>ÖREBRO LÄN</t>
        </is>
      </c>
      <c r="E165" t="inlineStr">
        <is>
          <t>ASKERSUND</t>
        </is>
      </c>
      <c r="G165" t="n">
        <v>4.3</v>
      </c>
      <c r="H165" t="n">
        <v>0</v>
      </c>
      <c r="I165" t="n">
        <v>2</v>
      </c>
      <c r="J165" t="n">
        <v>1</v>
      </c>
      <c r="K165" t="n">
        <v>0</v>
      </c>
      <c r="L165" t="n">
        <v>0</v>
      </c>
      <c r="M165" t="n">
        <v>0</v>
      </c>
      <c r="N165" t="n">
        <v>0</v>
      </c>
      <c r="O165" t="n">
        <v>1</v>
      </c>
      <c r="P165" t="n">
        <v>0</v>
      </c>
      <c r="Q165" t="n">
        <v>3</v>
      </c>
      <c r="R165" s="2" t="inlineStr">
        <is>
          <t>Tallticka
Dropptaggsvamp
Vedticka</t>
        </is>
      </c>
      <c r="S165">
        <f>HYPERLINK("https://klasma.github.io/Logging_1882/artfynd/A 18263-2026 artfynd.xlsx", "A 18263-2026")</f>
        <v/>
      </c>
      <c r="T165">
        <f>HYPERLINK("https://klasma.github.io/Logging_1882/kartor/A 18263-2026 karta.png", "A 18263-2026")</f>
        <v/>
      </c>
      <c r="V165">
        <f>HYPERLINK("https://klasma.github.io/Logging_1882/klagomål/A 18263-2026 FSC-klagomål.docx", "A 18263-2026")</f>
        <v/>
      </c>
      <c r="W165">
        <f>HYPERLINK("https://klasma.github.io/Logging_1882/klagomålsmail/A 18263-2026 FSC-klagomål mail.docx", "A 18263-2026")</f>
        <v/>
      </c>
      <c r="X165">
        <f>HYPERLINK("https://klasma.github.io/Logging_1882/tillsyn/A 18263-2026 tillsynsbegäran.docx", "A 18263-2026")</f>
        <v/>
      </c>
      <c r="Y165">
        <f>HYPERLINK("https://klasma.github.io/Logging_1882/tillsynsmail/A 18263-2026 tillsynsbegäran mail.docx", "A 18263-2026")</f>
        <v/>
      </c>
    </row>
    <row r="166" ht="15" customHeight="1">
      <c r="A166" t="inlineStr">
        <is>
          <t>A 28035-2023</t>
        </is>
      </c>
      <c r="B166" s="1" t="n">
        <v>45099</v>
      </c>
      <c r="C166" s="1" t="n">
        <v>46132</v>
      </c>
      <c r="D166" t="inlineStr">
        <is>
          <t>ÖREBRO LÄN</t>
        </is>
      </c>
      <c r="E166" t="inlineStr">
        <is>
          <t>LINDESBERG</t>
        </is>
      </c>
      <c r="F166" t="inlineStr">
        <is>
          <t>Kyrkan</t>
        </is>
      </c>
      <c r="G166" t="n">
        <v>1.1</v>
      </c>
      <c r="H166" t="n">
        <v>1</v>
      </c>
      <c r="I166" t="n">
        <v>1</v>
      </c>
      <c r="J166" t="n">
        <v>0</v>
      </c>
      <c r="K166" t="n">
        <v>0</v>
      </c>
      <c r="L166" t="n">
        <v>2</v>
      </c>
      <c r="M166" t="n">
        <v>0</v>
      </c>
      <c r="N166" t="n">
        <v>0</v>
      </c>
      <c r="O166" t="n">
        <v>2</v>
      </c>
      <c r="P166" t="n">
        <v>2</v>
      </c>
      <c r="Q166" t="n">
        <v>3</v>
      </c>
      <c r="R166" s="2" t="inlineStr">
        <is>
          <t>Ask
Asknätfjäril
Tibast</t>
        </is>
      </c>
      <c r="S166">
        <f>HYPERLINK("https://klasma.github.io/Logging_1885/artfynd/A 28035-2023 artfynd.xlsx", "A 28035-2023")</f>
        <v/>
      </c>
      <c r="T166">
        <f>HYPERLINK("https://klasma.github.io/Logging_1885/kartor/A 28035-2023 karta.png", "A 28035-2023")</f>
        <v/>
      </c>
      <c r="V166">
        <f>HYPERLINK("https://klasma.github.io/Logging_1885/klagomål/A 28035-2023 FSC-klagomål.docx", "A 28035-2023")</f>
        <v/>
      </c>
      <c r="W166">
        <f>HYPERLINK("https://klasma.github.io/Logging_1885/klagomålsmail/A 28035-2023 FSC-klagomål mail.docx", "A 28035-2023")</f>
        <v/>
      </c>
      <c r="X166">
        <f>HYPERLINK("https://klasma.github.io/Logging_1885/tillsyn/A 28035-2023 tillsynsbegäran.docx", "A 28035-2023")</f>
        <v/>
      </c>
      <c r="Y166">
        <f>HYPERLINK("https://klasma.github.io/Logging_1885/tillsynsmail/A 28035-2023 tillsynsbegäran mail.docx", "A 28035-2023")</f>
        <v/>
      </c>
    </row>
    <row r="167" ht="15" customHeight="1">
      <c r="A167" t="inlineStr">
        <is>
          <t>A 54020-2024</t>
        </is>
      </c>
      <c r="B167" s="1" t="n">
        <v>45616.38605324074</v>
      </c>
      <c r="C167" s="1" t="n">
        <v>46132</v>
      </c>
      <c r="D167" t="inlineStr">
        <is>
          <t>ÖREBRO LÄN</t>
        </is>
      </c>
      <c r="E167" t="inlineStr">
        <is>
          <t>LINDESBERG</t>
        </is>
      </c>
      <c r="G167" t="n">
        <v>2.8</v>
      </c>
      <c r="H167" t="n">
        <v>1</v>
      </c>
      <c r="I167" t="n">
        <v>1</v>
      </c>
      <c r="J167" t="n">
        <v>2</v>
      </c>
      <c r="K167" t="n">
        <v>0</v>
      </c>
      <c r="L167" t="n">
        <v>0</v>
      </c>
      <c r="M167" t="n">
        <v>0</v>
      </c>
      <c r="N167" t="n">
        <v>0</v>
      </c>
      <c r="O167" t="n">
        <v>2</v>
      </c>
      <c r="P167" t="n">
        <v>0</v>
      </c>
      <c r="Q167" t="n">
        <v>3</v>
      </c>
      <c r="R167" s="2" t="inlineStr">
        <is>
          <t>Mindre hackspett
Skogsklocka
Kambräken</t>
        </is>
      </c>
      <c r="S167">
        <f>HYPERLINK("https://klasma.github.io/Logging_1885/artfynd/A 54020-2024 artfynd.xlsx", "A 54020-2024")</f>
        <v/>
      </c>
      <c r="T167">
        <f>HYPERLINK("https://klasma.github.io/Logging_1885/kartor/A 54020-2024 karta.png", "A 54020-2024")</f>
        <v/>
      </c>
      <c r="V167">
        <f>HYPERLINK("https://klasma.github.io/Logging_1885/klagomål/A 54020-2024 FSC-klagomål.docx", "A 54020-2024")</f>
        <v/>
      </c>
      <c r="W167">
        <f>HYPERLINK("https://klasma.github.io/Logging_1885/klagomålsmail/A 54020-2024 FSC-klagomål mail.docx", "A 54020-2024")</f>
        <v/>
      </c>
      <c r="X167">
        <f>HYPERLINK("https://klasma.github.io/Logging_1885/tillsyn/A 54020-2024 tillsynsbegäran.docx", "A 54020-2024")</f>
        <v/>
      </c>
      <c r="Y167">
        <f>HYPERLINK("https://klasma.github.io/Logging_1885/tillsynsmail/A 54020-2024 tillsynsbegäran mail.docx", "A 54020-2024")</f>
        <v/>
      </c>
      <c r="Z167">
        <f>HYPERLINK("https://klasma.github.io/Logging_1885/fåglar/A 54020-2024 prioriterade fågelarter.docx", "A 54020-2024")</f>
        <v/>
      </c>
    </row>
    <row r="168" ht="15" customHeight="1">
      <c r="A168" t="inlineStr">
        <is>
          <t>A 45233-2021</t>
        </is>
      </c>
      <c r="B168" s="1" t="n">
        <v>44439</v>
      </c>
      <c r="C168" s="1" t="n">
        <v>46132</v>
      </c>
      <c r="D168" t="inlineStr">
        <is>
          <t>ÖREBRO LÄN</t>
        </is>
      </c>
      <c r="E168" t="inlineStr">
        <is>
          <t>NORA</t>
        </is>
      </c>
      <c r="G168" t="n">
        <v>1.7</v>
      </c>
      <c r="H168" t="n">
        <v>0</v>
      </c>
      <c r="I168" t="n">
        <v>1</v>
      </c>
      <c r="J168" t="n">
        <v>2</v>
      </c>
      <c r="K168" t="n">
        <v>0</v>
      </c>
      <c r="L168" t="n">
        <v>0</v>
      </c>
      <c r="M168" t="n">
        <v>0</v>
      </c>
      <c r="N168" t="n">
        <v>0</v>
      </c>
      <c r="O168" t="n">
        <v>2</v>
      </c>
      <c r="P168" t="n">
        <v>0</v>
      </c>
      <c r="Q168" t="n">
        <v>3</v>
      </c>
      <c r="R168" s="2" t="inlineStr">
        <is>
          <t>Skrovlig taggsvamp
Vedskivlav
Dropptaggsvamp</t>
        </is>
      </c>
      <c r="S168">
        <f>HYPERLINK("https://klasma.github.io/Logging_1884/artfynd/A 45233-2021 artfynd.xlsx", "A 45233-2021")</f>
        <v/>
      </c>
      <c r="T168">
        <f>HYPERLINK("https://klasma.github.io/Logging_1884/kartor/A 45233-2021 karta.png", "A 45233-2021")</f>
        <v/>
      </c>
      <c r="V168">
        <f>HYPERLINK("https://klasma.github.io/Logging_1884/klagomål/A 45233-2021 FSC-klagomål.docx", "A 45233-2021")</f>
        <v/>
      </c>
      <c r="W168">
        <f>HYPERLINK("https://klasma.github.io/Logging_1884/klagomålsmail/A 45233-2021 FSC-klagomål mail.docx", "A 45233-2021")</f>
        <v/>
      </c>
      <c r="X168">
        <f>HYPERLINK("https://klasma.github.io/Logging_1884/tillsyn/A 45233-2021 tillsynsbegäran.docx", "A 45233-2021")</f>
        <v/>
      </c>
      <c r="Y168">
        <f>HYPERLINK("https://klasma.github.io/Logging_1884/tillsynsmail/A 45233-2021 tillsynsbegäran mail.docx", "A 45233-2021")</f>
        <v/>
      </c>
    </row>
    <row r="169" ht="15" customHeight="1">
      <c r="A169" t="inlineStr">
        <is>
          <t>A 27550-2023</t>
        </is>
      </c>
      <c r="B169" s="1" t="n">
        <v>45092</v>
      </c>
      <c r="C169" s="1" t="n">
        <v>46132</v>
      </c>
      <c r="D169" t="inlineStr">
        <is>
          <t>ÖREBRO LÄN</t>
        </is>
      </c>
      <c r="E169" t="inlineStr">
        <is>
          <t>ASKERSUND</t>
        </is>
      </c>
      <c r="G169" t="n">
        <v>3.6</v>
      </c>
      <c r="H169" t="n">
        <v>0</v>
      </c>
      <c r="I169" t="n">
        <v>2</v>
      </c>
      <c r="J169" t="n">
        <v>1</v>
      </c>
      <c r="K169" t="n">
        <v>0</v>
      </c>
      <c r="L169" t="n">
        <v>0</v>
      </c>
      <c r="M169" t="n">
        <v>0</v>
      </c>
      <c r="N169" t="n">
        <v>0</v>
      </c>
      <c r="O169" t="n">
        <v>1</v>
      </c>
      <c r="P169" t="n">
        <v>0</v>
      </c>
      <c r="Q169" t="n">
        <v>3</v>
      </c>
      <c r="R169" s="2" t="inlineStr">
        <is>
          <t>Tallticka
Dropptaggsvamp
Vedticka</t>
        </is>
      </c>
      <c r="S169">
        <f>HYPERLINK("https://klasma.github.io/Logging_1882/artfynd/A 27550-2023 artfynd.xlsx", "A 27550-2023")</f>
        <v/>
      </c>
      <c r="T169">
        <f>HYPERLINK("https://klasma.github.io/Logging_1882/kartor/A 27550-2023 karta.png", "A 27550-2023")</f>
        <v/>
      </c>
      <c r="V169">
        <f>HYPERLINK("https://klasma.github.io/Logging_1882/klagomål/A 27550-2023 FSC-klagomål.docx", "A 27550-2023")</f>
        <v/>
      </c>
      <c r="W169">
        <f>HYPERLINK("https://klasma.github.io/Logging_1882/klagomålsmail/A 27550-2023 FSC-klagomål mail.docx", "A 27550-2023")</f>
        <v/>
      </c>
      <c r="X169">
        <f>HYPERLINK("https://klasma.github.io/Logging_1882/tillsyn/A 27550-2023 tillsynsbegäran.docx", "A 27550-2023")</f>
        <v/>
      </c>
      <c r="Y169">
        <f>HYPERLINK("https://klasma.github.io/Logging_1882/tillsynsmail/A 27550-2023 tillsynsbegäran mail.docx", "A 27550-2023")</f>
        <v/>
      </c>
    </row>
    <row r="170" ht="15" customHeight="1">
      <c r="A170" t="inlineStr">
        <is>
          <t>A 29478-2022</t>
        </is>
      </c>
      <c r="B170" s="1" t="n">
        <v>44753</v>
      </c>
      <c r="C170" s="1" t="n">
        <v>46132</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46132</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46132</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46132</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46132</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46132</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46132</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46132</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46132</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33574-2022</t>
        </is>
      </c>
      <c r="B179" s="1" t="n">
        <v>44789</v>
      </c>
      <c r="C179" s="1" t="n">
        <v>46132</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46132</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33104-2024</t>
        </is>
      </c>
      <c r="B181" s="1" t="n">
        <v>45517</v>
      </c>
      <c r="C181" s="1" t="n">
        <v>46132</v>
      </c>
      <c r="D181" t="inlineStr">
        <is>
          <t>ÖREBRO LÄN</t>
        </is>
      </c>
      <c r="E181" t="inlineStr">
        <is>
          <t>LEKEBERG</t>
        </is>
      </c>
      <c r="G181" t="n">
        <v>4.6</v>
      </c>
      <c r="H181" t="n">
        <v>0</v>
      </c>
      <c r="I181" t="n">
        <v>0</v>
      </c>
      <c r="J181" t="n">
        <v>2</v>
      </c>
      <c r="K181" t="n">
        <v>0</v>
      </c>
      <c r="L181" t="n">
        <v>0</v>
      </c>
      <c r="M181" t="n">
        <v>0</v>
      </c>
      <c r="N181" t="n">
        <v>0</v>
      </c>
      <c r="O181" t="n">
        <v>2</v>
      </c>
      <c r="P181" t="n">
        <v>0</v>
      </c>
      <c r="Q181" t="n">
        <v>2</v>
      </c>
      <c r="R181" s="2" t="inlineStr">
        <is>
          <t>Blekspindling agg.
Garnlav</t>
        </is>
      </c>
      <c r="S181">
        <f>HYPERLINK("https://klasma.github.io/Logging_1814/artfynd/A 33104-2024 artfynd.xlsx", "A 33104-2024")</f>
        <v/>
      </c>
      <c r="T181">
        <f>HYPERLINK("https://klasma.github.io/Logging_1814/kartor/A 33104-2024 karta.png", "A 33104-2024")</f>
        <v/>
      </c>
      <c r="U181">
        <f>HYPERLINK("https://klasma.github.io/Logging_1814/knärot/A 33104-2024 karta knärot.png", "A 33104-2024")</f>
        <v/>
      </c>
      <c r="V181">
        <f>HYPERLINK("https://klasma.github.io/Logging_1814/klagomål/A 33104-2024 FSC-klagomål.docx", "A 33104-2024")</f>
        <v/>
      </c>
      <c r="W181">
        <f>HYPERLINK("https://klasma.github.io/Logging_1814/klagomålsmail/A 33104-2024 FSC-klagomål mail.docx", "A 33104-2024")</f>
        <v/>
      </c>
      <c r="X181">
        <f>HYPERLINK("https://klasma.github.io/Logging_1814/tillsyn/A 33104-2024 tillsynsbegäran.docx", "A 33104-2024")</f>
        <v/>
      </c>
      <c r="Y181">
        <f>HYPERLINK("https://klasma.github.io/Logging_1814/tillsynsmail/A 33104-2024 tillsynsbegäran mail.docx", "A 33104-2024")</f>
        <v/>
      </c>
    </row>
    <row r="182" ht="15" customHeight="1">
      <c r="A182" t="inlineStr">
        <is>
          <t>A 21848-2025</t>
        </is>
      </c>
      <c r="B182" s="1" t="n">
        <v>45784</v>
      </c>
      <c r="C182" s="1" t="n">
        <v>46132</v>
      </c>
      <c r="D182" t="inlineStr">
        <is>
          <t>ÖREBRO LÄN</t>
        </is>
      </c>
      <c r="E182" t="inlineStr">
        <is>
          <t>HÄLLEFORS</t>
        </is>
      </c>
      <c r="F182" t="inlineStr">
        <is>
          <t>Sveaskog</t>
        </is>
      </c>
      <c r="G182" t="n">
        <v>4.9</v>
      </c>
      <c r="H182" t="n">
        <v>1</v>
      </c>
      <c r="I182" t="n">
        <v>1</v>
      </c>
      <c r="J182" t="n">
        <v>0</v>
      </c>
      <c r="K182" t="n">
        <v>0</v>
      </c>
      <c r="L182" t="n">
        <v>0</v>
      </c>
      <c r="M182" t="n">
        <v>0</v>
      </c>
      <c r="N182" t="n">
        <v>0</v>
      </c>
      <c r="O182" t="n">
        <v>0</v>
      </c>
      <c r="P182" t="n">
        <v>0</v>
      </c>
      <c r="Q182" t="n">
        <v>2</v>
      </c>
      <c r="R182" s="2" t="inlineStr">
        <is>
          <t>Stuplav
Tjäder</t>
        </is>
      </c>
      <c r="S182">
        <f>HYPERLINK("https://klasma.github.io/Logging_1863/artfynd/A 21848-2025 artfynd.xlsx", "A 21848-2025")</f>
        <v/>
      </c>
      <c r="T182">
        <f>HYPERLINK("https://klasma.github.io/Logging_1863/kartor/A 21848-2025 karta.png", "A 21848-2025")</f>
        <v/>
      </c>
      <c r="V182">
        <f>HYPERLINK("https://klasma.github.io/Logging_1863/klagomål/A 21848-2025 FSC-klagomål.docx", "A 21848-2025")</f>
        <v/>
      </c>
      <c r="W182">
        <f>HYPERLINK("https://klasma.github.io/Logging_1863/klagomålsmail/A 21848-2025 FSC-klagomål mail.docx", "A 21848-2025")</f>
        <v/>
      </c>
      <c r="X182">
        <f>HYPERLINK("https://klasma.github.io/Logging_1863/tillsyn/A 21848-2025 tillsynsbegäran.docx", "A 21848-2025")</f>
        <v/>
      </c>
      <c r="Y182">
        <f>HYPERLINK("https://klasma.github.io/Logging_1863/tillsynsmail/A 21848-2025 tillsynsbegäran mail.docx", "A 21848-2025")</f>
        <v/>
      </c>
      <c r="Z182">
        <f>HYPERLINK("https://klasma.github.io/Logging_1863/fåglar/A 21848-2025 prioriterade fågelarter.docx", "A 21848-2025")</f>
        <v/>
      </c>
    </row>
    <row r="183" ht="15" customHeight="1">
      <c r="A183" t="inlineStr">
        <is>
          <t>A 30189-2022</t>
        </is>
      </c>
      <c r="B183" s="1" t="n">
        <v>44757</v>
      </c>
      <c r="C183" s="1" t="n">
        <v>46132</v>
      </c>
      <c r="D183" t="inlineStr">
        <is>
          <t>ÖREBRO LÄN</t>
        </is>
      </c>
      <c r="E183" t="inlineStr">
        <is>
          <t>ASKERSUND</t>
        </is>
      </c>
      <c r="G183" t="n">
        <v>2</v>
      </c>
      <c r="H183" t="n">
        <v>1</v>
      </c>
      <c r="I183" t="n">
        <v>0</v>
      </c>
      <c r="J183" t="n">
        <v>1</v>
      </c>
      <c r="K183" t="n">
        <v>1</v>
      </c>
      <c r="L183" t="n">
        <v>0</v>
      </c>
      <c r="M183" t="n">
        <v>0</v>
      </c>
      <c r="N183" t="n">
        <v>0</v>
      </c>
      <c r="O183" t="n">
        <v>2</v>
      </c>
      <c r="P183" t="n">
        <v>1</v>
      </c>
      <c r="Q183" t="n">
        <v>2</v>
      </c>
      <c r="R183" s="2" t="inlineStr">
        <is>
          <t>Knärot
Motaggsvamp</t>
        </is>
      </c>
      <c r="S183">
        <f>HYPERLINK("https://klasma.github.io/Logging_1882/artfynd/A 30189-2022 artfynd.xlsx", "A 30189-2022")</f>
        <v/>
      </c>
      <c r="T183">
        <f>HYPERLINK("https://klasma.github.io/Logging_1882/kartor/A 30189-2022 karta.png", "A 30189-2022")</f>
        <v/>
      </c>
      <c r="U183">
        <f>HYPERLINK("https://klasma.github.io/Logging_1882/knärot/A 30189-2022 karta knärot.png", "A 30189-2022")</f>
        <v/>
      </c>
      <c r="V183">
        <f>HYPERLINK("https://klasma.github.io/Logging_1882/klagomål/A 30189-2022 FSC-klagomål.docx", "A 30189-2022")</f>
        <v/>
      </c>
      <c r="W183">
        <f>HYPERLINK("https://klasma.github.io/Logging_1882/klagomålsmail/A 30189-2022 FSC-klagomål mail.docx", "A 30189-2022")</f>
        <v/>
      </c>
      <c r="X183">
        <f>HYPERLINK("https://klasma.github.io/Logging_1882/tillsyn/A 30189-2022 tillsynsbegäran.docx", "A 30189-2022")</f>
        <v/>
      </c>
      <c r="Y183">
        <f>HYPERLINK("https://klasma.github.io/Logging_1882/tillsynsmail/A 30189-2022 tillsynsbegäran mail.docx", "A 30189-2022")</f>
        <v/>
      </c>
    </row>
    <row r="184" ht="15" customHeight="1">
      <c r="A184" t="inlineStr">
        <is>
          <t>A 51550-2025</t>
        </is>
      </c>
      <c r="B184" s="1" t="n">
        <v>45950.83359953704</v>
      </c>
      <c r="C184" s="1" t="n">
        <v>46132</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51851-2025</t>
        </is>
      </c>
      <c r="B185" s="1" t="n">
        <v>45952.35611111111</v>
      </c>
      <c r="C185" s="1" t="n">
        <v>46132</v>
      </c>
      <c r="D185" t="inlineStr">
        <is>
          <t>ÖREBRO LÄN</t>
        </is>
      </c>
      <c r="E185" t="inlineStr">
        <is>
          <t>LINDESBERG</t>
        </is>
      </c>
      <c r="G185" t="n">
        <v>6.9</v>
      </c>
      <c r="H185" t="n">
        <v>0</v>
      </c>
      <c r="I185" t="n">
        <v>0</v>
      </c>
      <c r="J185" t="n">
        <v>2</v>
      </c>
      <c r="K185" t="n">
        <v>0</v>
      </c>
      <c r="L185" t="n">
        <v>0</v>
      </c>
      <c r="M185" t="n">
        <v>0</v>
      </c>
      <c r="N185" t="n">
        <v>0</v>
      </c>
      <c r="O185" t="n">
        <v>2</v>
      </c>
      <c r="P185" t="n">
        <v>0</v>
      </c>
      <c r="Q185" t="n">
        <v>2</v>
      </c>
      <c r="R185" s="2" t="inlineStr">
        <is>
          <t>Garnlav
Motaggsvamp</t>
        </is>
      </c>
      <c r="S185">
        <f>HYPERLINK("https://klasma.github.io/Logging_1885/artfynd/A 51851-2025 artfynd.xlsx", "A 51851-2025")</f>
        <v/>
      </c>
      <c r="T185">
        <f>HYPERLINK("https://klasma.github.io/Logging_1885/kartor/A 51851-2025 karta.png", "A 51851-2025")</f>
        <v/>
      </c>
      <c r="V185">
        <f>HYPERLINK("https://klasma.github.io/Logging_1885/klagomål/A 51851-2025 FSC-klagomål.docx", "A 51851-2025")</f>
        <v/>
      </c>
      <c r="W185">
        <f>HYPERLINK("https://klasma.github.io/Logging_1885/klagomålsmail/A 51851-2025 FSC-klagomål mail.docx", "A 51851-2025")</f>
        <v/>
      </c>
      <c r="X185">
        <f>HYPERLINK("https://klasma.github.io/Logging_1885/tillsyn/A 51851-2025 tillsynsbegäran.docx", "A 51851-2025")</f>
        <v/>
      </c>
      <c r="Y185">
        <f>HYPERLINK("https://klasma.github.io/Logging_1885/tillsynsmail/A 51851-2025 tillsynsbegäran mail.docx", "A 51851-2025")</f>
        <v/>
      </c>
    </row>
    <row r="186" ht="15" customHeight="1">
      <c r="A186" t="inlineStr">
        <is>
          <t>A 22577-2024</t>
        </is>
      </c>
      <c r="B186" s="1" t="n">
        <v>45447</v>
      </c>
      <c r="C186" s="1" t="n">
        <v>46132</v>
      </c>
      <c r="D186" t="inlineStr">
        <is>
          <t>ÖREBRO LÄN</t>
        </is>
      </c>
      <c r="E186" t="inlineStr">
        <is>
          <t>ÖREBRO</t>
        </is>
      </c>
      <c r="G186" t="n">
        <v>1.8</v>
      </c>
      <c r="H186" t="n">
        <v>1</v>
      </c>
      <c r="I186" t="n">
        <v>0</v>
      </c>
      <c r="J186" t="n">
        <v>2</v>
      </c>
      <c r="K186" t="n">
        <v>0</v>
      </c>
      <c r="L186" t="n">
        <v>0</v>
      </c>
      <c r="M186" t="n">
        <v>0</v>
      </c>
      <c r="N186" t="n">
        <v>0</v>
      </c>
      <c r="O186" t="n">
        <v>2</v>
      </c>
      <c r="P186" t="n">
        <v>0</v>
      </c>
      <c r="Q186" t="n">
        <v>2</v>
      </c>
      <c r="R186" s="2" t="inlineStr">
        <is>
          <t>Spillkråka
Ullticka</t>
        </is>
      </c>
      <c r="S186">
        <f>HYPERLINK("https://klasma.github.io/Logging_1880/artfynd/A 22577-2024 artfynd.xlsx", "A 22577-2024")</f>
        <v/>
      </c>
      <c r="T186">
        <f>HYPERLINK("https://klasma.github.io/Logging_1880/kartor/A 22577-2024 karta.png", "A 22577-2024")</f>
        <v/>
      </c>
      <c r="V186">
        <f>HYPERLINK("https://klasma.github.io/Logging_1880/klagomål/A 22577-2024 FSC-klagomål.docx", "A 22577-2024")</f>
        <v/>
      </c>
      <c r="W186">
        <f>HYPERLINK("https://klasma.github.io/Logging_1880/klagomålsmail/A 22577-2024 FSC-klagomål mail.docx", "A 22577-2024")</f>
        <v/>
      </c>
      <c r="X186">
        <f>HYPERLINK("https://klasma.github.io/Logging_1880/tillsyn/A 22577-2024 tillsynsbegäran.docx", "A 22577-2024")</f>
        <v/>
      </c>
      <c r="Y186">
        <f>HYPERLINK("https://klasma.github.io/Logging_1880/tillsynsmail/A 22577-2024 tillsynsbegäran mail.docx", "A 22577-2024")</f>
        <v/>
      </c>
      <c r="Z186">
        <f>HYPERLINK("https://klasma.github.io/Logging_1880/fåglar/A 22577-2024 prioriterade fågelarter.docx", "A 22577-2024")</f>
        <v/>
      </c>
    </row>
    <row r="187" ht="15" customHeight="1">
      <c r="A187" t="inlineStr">
        <is>
          <t>A 37259-2024</t>
        </is>
      </c>
      <c r="B187" s="1" t="n">
        <v>45540.37113425926</v>
      </c>
      <c r="C187" s="1" t="n">
        <v>46132</v>
      </c>
      <c r="D187" t="inlineStr">
        <is>
          <t>ÖREBRO LÄN</t>
        </is>
      </c>
      <c r="E187" t="inlineStr">
        <is>
          <t>HÄLLEFORS</t>
        </is>
      </c>
      <c r="F187" t="inlineStr">
        <is>
          <t>Bergvik skog väst AB</t>
        </is>
      </c>
      <c r="G187" t="n">
        <v>4.5</v>
      </c>
      <c r="H187" t="n">
        <v>2</v>
      </c>
      <c r="I187" t="n">
        <v>0</v>
      </c>
      <c r="J187" t="n">
        <v>1</v>
      </c>
      <c r="K187" t="n">
        <v>0</v>
      </c>
      <c r="L187" t="n">
        <v>0</v>
      </c>
      <c r="M187" t="n">
        <v>0</v>
      </c>
      <c r="N187" t="n">
        <v>0</v>
      </c>
      <c r="O187" t="n">
        <v>1</v>
      </c>
      <c r="P187" t="n">
        <v>0</v>
      </c>
      <c r="Q187" t="n">
        <v>2</v>
      </c>
      <c r="R187" s="2" t="inlineStr">
        <is>
          <t>Järpe
Tjäder</t>
        </is>
      </c>
      <c r="S187">
        <f>HYPERLINK("https://klasma.github.io/Logging_1863/artfynd/A 37259-2024 artfynd.xlsx", "A 37259-2024")</f>
        <v/>
      </c>
      <c r="T187">
        <f>HYPERLINK("https://klasma.github.io/Logging_1863/kartor/A 37259-2024 karta.png", "A 37259-2024")</f>
        <v/>
      </c>
      <c r="V187">
        <f>HYPERLINK("https://klasma.github.io/Logging_1863/klagomål/A 37259-2024 FSC-klagomål.docx", "A 37259-2024")</f>
        <v/>
      </c>
      <c r="W187">
        <f>HYPERLINK("https://klasma.github.io/Logging_1863/klagomålsmail/A 37259-2024 FSC-klagomål mail.docx", "A 37259-2024")</f>
        <v/>
      </c>
      <c r="X187">
        <f>HYPERLINK("https://klasma.github.io/Logging_1863/tillsyn/A 37259-2024 tillsynsbegäran.docx", "A 37259-2024")</f>
        <v/>
      </c>
      <c r="Y187">
        <f>HYPERLINK("https://klasma.github.io/Logging_1863/tillsynsmail/A 37259-2024 tillsynsbegäran mail.docx", "A 37259-2024")</f>
        <v/>
      </c>
      <c r="Z187">
        <f>HYPERLINK("https://klasma.github.io/Logging_1863/fåglar/A 37259-2024 prioriterade fågelarter.docx", "A 37259-2024")</f>
        <v/>
      </c>
    </row>
    <row r="188" ht="15" customHeight="1">
      <c r="A188" t="inlineStr">
        <is>
          <t>A 38380-2024</t>
        </is>
      </c>
      <c r="B188" s="1" t="n">
        <v>45546.28121527778</v>
      </c>
      <c r="C188" s="1" t="n">
        <v>46132</v>
      </c>
      <c r="D188" t="inlineStr">
        <is>
          <t>ÖREBRO LÄN</t>
        </is>
      </c>
      <c r="E188" t="inlineStr">
        <is>
          <t>LINDESBERG</t>
        </is>
      </c>
      <c r="G188" t="n">
        <v>6.8</v>
      </c>
      <c r="H188" t="n">
        <v>2</v>
      </c>
      <c r="I188" t="n">
        <v>0</v>
      </c>
      <c r="J188" t="n">
        <v>0</v>
      </c>
      <c r="K188" t="n">
        <v>0</v>
      </c>
      <c r="L188" t="n">
        <v>0</v>
      </c>
      <c r="M188" t="n">
        <v>0</v>
      </c>
      <c r="N188" t="n">
        <v>0</v>
      </c>
      <c r="O188" t="n">
        <v>0</v>
      </c>
      <c r="P188" t="n">
        <v>0</v>
      </c>
      <c r="Q188" t="n">
        <v>2</v>
      </c>
      <c r="R188" s="2" t="inlineStr">
        <is>
          <t>Blåsippa
Gullviva</t>
        </is>
      </c>
      <c r="S188">
        <f>HYPERLINK("https://klasma.github.io/Logging_1885/artfynd/A 38380-2024 artfynd.xlsx", "A 38380-2024")</f>
        <v/>
      </c>
      <c r="T188">
        <f>HYPERLINK("https://klasma.github.io/Logging_1885/kartor/A 38380-2024 karta.png", "A 38380-2024")</f>
        <v/>
      </c>
      <c r="V188">
        <f>HYPERLINK("https://klasma.github.io/Logging_1885/klagomål/A 38380-2024 FSC-klagomål.docx", "A 38380-2024")</f>
        <v/>
      </c>
      <c r="W188">
        <f>HYPERLINK("https://klasma.github.io/Logging_1885/klagomålsmail/A 38380-2024 FSC-klagomål mail.docx", "A 38380-2024")</f>
        <v/>
      </c>
      <c r="X188">
        <f>HYPERLINK("https://klasma.github.io/Logging_1885/tillsyn/A 38380-2024 tillsynsbegäran.docx", "A 38380-2024")</f>
        <v/>
      </c>
      <c r="Y188">
        <f>HYPERLINK("https://klasma.github.io/Logging_1885/tillsynsmail/A 38380-2024 tillsynsbegäran mail.docx", "A 38380-2024")</f>
        <v/>
      </c>
    </row>
    <row r="189" ht="15" customHeight="1">
      <c r="A189" t="inlineStr">
        <is>
          <t>A 51036-2022</t>
        </is>
      </c>
      <c r="B189" s="1" t="n">
        <v>44868.3161574074</v>
      </c>
      <c r="C189" s="1" t="n">
        <v>46132</v>
      </c>
      <c r="D189" t="inlineStr">
        <is>
          <t>ÖREBRO LÄN</t>
        </is>
      </c>
      <c r="E189" t="inlineStr">
        <is>
          <t>NORA</t>
        </is>
      </c>
      <c r="G189" t="n">
        <v>3.2</v>
      </c>
      <c r="H189" t="n">
        <v>0</v>
      </c>
      <c r="I189" t="n">
        <v>2</v>
      </c>
      <c r="J189" t="n">
        <v>0</v>
      </c>
      <c r="K189" t="n">
        <v>0</v>
      </c>
      <c r="L189" t="n">
        <v>0</v>
      </c>
      <c r="M189" t="n">
        <v>0</v>
      </c>
      <c r="N189" t="n">
        <v>0</v>
      </c>
      <c r="O189" t="n">
        <v>0</v>
      </c>
      <c r="P189" t="n">
        <v>0</v>
      </c>
      <c r="Q189" t="n">
        <v>2</v>
      </c>
      <c r="R189" s="2" t="inlineStr">
        <is>
          <t>Blåmossa
Vårärt</t>
        </is>
      </c>
      <c r="S189">
        <f>HYPERLINK("https://klasma.github.io/Logging_1884/artfynd/A 51036-2022 artfynd.xlsx", "A 51036-2022")</f>
        <v/>
      </c>
      <c r="T189">
        <f>HYPERLINK("https://klasma.github.io/Logging_1884/kartor/A 51036-2022 karta.png", "A 51036-2022")</f>
        <v/>
      </c>
      <c r="V189">
        <f>HYPERLINK("https://klasma.github.io/Logging_1884/klagomål/A 51036-2022 FSC-klagomål.docx", "A 51036-2022")</f>
        <v/>
      </c>
      <c r="W189">
        <f>HYPERLINK("https://klasma.github.io/Logging_1884/klagomålsmail/A 51036-2022 FSC-klagomål mail.docx", "A 51036-2022")</f>
        <v/>
      </c>
      <c r="X189">
        <f>HYPERLINK("https://klasma.github.io/Logging_1884/tillsyn/A 51036-2022 tillsynsbegäran.docx", "A 51036-2022")</f>
        <v/>
      </c>
      <c r="Y189">
        <f>HYPERLINK("https://klasma.github.io/Logging_1884/tillsynsmail/A 51036-2022 tillsynsbegäran mail.docx", "A 51036-2022")</f>
        <v/>
      </c>
    </row>
    <row r="190" ht="15" customHeight="1">
      <c r="A190" t="inlineStr">
        <is>
          <t>A 23237-2025</t>
        </is>
      </c>
      <c r="B190" s="1" t="n">
        <v>45791.49608796297</v>
      </c>
      <c r="C190" s="1" t="n">
        <v>46132</v>
      </c>
      <c r="D190" t="inlineStr">
        <is>
          <t>ÖREBRO LÄN</t>
        </is>
      </c>
      <c r="E190" t="inlineStr">
        <is>
          <t>LAXÅ</t>
        </is>
      </c>
      <c r="F190" t="inlineStr">
        <is>
          <t>Sveaskog</t>
        </is>
      </c>
      <c r="G190" t="n">
        <v>3.3</v>
      </c>
      <c r="H190" t="n">
        <v>0</v>
      </c>
      <c r="I190" t="n">
        <v>1</v>
      </c>
      <c r="J190" t="n">
        <v>1</v>
      </c>
      <c r="K190" t="n">
        <v>0</v>
      </c>
      <c r="L190" t="n">
        <v>0</v>
      </c>
      <c r="M190" t="n">
        <v>0</v>
      </c>
      <c r="N190" t="n">
        <v>0</v>
      </c>
      <c r="O190" t="n">
        <v>1</v>
      </c>
      <c r="P190" t="n">
        <v>0</v>
      </c>
      <c r="Q190" t="n">
        <v>2</v>
      </c>
      <c r="R190" s="2" t="inlineStr">
        <is>
          <t>Motaggsvamp
Fjällig taggsvamp s.str.</t>
        </is>
      </c>
      <c r="S190">
        <f>HYPERLINK("https://klasma.github.io/Logging_1860/artfynd/A 23237-2025 artfynd.xlsx", "A 23237-2025")</f>
        <v/>
      </c>
      <c r="T190">
        <f>HYPERLINK("https://klasma.github.io/Logging_1860/kartor/A 23237-2025 karta.png", "A 23237-2025")</f>
        <v/>
      </c>
      <c r="V190">
        <f>HYPERLINK("https://klasma.github.io/Logging_1860/klagomål/A 23237-2025 FSC-klagomål.docx", "A 23237-2025")</f>
        <v/>
      </c>
      <c r="W190">
        <f>HYPERLINK("https://klasma.github.io/Logging_1860/klagomålsmail/A 23237-2025 FSC-klagomål mail.docx", "A 23237-2025")</f>
        <v/>
      </c>
      <c r="X190">
        <f>HYPERLINK("https://klasma.github.io/Logging_1860/tillsyn/A 23237-2025 tillsynsbegäran.docx", "A 23237-2025")</f>
        <v/>
      </c>
      <c r="Y190">
        <f>HYPERLINK("https://klasma.github.io/Logging_1860/tillsynsmail/A 23237-2025 tillsynsbegäran mail.docx", "A 23237-2025")</f>
        <v/>
      </c>
    </row>
    <row r="191" ht="15" customHeight="1">
      <c r="A191" t="inlineStr">
        <is>
          <t>A 35946-2023</t>
        </is>
      </c>
      <c r="B191" s="1" t="n">
        <v>45148</v>
      </c>
      <c r="C191" s="1" t="n">
        <v>46132</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40590-2025</t>
        </is>
      </c>
      <c r="B192" s="1" t="n">
        <v>45896.54207175926</v>
      </c>
      <c r="C192" s="1" t="n">
        <v>46132</v>
      </c>
      <c r="D192" t="inlineStr">
        <is>
          <t>ÖREBRO LÄN</t>
        </is>
      </c>
      <c r="E192" t="inlineStr">
        <is>
          <t>ASKERSUND</t>
        </is>
      </c>
      <c r="F192" t="inlineStr">
        <is>
          <t>Kyrkan</t>
        </is>
      </c>
      <c r="G192" t="n">
        <v>2.5</v>
      </c>
      <c r="H192" t="n">
        <v>2</v>
      </c>
      <c r="I192" t="n">
        <v>0</v>
      </c>
      <c r="J192" t="n">
        <v>0</v>
      </c>
      <c r="K192" t="n">
        <v>0</v>
      </c>
      <c r="L192" t="n">
        <v>0</v>
      </c>
      <c r="M192" t="n">
        <v>0</v>
      </c>
      <c r="N192" t="n">
        <v>0</v>
      </c>
      <c r="O192" t="n">
        <v>0</v>
      </c>
      <c r="P192" t="n">
        <v>0</v>
      </c>
      <c r="Q192" t="n">
        <v>2</v>
      </c>
      <c r="R192" s="2" t="inlineStr">
        <is>
          <t>Grönsiska
Kungsfågel</t>
        </is>
      </c>
      <c r="S192">
        <f>HYPERLINK("https://klasma.github.io/Logging_1882/artfynd/A 40590-2025 artfynd.xlsx", "A 40590-2025")</f>
        <v/>
      </c>
      <c r="T192">
        <f>HYPERLINK("https://klasma.github.io/Logging_1882/kartor/A 40590-2025 karta.png", "A 40590-2025")</f>
        <v/>
      </c>
      <c r="V192">
        <f>HYPERLINK("https://klasma.github.io/Logging_1882/klagomål/A 40590-2025 FSC-klagomål.docx", "A 40590-2025")</f>
        <v/>
      </c>
      <c r="W192">
        <f>HYPERLINK("https://klasma.github.io/Logging_1882/klagomålsmail/A 40590-2025 FSC-klagomål mail.docx", "A 40590-2025")</f>
        <v/>
      </c>
      <c r="X192">
        <f>HYPERLINK("https://klasma.github.io/Logging_1882/tillsyn/A 40590-2025 tillsynsbegäran.docx", "A 40590-2025")</f>
        <v/>
      </c>
      <c r="Y192">
        <f>HYPERLINK("https://klasma.github.io/Logging_1882/tillsynsmail/A 40590-2025 tillsynsbegäran mail.docx", "A 40590-2025")</f>
        <v/>
      </c>
      <c r="Z192">
        <f>HYPERLINK("https://klasma.github.io/Logging_1882/fåglar/A 40590-2025 prioriterade fågelarter.docx", "A 40590-2025")</f>
        <v/>
      </c>
    </row>
    <row r="193" ht="15" customHeight="1">
      <c r="A193" t="inlineStr">
        <is>
          <t>A 42748-2024</t>
        </is>
      </c>
      <c r="B193" s="1" t="n">
        <v>45566</v>
      </c>
      <c r="C193" s="1" t="n">
        <v>46132</v>
      </c>
      <c r="D193" t="inlineStr">
        <is>
          <t>ÖREBRO LÄN</t>
        </is>
      </c>
      <c r="E193" t="inlineStr">
        <is>
          <t>LEKEBERG</t>
        </is>
      </c>
      <c r="G193" t="n">
        <v>9.699999999999999</v>
      </c>
      <c r="H193" t="n">
        <v>0</v>
      </c>
      <c r="I193" t="n">
        <v>2</v>
      </c>
      <c r="J193" t="n">
        <v>0</v>
      </c>
      <c r="K193" t="n">
        <v>0</v>
      </c>
      <c r="L193" t="n">
        <v>0</v>
      </c>
      <c r="M193" t="n">
        <v>0</v>
      </c>
      <c r="N193" t="n">
        <v>0</v>
      </c>
      <c r="O193" t="n">
        <v>0</v>
      </c>
      <c r="P193" t="n">
        <v>0</v>
      </c>
      <c r="Q193" t="n">
        <v>2</v>
      </c>
      <c r="R193" s="2" t="inlineStr">
        <is>
          <t>Granriska
Rostfläck</t>
        </is>
      </c>
      <c r="S193">
        <f>HYPERLINK("https://klasma.github.io/Logging_1814/artfynd/A 42748-2024 artfynd.xlsx", "A 42748-2024")</f>
        <v/>
      </c>
      <c r="T193">
        <f>HYPERLINK("https://klasma.github.io/Logging_1814/kartor/A 42748-2024 karta.png", "A 42748-2024")</f>
        <v/>
      </c>
      <c r="U193">
        <f>HYPERLINK("https://klasma.github.io/Logging_1814/knärot/A 42748-2024 karta knärot.png", "A 42748-2024")</f>
        <v/>
      </c>
      <c r="V193">
        <f>HYPERLINK("https://klasma.github.io/Logging_1814/klagomål/A 42748-2024 FSC-klagomål.docx", "A 42748-2024")</f>
        <v/>
      </c>
      <c r="W193">
        <f>HYPERLINK("https://klasma.github.io/Logging_1814/klagomålsmail/A 42748-2024 FSC-klagomål mail.docx", "A 42748-2024")</f>
        <v/>
      </c>
      <c r="X193">
        <f>HYPERLINK("https://klasma.github.io/Logging_1814/tillsyn/A 42748-2024 tillsynsbegäran.docx", "A 42748-2024")</f>
        <v/>
      </c>
      <c r="Y193">
        <f>HYPERLINK("https://klasma.github.io/Logging_1814/tillsynsmail/A 42748-2024 tillsynsbegäran mail.docx", "A 42748-2024")</f>
        <v/>
      </c>
    </row>
    <row r="194" ht="15" customHeight="1">
      <c r="A194" t="inlineStr">
        <is>
          <t>A 42629-2025</t>
        </is>
      </c>
      <c r="B194" s="1" t="n">
        <v>45905.88938657408</v>
      </c>
      <c r="C194" s="1" t="n">
        <v>46132</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61590-2024</t>
        </is>
      </c>
      <c r="B195" s="1" t="n">
        <v>45646.63039351852</v>
      </c>
      <c r="C195" s="1" t="n">
        <v>46132</v>
      </c>
      <c r="D195" t="inlineStr">
        <is>
          <t>ÖREBRO LÄN</t>
        </is>
      </c>
      <c r="E195" t="inlineStr">
        <is>
          <t>HÄLLEFORS</t>
        </is>
      </c>
      <c r="G195" t="n">
        <v>1.1</v>
      </c>
      <c r="H195" t="n">
        <v>1</v>
      </c>
      <c r="I195" t="n">
        <v>1</v>
      </c>
      <c r="J195" t="n">
        <v>0</v>
      </c>
      <c r="K195" t="n">
        <v>0</v>
      </c>
      <c r="L195" t="n">
        <v>0</v>
      </c>
      <c r="M195" t="n">
        <v>0</v>
      </c>
      <c r="N195" t="n">
        <v>0</v>
      </c>
      <c r="O195" t="n">
        <v>0</v>
      </c>
      <c r="P195" t="n">
        <v>0</v>
      </c>
      <c r="Q195" t="n">
        <v>2</v>
      </c>
      <c r="R195" s="2" t="inlineStr">
        <is>
          <t>Mörk husmossa
Revlummer</t>
        </is>
      </c>
      <c r="S195">
        <f>HYPERLINK("https://klasma.github.io/Logging_1863/artfynd/A 61590-2024 artfynd.xlsx", "A 61590-2024")</f>
        <v/>
      </c>
      <c r="T195">
        <f>HYPERLINK("https://klasma.github.io/Logging_1863/kartor/A 61590-2024 karta.png", "A 61590-2024")</f>
        <v/>
      </c>
      <c r="V195">
        <f>HYPERLINK("https://klasma.github.io/Logging_1863/klagomål/A 61590-2024 FSC-klagomål.docx", "A 61590-2024")</f>
        <v/>
      </c>
      <c r="W195">
        <f>HYPERLINK("https://klasma.github.io/Logging_1863/klagomålsmail/A 61590-2024 FSC-klagomål mail.docx", "A 61590-2024")</f>
        <v/>
      </c>
      <c r="X195">
        <f>HYPERLINK("https://klasma.github.io/Logging_1863/tillsyn/A 61590-2024 tillsynsbegäran.docx", "A 61590-2024")</f>
        <v/>
      </c>
      <c r="Y195">
        <f>HYPERLINK("https://klasma.github.io/Logging_1863/tillsynsmail/A 61590-2024 tillsynsbegäran mail.docx", "A 61590-2024")</f>
        <v/>
      </c>
    </row>
    <row r="196" ht="15" customHeight="1">
      <c r="A196" t="inlineStr">
        <is>
          <t>A 64813-2023</t>
        </is>
      </c>
      <c r="B196" s="1" t="n">
        <v>45282</v>
      </c>
      <c r="C196" s="1" t="n">
        <v>46132</v>
      </c>
      <c r="D196" t="inlineStr">
        <is>
          <t>ÖREBRO LÄN</t>
        </is>
      </c>
      <c r="E196" t="inlineStr">
        <is>
          <t>HALLSBERG</t>
        </is>
      </c>
      <c r="F196" t="inlineStr">
        <is>
          <t>Sveaskog</t>
        </is>
      </c>
      <c r="G196" t="n">
        <v>3.7</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HYPERLINK("https://klasma.github.io/Logging_1861/artfynd/A 64813-2023 artfynd.xlsx", "A 64813-2023")</f>
        <v/>
      </c>
      <c r="T196">
        <f>HYPERLINK("https://klasma.github.io/Logging_1861/kartor/A 64813-2023 karta.png", "A 64813-2023")</f>
        <v/>
      </c>
      <c r="V196">
        <f>HYPERLINK("https://klasma.github.io/Logging_1861/klagomål/A 64813-2023 FSC-klagomål.docx", "A 64813-2023")</f>
        <v/>
      </c>
      <c r="W196">
        <f>HYPERLINK("https://klasma.github.io/Logging_1861/klagomålsmail/A 64813-2023 FSC-klagomål mail.docx", "A 64813-2023")</f>
        <v/>
      </c>
      <c r="X196">
        <f>HYPERLINK("https://klasma.github.io/Logging_1861/tillsyn/A 64813-2023 tillsynsbegäran.docx", "A 64813-2023")</f>
        <v/>
      </c>
      <c r="Y196">
        <f>HYPERLINK("https://klasma.github.io/Logging_1861/tillsynsmail/A 64813-2023 tillsynsbegäran mail.docx", "A 64813-2023")</f>
        <v/>
      </c>
    </row>
    <row r="197" ht="15" customHeight="1">
      <c r="A197" t="inlineStr">
        <is>
          <t>A 54239-2025</t>
        </is>
      </c>
      <c r="B197" s="1" t="n">
        <v>45964.62771990741</v>
      </c>
      <c r="C197" s="1" t="n">
        <v>46132</v>
      </c>
      <c r="D197" t="inlineStr">
        <is>
          <t>ÖREBRO LÄN</t>
        </is>
      </c>
      <c r="E197" t="inlineStr">
        <is>
          <t>LINDESBERG</t>
        </is>
      </c>
      <c r="G197" t="n">
        <v>4.9</v>
      </c>
      <c r="H197" t="n">
        <v>1</v>
      </c>
      <c r="I197" t="n">
        <v>0</v>
      </c>
      <c r="J197" t="n">
        <v>1</v>
      </c>
      <c r="K197" t="n">
        <v>1</v>
      </c>
      <c r="L197" t="n">
        <v>0</v>
      </c>
      <c r="M197" t="n">
        <v>0</v>
      </c>
      <c r="N197" t="n">
        <v>0</v>
      </c>
      <c r="O197" t="n">
        <v>2</v>
      </c>
      <c r="P197" t="n">
        <v>1</v>
      </c>
      <c r="Q197" t="n">
        <v>2</v>
      </c>
      <c r="R197" s="2" t="inlineStr">
        <is>
          <t>Rynkskinn
Spillkråka</t>
        </is>
      </c>
      <c r="S197">
        <f>HYPERLINK("https://klasma.github.io/Logging_1885/artfynd/A 54239-2025 artfynd.xlsx", "A 54239-2025")</f>
        <v/>
      </c>
      <c r="T197">
        <f>HYPERLINK("https://klasma.github.io/Logging_1885/kartor/A 54239-2025 karta.png", "A 54239-2025")</f>
        <v/>
      </c>
      <c r="V197">
        <f>HYPERLINK("https://klasma.github.io/Logging_1885/klagomål/A 54239-2025 FSC-klagomål.docx", "A 54239-2025")</f>
        <v/>
      </c>
      <c r="W197">
        <f>HYPERLINK("https://klasma.github.io/Logging_1885/klagomålsmail/A 54239-2025 FSC-klagomål mail.docx", "A 54239-2025")</f>
        <v/>
      </c>
      <c r="X197">
        <f>HYPERLINK("https://klasma.github.io/Logging_1885/tillsyn/A 54239-2025 tillsynsbegäran.docx", "A 54239-2025")</f>
        <v/>
      </c>
      <c r="Y197">
        <f>HYPERLINK("https://klasma.github.io/Logging_1885/tillsynsmail/A 54239-2025 tillsynsbegäran mail.docx", "A 54239-2025")</f>
        <v/>
      </c>
      <c r="Z197">
        <f>HYPERLINK("https://klasma.github.io/Logging_1885/fåglar/A 54239-2025 prioriterade fågelarter.docx", "A 54239-2025")</f>
        <v/>
      </c>
    </row>
    <row r="198" ht="15" customHeight="1">
      <c r="A198" t="inlineStr">
        <is>
          <t>A 54093-2025</t>
        </is>
      </c>
      <c r="B198" s="1" t="n">
        <v>45964.40112268519</v>
      </c>
      <c r="C198" s="1" t="n">
        <v>46132</v>
      </c>
      <c r="D198" t="inlineStr">
        <is>
          <t>ÖREBRO LÄN</t>
        </is>
      </c>
      <c r="E198" t="inlineStr">
        <is>
          <t>LINDESBERG</t>
        </is>
      </c>
      <c r="G198" t="n">
        <v>2.6</v>
      </c>
      <c r="H198" t="n">
        <v>0</v>
      </c>
      <c r="I198" t="n">
        <v>2</v>
      </c>
      <c r="J198" t="n">
        <v>0</v>
      </c>
      <c r="K198" t="n">
        <v>0</v>
      </c>
      <c r="L198" t="n">
        <v>0</v>
      </c>
      <c r="M198" t="n">
        <v>0</v>
      </c>
      <c r="N198" t="n">
        <v>0</v>
      </c>
      <c r="O198" t="n">
        <v>0</v>
      </c>
      <c r="P198" t="n">
        <v>0</v>
      </c>
      <c r="Q198" t="n">
        <v>2</v>
      </c>
      <c r="R198" s="2" t="inlineStr">
        <is>
          <t>Gulvaxing
Vitvaxing agg.</t>
        </is>
      </c>
      <c r="S198">
        <f>HYPERLINK("https://klasma.github.io/Logging_1885/artfynd/A 54093-2025 artfynd.xlsx", "A 54093-2025")</f>
        <v/>
      </c>
      <c r="T198">
        <f>HYPERLINK("https://klasma.github.io/Logging_1885/kartor/A 54093-2025 karta.png", "A 54093-2025")</f>
        <v/>
      </c>
      <c r="V198">
        <f>HYPERLINK("https://klasma.github.io/Logging_1885/klagomål/A 54093-2025 FSC-klagomål.docx", "A 54093-2025")</f>
        <v/>
      </c>
      <c r="W198">
        <f>HYPERLINK("https://klasma.github.io/Logging_1885/klagomålsmail/A 54093-2025 FSC-klagomål mail.docx", "A 54093-2025")</f>
        <v/>
      </c>
      <c r="X198">
        <f>HYPERLINK("https://klasma.github.io/Logging_1885/tillsyn/A 54093-2025 tillsynsbegäran.docx", "A 54093-2025")</f>
        <v/>
      </c>
      <c r="Y198">
        <f>HYPERLINK("https://klasma.github.io/Logging_1885/tillsynsmail/A 54093-2025 tillsynsbegäran mail.docx", "A 54093-2025")</f>
        <v/>
      </c>
    </row>
    <row r="199" ht="15" customHeight="1">
      <c r="A199" t="inlineStr">
        <is>
          <t>A 54598-2025</t>
        </is>
      </c>
      <c r="B199" s="1" t="n">
        <v>45965.77918981481</v>
      </c>
      <c r="C199" s="1" t="n">
        <v>46132</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16932-2025</t>
        </is>
      </c>
      <c r="B200" s="1" t="n">
        <v>45755.40261574074</v>
      </c>
      <c r="C200" s="1" t="n">
        <v>46132</v>
      </c>
      <c r="D200" t="inlineStr">
        <is>
          <t>ÖREBRO LÄN</t>
        </is>
      </c>
      <c r="E200" t="inlineStr">
        <is>
          <t>HÄLLEFORS</t>
        </is>
      </c>
      <c r="F200" t="inlineStr">
        <is>
          <t>Bergvik skog väst AB</t>
        </is>
      </c>
      <c r="G200" t="n">
        <v>4.9</v>
      </c>
      <c r="H200" t="n">
        <v>2</v>
      </c>
      <c r="I200" t="n">
        <v>0</v>
      </c>
      <c r="J200" t="n">
        <v>0</v>
      </c>
      <c r="K200" t="n">
        <v>0</v>
      </c>
      <c r="L200" t="n">
        <v>0</v>
      </c>
      <c r="M200" t="n">
        <v>0</v>
      </c>
      <c r="N200" t="n">
        <v>0</v>
      </c>
      <c r="O200" t="n">
        <v>0</v>
      </c>
      <c r="P200" t="n">
        <v>0</v>
      </c>
      <c r="Q200" t="n">
        <v>2</v>
      </c>
      <c r="R200" s="2" t="inlineStr">
        <is>
          <t>Kungsfågel
Revlummer</t>
        </is>
      </c>
      <c r="S200">
        <f>HYPERLINK("https://klasma.github.io/Logging_1863/artfynd/A 16932-2025 artfynd.xlsx", "A 16932-2025")</f>
        <v/>
      </c>
      <c r="T200">
        <f>HYPERLINK("https://klasma.github.io/Logging_1863/kartor/A 16932-2025 karta.png", "A 16932-2025")</f>
        <v/>
      </c>
      <c r="V200">
        <f>HYPERLINK("https://klasma.github.io/Logging_1863/klagomål/A 16932-2025 FSC-klagomål.docx", "A 16932-2025")</f>
        <v/>
      </c>
      <c r="W200">
        <f>HYPERLINK("https://klasma.github.io/Logging_1863/klagomålsmail/A 16932-2025 FSC-klagomål mail.docx", "A 16932-2025")</f>
        <v/>
      </c>
      <c r="X200">
        <f>HYPERLINK("https://klasma.github.io/Logging_1863/tillsyn/A 16932-2025 tillsynsbegäran.docx", "A 16932-2025")</f>
        <v/>
      </c>
      <c r="Y200">
        <f>HYPERLINK("https://klasma.github.io/Logging_1863/tillsynsmail/A 16932-2025 tillsynsbegäran mail.docx", "A 16932-2025")</f>
        <v/>
      </c>
      <c r="Z200">
        <f>HYPERLINK("https://klasma.github.io/Logging_1863/fåglar/A 16932-2025 prioriterade fågelarter.docx", "A 16932-2025")</f>
        <v/>
      </c>
    </row>
    <row r="201" ht="15" customHeight="1">
      <c r="A201" t="inlineStr">
        <is>
          <t>A 44397-2025</t>
        </is>
      </c>
      <c r="B201" s="1" t="n">
        <v>45916.50061342592</v>
      </c>
      <c r="C201" s="1" t="n">
        <v>46132</v>
      </c>
      <c r="D201" t="inlineStr">
        <is>
          <t>ÖREBRO LÄN</t>
        </is>
      </c>
      <c r="E201" t="inlineStr">
        <is>
          <t>HÄLLEFORS</t>
        </is>
      </c>
      <c r="F201" t="inlineStr">
        <is>
          <t>Bergvik skog väst AB</t>
        </is>
      </c>
      <c r="G201" t="n">
        <v>6.5</v>
      </c>
      <c r="H201" t="n">
        <v>1</v>
      </c>
      <c r="I201" t="n">
        <v>1</v>
      </c>
      <c r="J201" t="n">
        <v>1</v>
      </c>
      <c r="K201" t="n">
        <v>0</v>
      </c>
      <c r="L201" t="n">
        <v>0</v>
      </c>
      <c r="M201" t="n">
        <v>0</v>
      </c>
      <c r="N201" t="n">
        <v>0</v>
      </c>
      <c r="O201" t="n">
        <v>1</v>
      </c>
      <c r="P201" t="n">
        <v>0</v>
      </c>
      <c r="Q201" t="n">
        <v>2</v>
      </c>
      <c r="R201" s="2" t="inlineStr">
        <is>
          <t>Ullticka
Grön sköldmossa</t>
        </is>
      </c>
      <c r="S201">
        <f>HYPERLINK("https://klasma.github.io/Logging_1863/artfynd/A 44397-2025 artfynd.xlsx", "A 44397-2025")</f>
        <v/>
      </c>
      <c r="T201">
        <f>HYPERLINK("https://klasma.github.io/Logging_1863/kartor/A 44397-2025 karta.png", "A 44397-2025")</f>
        <v/>
      </c>
      <c r="V201">
        <f>HYPERLINK("https://klasma.github.io/Logging_1863/klagomål/A 44397-2025 FSC-klagomål.docx", "A 44397-2025")</f>
        <v/>
      </c>
      <c r="W201">
        <f>HYPERLINK("https://klasma.github.io/Logging_1863/klagomålsmail/A 44397-2025 FSC-klagomål mail.docx", "A 44397-2025")</f>
        <v/>
      </c>
      <c r="X201">
        <f>HYPERLINK("https://klasma.github.io/Logging_1863/tillsyn/A 44397-2025 tillsynsbegäran.docx", "A 44397-2025")</f>
        <v/>
      </c>
      <c r="Y201">
        <f>HYPERLINK("https://klasma.github.io/Logging_1863/tillsynsmail/A 44397-2025 tillsynsbegäran mail.docx", "A 44397-2025")</f>
        <v/>
      </c>
    </row>
    <row r="202" ht="15" customHeight="1">
      <c r="A202" t="inlineStr">
        <is>
          <t>A 44402-2025</t>
        </is>
      </c>
      <c r="B202" s="1" t="n">
        <v>45916.51012731482</v>
      </c>
      <c r="C202" s="1" t="n">
        <v>46132</v>
      </c>
      <c r="D202" t="inlineStr">
        <is>
          <t>ÖREBRO LÄN</t>
        </is>
      </c>
      <c r="E202" t="inlineStr">
        <is>
          <t>HÄLLEFORS</t>
        </is>
      </c>
      <c r="F202" t="inlineStr">
        <is>
          <t>Bergvik skog väst AB</t>
        </is>
      </c>
      <c r="G202" t="n">
        <v>1.8</v>
      </c>
      <c r="H202" t="n">
        <v>0</v>
      </c>
      <c r="I202" t="n">
        <v>1</v>
      </c>
      <c r="J202" t="n">
        <v>1</v>
      </c>
      <c r="K202" t="n">
        <v>0</v>
      </c>
      <c r="L202" t="n">
        <v>0</v>
      </c>
      <c r="M202" t="n">
        <v>0</v>
      </c>
      <c r="N202" t="n">
        <v>0</v>
      </c>
      <c r="O202" t="n">
        <v>1</v>
      </c>
      <c r="P202" t="n">
        <v>0</v>
      </c>
      <c r="Q202" t="n">
        <v>2</v>
      </c>
      <c r="R202" s="2" t="inlineStr">
        <is>
          <t>Garnlav
Vedticka</t>
        </is>
      </c>
      <c r="S202">
        <f>HYPERLINK("https://klasma.github.io/Logging_1863/artfynd/A 44402-2025 artfynd.xlsx", "A 44402-2025")</f>
        <v/>
      </c>
      <c r="T202">
        <f>HYPERLINK("https://klasma.github.io/Logging_1863/kartor/A 44402-2025 karta.png", "A 44402-2025")</f>
        <v/>
      </c>
      <c r="V202">
        <f>HYPERLINK("https://klasma.github.io/Logging_1863/klagomål/A 44402-2025 FSC-klagomål.docx", "A 44402-2025")</f>
        <v/>
      </c>
      <c r="W202">
        <f>HYPERLINK("https://klasma.github.io/Logging_1863/klagomålsmail/A 44402-2025 FSC-klagomål mail.docx", "A 44402-2025")</f>
        <v/>
      </c>
      <c r="X202">
        <f>HYPERLINK("https://klasma.github.io/Logging_1863/tillsyn/A 44402-2025 tillsynsbegäran.docx", "A 44402-2025")</f>
        <v/>
      </c>
      <c r="Y202">
        <f>HYPERLINK("https://klasma.github.io/Logging_1863/tillsynsmail/A 44402-2025 tillsynsbegäran mail.docx", "A 44402-2025")</f>
        <v/>
      </c>
    </row>
    <row r="203" ht="15" customHeight="1">
      <c r="A203" t="inlineStr">
        <is>
          <t>A 28113-2025</t>
        </is>
      </c>
      <c r="B203" s="1" t="n">
        <v>45817</v>
      </c>
      <c r="C203" s="1" t="n">
        <v>46132</v>
      </c>
      <c r="D203" t="inlineStr">
        <is>
          <t>ÖREBRO LÄN</t>
        </is>
      </c>
      <c r="E203" t="inlineStr">
        <is>
          <t>HALLSBERG</t>
        </is>
      </c>
      <c r="F203" t="inlineStr">
        <is>
          <t>Allmännings- och besparingsskogar</t>
        </is>
      </c>
      <c r="G203" t="n">
        <v>8.800000000000001</v>
      </c>
      <c r="H203" t="n">
        <v>2</v>
      </c>
      <c r="I203" t="n">
        <v>0</v>
      </c>
      <c r="J203" t="n">
        <v>0</v>
      </c>
      <c r="K203" t="n">
        <v>0</v>
      </c>
      <c r="L203" t="n">
        <v>0</v>
      </c>
      <c r="M203" t="n">
        <v>0</v>
      </c>
      <c r="N203" t="n">
        <v>0</v>
      </c>
      <c r="O203" t="n">
        <v>0</v>
      </c>
      <c r="P203" t="n">
        <v>0</v>
      </c>
      <c r="Q203" t="n">
        <v>2</v>
      </c>
      <c r="R203" s="2" t="inlineStr">
        <is>
          <t>Tjäder
Revlummer</t>
        </is>
      </c>
      <c r="S203">
        <f>HYPERLINK("https://klasma.github.io/Logging_1861/artfynd/A 28113-2025 artfynd.xlsx", "A 28113-2025")</f>
        <v/>
      </c>
      <c r="T203">
        <f>HYPERLINK("https://klasma.github.io/Logging_1861/kartor/A 28113-2025 karta.png", "A 28113-2025")</f>
        <v/>
      </c>
      <c r="V203">
        <f>HYPERLINK("https://klasma.github.io/Logging_1861/klagomål/A 28113-2025 FSC-klagomål.docx", "A 28113-2025")</f>
        <v/>
      </c>
      <c r="W203">
        <f>HYPERLINK("https://klasma.github.io/Logging_1861/klagomålsmail/A 28113-2025 FSC-klagomål mail.docx", "A 28113-2025")</f>
        <v/>
      </c>
      <c r="X203">
        <f>HYPERLINK("https://klasma.github.io/Logging_1861/tillsyn/A 28113-2025 tillsynsbegäran.docx", "A 28113-2025")</f>
        <v/>
      </c>
      <c r="Y203">
        <f>HYPERLINK("https://klasma.github.io/Logging_1861/tillsynsmail/A 28113-2025 tillsynsbegäran mail.docx", "A 28113-2025")</f>
        <v/>
      </c>
      <c r="Z203">
        <f>HYPERLINK("https://klasma.github.io/Logging_1861/fåglar/A 28113-2025 prioriterade fågelarter.docx", "A 28113-2025")</f>
        <v/>
      </c>
    </row>
    <row r="204" ht="15" customHeight="1">
      <c r="A204" t="inlineStr">
        <is>
          <t>A 47785-2025</t>
        </is>
      </c>
      <c r="B204" s="1" t="n">
        <v>45931</v>
      </c>
      <c r="C204" s="1" t="n">
        <v>46132</v>
      </c>
      <c r="D204" t="inlineStr">
        <is>
          <t>ÖREBRO LÄN</t>
        </is>
      </c>
      <c r="E204" t="inlineStr">
        <is>
          <t>DEGERFORS</t>
        </is>
      </c>
      <c r="G204" t="n">
        <v>2</v>
      </c>
      <c r="H204" t="n">
        <v>2</v>
      </c>
      <c r="I204" t="n">
        <v>0</v>
      </c>
      <c r="J204" t="n">
        <v>1</v>
      </c>
      <c r="K204" t="n">
        <v>0</v>
      </c>
      <c r="L204" t="n">
        <v>0</v>
      </c>
      <c r="M204" t="n">
        <v>0</v>
      </c>
      <c r="N204" t="n">
        <v>0</v>
      </c>
      <c r="O204" t="n">
        <v>1</v>
      </c>
      <c r="P204" t="n">
        <v>0</v>
      </c>
      <c r="Q204" t="n">
        <v>2</v>
      </c>
      <c r="R204" s="2" t="inlineStr">
        <is>
          <t>Spillkråka
Kungsfågel</t>
        </is>
      </c>
      <c r="S204">
        <f>HYPERLINK("https://klasma.github.io/Logging_1862/artfynd/A 47785-2025 artfynd.xlsx", "A 47785-2025")</f>
        <v/>
      </c>
      <c r="T204">
        <f>HYPERLINK("https://klasma.github.io/Logging_1862/kartor/A 47785-2025 karta.png", "A 47785-2025")</f>
        <v/>
      </c>
      <c r="V204">
        <f>HYPERLINK("https://klasma.github.io/Logging_1862/klagomål/A 47785-2025 FSC-klagomål.docx", "A 47785-2025")</f>
        <v/>
      </c>
      <c r="W204">
        <f>HYPERLINK("https://klasma.github.io/Logging_1862/klagomålsmail/A 47785-2025 FSC-klagomål mail.docx", "A 47785-2025")</f>
        <v/>
      </c>
      <c r="X204">
        <f>HYPERLINK("https://klasma.github.io/Logging_1862/tillsyn/A 47785-2025 tillsynsbegäran.docx", "A 47785-2025")</f>
        <v/>
      </c>
      <c r="Y204">
        <f>HYPERLINK("https://klasma.github.io/Logging_1862/tillsynsmail/A 47785-2025 tillsynsbegäran mail.docx", "A 47785-2025")</f>
        <v/>
      </c>
      <c r="Z204">
        <f>HYPERLINK("https://klasma.github.io/Logging_1862/fåglar/A 47785-2025 prioriterade fågelarter.docx", "A 47785-2025")</f>
        <v/>
      </c>
    </row>
    <row r="205" ht="15" customHeight="1">
      <c r="A205" t="inlineStr">
        <is>
          <t>A 42442-2024</t>
        </is>
      </c>
      <c r="B205" s="1" t="n">
        <v>45565</v>
      </c>
      <c r="C205" s="1" t="n">
        <v>46132</v>
      </c>
      <c r="D205" t="inlineStr">
        <is>
          <t>ÖREBRO LÄN</t>
        </is>
      </c>
      <c r="E205" t="inlineStr">
        <is>
          <t>HALLSBERG</t>
        </is>
      </c>
      <c r="F205" t="inlineStr">
        <is>
          <t>Sveaskog</t>
        </is>
      </c>
      <c r="G205" t="n">
        <v>3.6</v>
      </c>
      <c r="H205" t="n">
        <v>1</v>
      </c>
      <c r="I205" t="n">
        <v>1</v>
      </c>
      <c r="J205" t="n">
        <v>0</v>
      </c>
      <c r="K205" t="n">
        <v>0</v>
      </c>
      <c r="L205" t="n">
        <v>0</v>
      </c>
      <c r="M205" t="n">
        <v>0</v>
      </c>
      <c r="N205" t="n">
        <v>0</v>
      </c>
      <c r="O205" t="n">
        <v>0</v>
      </c>
      <c r="P205" t="n">
        <v>0</v>
      </c>
      <c r="Q205" t="n">
        <v>2</v>
      </c>
      <c r="R205" s="2" t="inlineStr">
        <is>
          <t>Vedticka
Revlummer</t>
        </is>
      </c>
      <c r="S205">
        <f>HYPERLINK("https://klasma.github.io/Logging_1861/artfynd/A 42442-2024 artfynd.xlsx", "A 42442-2024")</f>
        <v/>
      </c>
      <c r="T205">
        <f>HYPERLINK("https://klasma.github.io/Logging_1861/kartor/A 42442-2024 karta.png", "A 42442-2024")</f>
        <v/>
      </c>
      <c r="V205">
        <f>HYPERLINK("https://klasma.github.io/Logging_1861/klagomål/A 42442-2024 FSC-klagomål.docx", "A 42442-2024")</f>
        <v/>
      </c>
      <c r="W205">
        <f>HYPERLINK("https://klasma.github.io/Logging_1861/klagomålsmail/A 42442-2024 FSC-klagomål mail.docx", "A 42442-2024")</f>
        <v/>
      </c>
      <c r="X205">
        <f>HYPERLINK("https://klasma.github.io/Logging_1861/tillsyn/A 42442-2024 tillsynsbegäran.docx", "A 42442-2024")</f>
        <v/>
      </c>
      <c r="Y205">
        <f>HYPERLINK("https://klasma.github.io/Logging_1861/tillsynsmail/A 42442-2024 tillsynsbegäran mail.docx", "A 42442-2024")</f>
        <v/>
      </c>
    </row>
    <row r="206" ht="15" customHeight="1">
      <c r="A206" t="inlineStr">
        <is>
          <t>A 62105-2022</t>
        </is>
      </c>
      <c r="B206" s="1" t="n">
        <v>44920</v>
      </c>
      <c r="C206" s="1" t="n">
        <v>46132</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46452-2023</t>
        </is>
      </c>
      <c r="B207" s="1" t="n">
        <v>45197.59850694444</v>
      </c>
      <c r="C207" s="1" t="n">
        <v>46132</v>
      </c>
      <c r="D207" t="inlineStr">
        <is>
          <t>ÖREBRO LÄN</t>
        </is>
      </c>
      <c r="E207" t="inlineStr">
        <is>
          <t>HALLSBERG</t>
        </is>
      </c>
      <c r="G207" t="n">
        <v>2.7</v>
      </c>
      <c r="H207" t="n">
        <v>2</v>
      </c>
      <c r="I207" t="n">
        <v>0</v>
      </c>
      <c r="J207" t="n">
        <v>1</v>
      </c>
      <c r="K207" t="n">
        <v>0</v>
      </c>
      <c r="L207" t="n">
        <v>0</v>
      </c>
      <c r="M207" t="n">
        <v>0</v>
      </c>
      <c r="N207" t="n">
        <v>0</v>
      </c>
      <c r="O207" t="n">
        <v>1</v>
      </c>
      <c r="P207" t="n">
        <v>0</v>
      </c>
      <c r="Q207" t="n">
        <v>2</v>
      </c>
      <c r="R207" s="2" t="inlineStr">
        <is>
          <t>Entita
Blåsippa</t>
        </is>
      </c>
      <c r="S207">
        <f>HYPERLINK("https://klasma.github.io/Logging_1861/artfynd/A 46452-2023 artfynd.xlsx", "A 46452-2023")</f>
        <v/>
      </c>
      <c r="T207">
        <f>HYPERLINK("https://klasma.github.io/Logging_1861/kartor/A 46452-2023 karta.png", "A 46452-2023")</f>
        <v/>
      </c>
      <c r="V207">
        <f>HYPERLINK("https://klasma.github.io/Logging_1861/klagomål/A 46452-2023 FSC-klagomål.docx", "A 46452-2023")</f>
        <v/>
      </c>
      <c r="W207">
        <f>HYPERLINK("https://klasma.github.io/Logging_1861/klagomålsmail/A 46452-2023 FSC-klagomål mail.docx", "A 46452-2023")</f>
        <v/>
      </c>
      <c r="X207">
        <f>HYPERLINK("https://klasma.github.io/Logging_1861/tillsyn/A 46452-2023 tillsynsbegäran.docx", "A 46452-2023")</f>
        <v/>
      </c>
      <c r="Y207">
        <f>HYPERLINK("https://klasma.github.io/Logging_1861/tillsynsmail/A 46452-2023 tillsynsbegäran mail.docx", "A 46452-2023")</f>
        <v/>
      </c>
      <c r="Z207">
        <f>HYPERLINK("https://klasma.github.io/Logging_1861/fåglar/A 46452-2023 prioriterade fågelarter.docx", "A 46452-2023")</f>
        <v/>
      </c>
    </row>
    <row r="208" ht="15" customHeight="1">
      <c r="A208" t="inlineStr">
        <is>
          <t>A 30409-2025</t>
        </is>
      </c>
      <c r="B208" s="1" t="n">
        <v>45827.59738425926</v>
      </c>
      <c r="C208" s="1" t="n">
        <v>46132</v>
      </c>
      <c r="D208" t="inlineStr">
        <is>
          <t>ÖREBRO LÄN</t>
        </is>
      </c>
      <c r="E208" t="inlineStr">
        <is>
          <t>ÖREBRO</t>
        </is>
      </c>
      <c r="G208" t="n">
        <v>1.2</v>
      </c>
      <c r="H208" t="n">
        <v>0</v>
      </c>
      <c r="I208" t="n">
        <v>1</v>
      </c>
      <c r="J208" t="n">
        <v>1</v>
      </c>
      <c r="K208" t="n">
        <v>0</v>
      </c>
      <c r="L208" t="n">
        <v>0</v>
      </c>
      <c r="M208" t="n">
        <v>0</v>
      </c>
      <c r="N208" t="n">
        <v>0</v>
      </c>
      <c r="O208" t="n">
        <v>1</v>
      </c>
      <c r="P208" t="n">
        <v>0</v>
      </c>
      <c r="Q208" t="n">
        <v>2</v>
      </c>
      <c r="R208" s="2" t="inlineStr">
        <is>
          <t>Scharlakansvaxing
Gulfotsskölding</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47898-2025</t>
        </is>
      </c>
      <c r="B209" s="1" t="n">
        <v>45932.49184027778</v>
      </c>
      <c r="C209" s="1" t="n">
        <v>46132</v>
      </c>
      <c r="D209" t="inlineStr">
        <is>
          <t>ÖREBRO LÄN</t>
        </is>
      </c>
      <c r="E209" t="inlineStr">
        <is>
          <t>HALLSBERG</t>
        </is>
      </c>
      <c r="F209" t="inlineStr">
        <is>
          <t>Sveaskog</t>
        </is>
      </c>
      <c r="G209" t="n">
        <v>5.6</v>
      </c>
      <c r="H209" t="n">
        <v>0</v>
      </c>
      <c r="I209" t="n">
        <v>1</v>
      </c>
      <c r="J209" t="n">
        <v>1</v>
      </c>
      <c r="K209" t="n">
        <v>0</v>
      </c>
      <c r="L209" t="n">
        <v>0</v>
      </c>
      <c r="M209" t="n">
        <v>0</v>
      </c>
      <c r="N209" t="n">
        <v>0</v>
      </c>
      <c r="O209" t="n">
        <v>1</v>
      </c>
      <c r="P209" t="n">
        <v>0</v>
      </c>
      <c r="Q209" t="n">
        <v>2</v>
      </c>
      <c r="R209" s="2" t="inlineStr">
        <is>
          <t>Ullticka
Björksplintborre</t>
        </is>
      </c>
      <c r="S209">
        <f>HYPERLINK("https://klasma.github.io/Logging_1861/artfynd/A 47898-2025 artfynd.xlsx", "A 47898-2025")</f>
        <v/>
      </c>
      <c r="T209">
        <f>HYPERLINK("https://klasma.github.io/Logging_1861/kartor/A 47898-2025 karta.png", "A 47898-2025")</f>
        <v/>
      </c>
      <c r="V209">
        <f>HYPERLINK("https://klasma.github.io/Logging_1861/klagomål/A 47898-2025 FSC-klagomål.docx", "A 47898-2025")</f>
        <v/>
      </c>
      <c r="W209">
        <f>HYPERLINK("https://klasma.github.io/Logging_1861/klagomålsmail/A 47898-2025 FSC-klagomål mail.docx", "A 47898-2025")</f>
        <v/>
      </c>
      <c r="X209">
        <f>HYPERLINK("https://klasma.github.io/Logging_1861/tillsyn/A 47898-2025 tillsynsbegäran.docx", "A 47898-2025")</f>
        <v/>
      </c>
      <c r="Y209">
        <f>HYPERLINK("https://klasma.github.io/Logging_1861/tillsynsmail/A 47898-2025 tillsynsbegäran mail.docx", "A 47898-2025")</f>
        <v/>
      </c>
    </row>
    <row r="210" ht="15" customHeight="1">
      <c r="A210" t="inlineStr">
        <is>
          <t>A 49300-2025</t>
        </is>
      </c>
      <c r="B210" s="1" t="n">
        <v>45936</v>
      </c>
      <c r="C210" s="1" t="n">
        <v>46132</v>
      </c>
      <c r="D210" t="inlineStr">
        <is>
          <t>ÖREBRO LÄN</t>
        </is>
      </c>
      <c r="E210" t="inlineStr">
        <is>
          <t>LJUSNARSBERG</t>
        </is>
      </c>
      <c r="F210" t="inlineStr">
        <is>
          <t>Bergvik skog väst AB</t>
        </is>
      </c>
      <c r="G210" t="n">
        <v>7</v>
      </c>
      <c r="H210" t="n">
        <v>0</v>
      </c>
      <c r="I210" t="n">
        <v>0</v>
      </c>
      <c r="J210" t="n">
        <v>1</v>
      </c>
      <c r="K210" t="n">
        <v>1</v>
      </c>
      <c r="L210" t="n">
        <v>0</v>
      </c>
      <c r="M210" t="n">
        <v>0</v>
      </c>
      <c r="N210" t="n">
        <v>0</v>
      </c>
      <c r="O210" t="n">
        <v>2</v>
      </c>
      <c r="P210" t="n">
        <v>1</v>
      </c>
      <c r="Q210" t="n">
        <v>2</v>
      </c>
      <c r="R210" s="2" t="inlineStr">
        <is>
          <t>Rynkskinn
Ullticka</t>
        </is>
      </c>
      <c r="S210">
        <f>HYPERLINK("https://klasma.github.io/Logging_1864/artfynd/A 49300-2025 artfynd.xlsx", "A 49300-2025")</f>
        <v/>
      </c>
      <c r="T210">
        <f>HYPERLINK("https://klasma.github.io/Logging_1864/kartor/A 49300-2025 karta.png", "A 49300-2025")</f>
        <v/>
      </c>
      <c r="V210">
        <f>HYPERLINK("https://klasma.github.io/Logging_1864/klagomål/A 49300-2025 FSC-klagomål.docx", "A 49300-2025")</f>
        <v/>
      </c>
      <c r="W210">
        <f>HYPERLINK("https://klasma.github.io/Logging_1864/klagomålsmail/A 49300-2025 FSC-klagomål mail.docx", "A 49300-2025")</f>
        <v/>
      </c>
      <c r="X210">
        <f>HYPERLINK("https://klasma.github.io/Logging_1864/tillsyn/A 49300-2025 tillsynsbegäran.docx", "A 49300-2025")</f>
        <v/>
      </c>
      <c r="Y210">
        <f>HYPERLINK("https://klasma.github.io/Logging_1864/tillsynsmail/A 49300-2025 tillsynsbegäran mail.docx", "A 49300-2025")</f>
        <v/>
      </c>
    </row>
    <row r="211" ht="15" customHeight="1">
      <c r="A211" t="inlineStr">
        <is>
          <t>A 33290-2025</t>
        </is>
      </c>
      <c r="B211" s="1" t="n">
        <v>45840.87771990741</v>
      </c>
      <c r="C211" s="1" t="n">
        <v>46132</v>
      </c>
      <c r="D211" t="inlineStr">
        <is>
          <t>ÖREBRO LÄN</t>
        </is>
      </c>
      <c r="E211" t="inlineStr">
        <is>
          <t>KARLSKOGA</t>
        </is>
      </c>
      <c r="F211" t="inlineStr">
        <is>
          <t>Kyrkan</t>
        </is>
      </c>
      <c r="G211" t="n">
        <v>9.4</v>
      </c>
      <c r="H211" t="n">
        <v>2</v>
      </c>
      <c r="I211" t="n">
        <v>0</v>
      </c>
      <c r="J211" t="n">
        <v>1</v>
      </c>
      <c r="K211" t="n">
        <v>0</v>
      </c>
      <c r="L211" t="n">
        <v>0</v>
      </c>
      <c r="M211" t="n">
        <v>0</v>
      </c>
      <c r="N211" t="n">
        <v>0</v>
      </c>
      <c r="O211" t="n">
        <v>1</v>
      </c>
      <c r="P211" t="n">
        <v>0</v>
      </c>
      <c r="Q211" t="n">
        <v>2</v>
      </c>
      <c r="R211" s="2" t="inlineStr">
        <is>
          <t>Nordfladdermus
Vattenfladdermus</t>
        </is>
      </c>
      <c r="S211">
        <f>HYPERLINK("https://klasma.github.io/Logging_1883/artfynd/A 33290-2025 artfynd.xlsx", "A 33290-2025")</f>
        <v/>
      </c>
      <c r="T211">
        <f>HYPERLINK("https://klasma.github.io/Logging_1883/kartor/A 33290-2025 karta.png", "A 33290-2025")</f>
        <v/>
      </c>
      <c r="V211">
        <f>HYPERLINK("https://klasma.github.io/Logging_1883/klagomål/A 33290-2025 FSC-klagomål.docx", "A 33290-2025")</f>
        <v/>
      </c>
      <c r="W211">
        <f>HYPERLINK("https://klasma.github.io/Logging_1883/klagomålsmail/A 33290-2025 FSC-klagomål mail.docx", "A 33290-2025")</f>
        <v/>
      </c>
      <c r="X211">
        <f>HYPERLINK("https://klasma.github.io/Logging_1883/tillsyn/A 33290-2025 tillsynsbegäran.docx", "A 33290-2025")</f>
        <v/>
      </c>
      <c r="Y211">
        <f>HYPERLINK("https://klasma.github.io/Logging_1883/tillsynsmail/A 33290-2025 tillsynsbegäran mail.docx", "A 33290-2025")</f>
        <v/>
      </c>
    </row>
    <row r="212" ht="15" customHeight="1">
      <c r="A212" t="inlineStr">
        <is>
          <t>A 34050-2025</t>
        </is>
      </c>
      <c r="B212" s="1" t="n">
        <v>45845.40576388889</v>
      </c>
      <c r="C212" s="1" t="n">
        <v>46132</v>
      </c>
      <c r="D212" t="inlineStr">
        <is>
          <t>ÖREBRO LÄN</t>
        </is>
      </c>
      <c r="E212" t="inlineStr">
        <is>
          <t>HÄLLEFORS</t>
        </is>
      </c>
      <c r="F212" t="inlineStr">
        <is>
          <t>Bergvik skog väst AB</t>
        </is>
      </c>
      <c r="G212" t="n">
        <v>13.5</v>
      </c>
      <c r="H212" t="n">
        <v>1</v>
      </c>
      <c r="I212" t="n">
        <v>1</v>
      </c>
      <c r="J212" t="n">
        <v>0</v>
      </c>
      <c r="K212" t="n">
        <v>0</v>
      </c>
      <c r="L212" t="n">
        <v>0</v>
      </c>
      <c r="M212" t="n">
        <v>1</v>
      </c>
      <c r="N212" t="n">
        <v>0</v>
      </c>
      <c r="O212" t="n">
        <v>1</v>
      </c>
      <c r="P212" t="n">
        <v>1</v>
      </c>
      <c r="Q212" t="n">
        <v>2</v>
      </c>
      <c r="R212" s="2" t="inlineStr">
        <is>
          <t>Flodkräfta
Tvåblad</t>
        </is>
      </c>
      <c r="S212">
        <f>HYPERLINK("https://klasma.github.io/Logging_1863/artfynd/A 34050-2025 artfynd.xlsx", "A 34050-2025")</f>
        <v/>
      </c>
      <c r="T212">
        <f>HYPERLINK("https://klasma.github.io/Logging_1863/kartor/A 34050-2025 karta.png", "A 34050-2025")</f>
        <v/>
      </c>
      <c r="V212">
        <f>HYPERLINK("https://klasma.github.io/Logging_1863/klagomål/A 34050-2025 FSC-klagomål.docx", "A 34050-2025")</f>
        <v/>
      </c>
      <c r="W212">
        <f>HYPERLINK("https://klasma.github.io/Logging_1863/klagomålsmail/A 34050-2025 FSC-klagomål mail.docx", "A 34050-2025")</f>
        <v/>
      </c>
      <c r="X212">
        <f>HYPERLINK("https://klasma.github.io/Logging_1863/tillsyn/A 34050-2025 tillsynsbegäran.docx", "A 34050-2025")</f>
        <v/>
      </c>
      <c r="Y212">
        <f>HYPERLINK("https://klasma.github.io/Logging_1863/tillsynsmail/A 34050-2025 tillsynsbegäran mail.docx", "A 34050-2025")</f>
        <v/>
      </c>
    </row>
    <row r="213" ht="15" customHeight="1">
      <c r="A213" t="inlineStr">
        <is>
          <t>A 35099-2025</t>
        </is>
      </c>
      <c r="B213" s="1" t="n">
        <v>45852.5584375</v>
      </c>
      <c r="C213" s="1" t="n">
        <v>46132</v>
      </c>
      <c r="D213" t="inlineStr">
        <is>
          <t>ÖREBRO LÄN</t>
        </is>
      </c>
      <c r="E213" t="inlineStr">
        <is>
          <t>LEKEBERG</t>
        </is>
      </c>
      <c r="F213" t="inlineStr">
        <is>
          <t>Allmännings- och besparingsskogar</t>
        </is>
      </c>
      <c r="G213" t="n">
        <v>16.5</v>
      </c>
      <c r="H213" t="n">
        <v>2</v>
      </c>
      <c r="I213" t="n">
        <v>0</v>
      </c>
      <c r="J213" t="n">
        <v>1</v>
      </c>
      <c r="K213" t="n">
        <v>0</v>
      </c>
      <c r="L213" t="n">
        <v>0</v>
      </c>
      <c r="M213" t="n">
        <v>0</v>
      </c>
      <c r="N213" t="n">
        <v>0</v>
      </c>
      <c r="O213" t="n">
        <v>1</v>
      </c>
      <c r="P213" t="n">
        <v>0</v>
      </c>
      <c r="Q213" t="n">
        <v>2</v>
      </c>
      <c r="R213" s="2" t="inlineStr">
        <is>
          <t>Spillkråka
Kungsfågel</t>
        </is>
      </c>
      <c r="S213">
        <f>HYPERLINK("https://klasma.github.io/Logging_1814/artfynd/A 35099-2025 artfynd.xlsx", "A 35099-2025")</f>
        <v/>
      </c>
      <c r="T213">
        <f>HYPERLINK("https://klasma.github.io/Logging_1814/kartor/A 35099-2025 karta.png", "A 35099-2025")</f>
        <v/>
      </c>
      <c r="V213">
        <f>HYPERLINK("https://klasma.github.io/Logging_1814/klagomål/A 35099-2025 FSC-klagomål.docx", "A 35099-2025")</f>
        <v/>
      </c>
      <c r="W213">
        <f>HYPERLINK("https://klasma.github.io/Logging_1814/klagomålsmail/A 35099-2025 FSC-klagomål mail.docx", "A 35099-2025")</f>
        <v/>
      </c>
      <c r="X213">
        <f>HYPERLINK("https://klasma.github.io/Logging_1814/tillsyn/A 35099-2025 tillsynsbegäran.docx", "A 35099-2025")</f>
        <v/>
      </c>
      <c r="Y213">
        <f>HYPERLINK("https://klasma.github.io/Logging_1814/tillsynsmail/A 35099-2025 tillsynsbegäran mail.docx", "A 35099-2025")</f>
        <v/>
      </c>
      <c r="Z213">
        <f>HYPERLINK("https://klasma.github.io/Logging_1814/fåglar/A 35099-2025 prioriterade fågelarter.docx", "A 35099-2025")</f>
        <v/>
      </c>
    </row>
    <row r="214" ht="15" customHeight="1">
      <c r="A214" t="inlineStr">
        <is>
          <t>A 34832-2025</t>
        </is>
      </c>
      <c r="B214" s="1" t="n">
        <v>45849.38643518519</v>
      </c>
      <c r="C214" s="1" t="n">
        <v>46132</v>
      </c>
      <c r="D214" t="inlineStr">
        <is>
          <t>ÖREBRO LÄN</t>
        </is>
      </c>
      <c r="E214" t="inlineStr">
        <is>
          <t>KARLSKOGA</t>
        </is>
      </c>
      <c r="F214" t="inlineStr">
        <is>
          <t>Sveaskog</t>
        </is>
      </c>
      <c r="G214" t="n">
        <v>6.4</v>
      </c>
      <c r="H214" t="n">
        <v>2</v>
      </c>
      <c r="I214" t="n">
        <v>0</v>
      </c>
      <c r="J214" t="n">
        <v>1</v>
      </c>
      <c r="K214" t="n">
        <v>0</v>
      </c>
      <c r="L214" t="n">
        <v>0</v>
      </c>
      <c r="M214" t="n">
        <v>0</v>
      </c>
      <c r="N214" t="n">
        <v>0</v>
      </c>
      <c r="O214" t="n">
        <v>1</v>
      </c>
      <c r="P214" t="n">
        <v>0</v>
      </c>
      <c r="Q214" t="n">
        <v>2</v>
      </c>
      <c r="R214" s="2" t="inlineStr">
        <is>
          <t>Järpe
Fläcknycklar</t>
        </is>
      </c>
      <c r="S214">
        <f>HYPERLINK("https://klasma.github.io/Logging_1883/artfynd/A 34832-2025 artfynd.xlsx", "A 34832-2025")</f>
        <v/>
      </c>
      <c r="T214">
        <f>HYPERLINK("https://klasma.github.io/Logging_1883/kartor/A 34832-2025 karta.png", "A 34832-2025")</f>
        <v/>
      </c>
      <c r="V214">
        <f>HYPERLINK("https://klasma.github.io/Logging_1883/klagomål/A 34832-2025 FSC-klagomål.docx", "A 34832-2025")</f>
        <v/>
      </c>
      <c r="W214">
        <f>HYPERLINK("https://klasma.github.io/Logging_1883/klagomålsmail/A 34832-2025 FSC-klagomål mail.docx", "A 34832-2025")</f>
        <v/>
      </c>
      <c r="X214">
        <f>HYPERLINK("https://klasma.github.io/Logging_1883/tillsyn/A 34832-2025 tillsynsbegäran.docx", "A 34832-2025")</f>
        <v/>
      </c>
      <c r="Y214">
        <f>HYPERLINK("https://klasma.github.io/Logging_1883/tillsynsmail/A 34832-2025 tillsynsbegäran mail.docx", "A 34832-2025")</f>
        <v/>
      </c>
      <c r="Z214">
        <f>HYPERLINK("https://klasma.github.io/Logging_1883/fåglar/A 34832-2025 prioriterade fågelarter.docx", "A 34832-2025")</f>
        <v/>
      </c>
    </row>
    <row r="215" ht="15" customHeight="1">
      <c r="A215" t="inlineStr">
        <is>
          <t>A 57319-2025</t>
        </is>
      </c>
      <c r="B215" s="1" t="n">
        <v>45980.01497685185</v>
      </c>
      <c r="C215" s="1" t="n">
        <v>46132</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36081-2025</t>
        </is>
      </c>
      <c r="B216" s="1" t="n">
        <v>45866</v>
      </c>
      <c r="C216" s="1" t="n">
        <v>46132</v>
      </c>
      <c r="D216" t="inlineStr">
        <is>
          <t>ÖREBRO LÄN</t>
        </is>
      </c>
      <c r="E216" t="inlineStr">
        <is>
          <t>DEGERFORS</t>
        </is>
      </c>
      <c r="F216" t="inlineStr">
        <is>
          <t>Sveaskog</t>
        </is>
      </c>
      <c r="G216" t="n">
        <v>1.5</v>
      </c>
      <c r="H216" t="n">
        <v>0</v>
      </c>
      <c r="I216" t="n">
        <v>0</v>
      </c>
      <c r="J216" t="n">
        <v>2</v>
      </c>
      <c r="K216" t="n">
        <v>0</v>
      </c>
      <c r="L216" t="n">
        <v>0</v>
      </c>
      <c r="M216" t="n">
        <v>0</v>
      </c>
      <c r="N216" t="n">
        <v>0</v>
      </c>
      <c r="O216" t="n">
        <v>2</v>
      </c>
      <c r="P216" t="n">
        <v>0</v>
      </c>
      <c r="Q216" t="n">
        <v>2</v>
      </c>
      <c r="R216" s="2" t="inlineStr">
        <is>
          <t>Skogsklocka
Svinrot</t>
        </is>
      </c>
      <c r="S216">
        <f>HYPERLINK("https://klasma.github.io/Logging_1862/artfynd/A 36081-2025 artfynd.xlsx", "A 36081-2025")</f>
        <v/>
      </c>
      <c r="T216">
        <f>HYPERLINK("https://klasma.github.io/Logging_1862/kartor/A 36081-2025 karta.png", "A 36081-2025")</f>
        <v/>
      </c>
      <c r="V216">
        <f>HYPERLINK("https://klasma.github.io/Logging_1862/klagomål/A 36081-2025 FSC-klagomål.docx", "A 36081-2025")</f>
        <v/>
      </c>
      <c r="W216">
        <f>HYPERLINK("https://klasma.github.io/Logging_1862/klagomålsmail/A 36081-2025 FSC-klagomål mail.docx", "A 36081-2025")</f>
        <v/>
      </c>
      <c r="X216">
        <f>HYPERLINK("https://klasma.github.io/Logging_1862/tillsyn/A 36081-2025 tillsynsbegäran.docx", "A 36081-2025")</f>
        <v/>
      </c>
      <c r="Y216">
        <f>HYPERLINK("https://klasma.github.io/Logging_1862/tillsynsmail/A 36081-2025 tillsynsbegäran mail.docx", "A 36081-2025")</f>
        <v/>
      </c>
    </row>
    <row r="217" ht="15" customHeight="1">
      <c r="A217" t="inlineStr">
        <is>
          <t>A 31967-2023</t>
        </is>
      </c>
      <c r="B217" s="1" t="n">
        <v>45107</v>
      </c>
      <c r="C217" s="1" t="n">
        <v>46132</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3460-2025</t>
        </is>
      </c>
      <c r="B218" s="1" t="n">
        <v>45680</v>
      </c>
      <c r="C218" s="1" t="n">
        <v>46132</v>
      </c>
      <c r="D218" t="inlineStr">
        <is>
          <t>ÖREBRO LÄN</t>
        </is>
      </c>
      <c r="E218" t="inlineStr">
        <is>
          <t>ASKERSUND</t>
        </is>
      </c>
      <c r="F218" t="inlineStr">
        <is>
          <t>Sveaskog</t>
        </is>
      </c>
      <c r="G218" t="n">
        <v>2.5</v>
      </c>
      <c r="H218" t="n">
        <v>2</v>
      </c>
      <c r="I218" t="n">
        <v>0</v>
      </c>
      <c r="J218" t="n">
        <v>0</v>
      </c>
      <c r="K218" t="n">
        <v>0</v>
      </c>
      <c r="L218" t="n">
        <v>0</v>
      </c>
      <c r="M218" t="n">
        <v>0</v>
      </c>
      <c r="N218" t="n">
        <v>0</v>
      </c>
      <c r="O218" t="n">
        <v>0</v>
      </c>
      <c r="P218" t="n">
        <v>0</v>
      </c>
      <c r="Q218" t="n">
        <v>2</v>
      </c>
      <c r="R218" s="2" t="inlineStr">
        <is>
          <t>Fläcknycklar
Mattlummer</t>
        </is>
      </c>
      <c r="S218">
        <f>HYPERLINK("https://klasma.github.io/Logging_1882/artfynd/A 3460-2025 artfynd.xlsx", "A 3460-2025")</f>
        <v/>
      </c>
      <c r="T218">
        <f>HYPERLINK("https://klasma.github.io/Logging_1882/kartor/A 3460-2025 karta.png", "A 3460-2025")</f>
        <v/>
      </c>
      <c r="V218">
        <f>HYPERLINK("https://klasma.github.io/Logging_1882/klagomål/A 3460-2025 FSC-klagomål.docx", "A 3460-2025")</f>
        <v/>
      </c>
      <c r="W218">
        <f>HYPERLINK("https://klasma.github.io/Logging_1882/klagomålsmail/A 3460-2025 FSC-klagomål mail.docx", "A 3460-2025")</f>
        <v/>
      </c>
      <c r="X218">
        <f>HYPERLINK("https://klasma.github.io/Logging_1882/tillsyn/A 3460-2025 tillsynsbegäran.docx", "A 3460-2025")</f>
        <v/>
      </c>
      <c r="Y218">
        <f>HYPERLINK("https://klasma.github.io/Logging_1882/tillsynsmail/A 3460-2025 tillsynsbegäran mail.docx", "A 3460-2025")</f>
        <v/>
      </c>
    </row>
    <row r="219" ht="15" customHeight="1">
      <c r="A219" t="inlineStr">
        <is>
          <t>A 59521-2025</t>
        </is>
      </c>
      <c r="B219" s="1" t="n">
        <v>45989.65802083333</v>
      </c>
      <c r="C219" s="1" t="n">
        <v>46132</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60557-2025</t>
        </is>
      </c>
      <c r="B220" s="1" t="n">
        <v>45995.74444444444</v>
      </c>
      <c r="C220" s="1" t="n">
        <v>46132</v>
      </c>
      <c r="D220" t="inlineStr">
        <is>
          <t>ÖREBRO LÄN</t>
        </is>
      </c>
      <c r="E220" t="inlineStr">
        <is>
          <t>ÖREBRO</t>
        </is>
      </c>
      <c r="G220" t="n">
        <v>4.8</v>
      </c>
      <c r="H220" t="n">
        <v>0</v>
      </c>
      <c r="I220" t="n">
        <v>2</v>
      </c>
      <c r="J220" t="n">
        <v>0</v>
      </c>
      <c r="K220" t="n">
        <v>0</v>
      </c>
      <c r="L220" t="n">
        <v>0</v>
      </c>
      <c r="M220" t="n">
        <v>0</v>
      </c>
      <c r="N220" t="n">
        <v>0</v>
      </c>
      <c r="O220" t="n">
        <v>0</v>
      </c>
      <c r="P220" t="n">
        <v>0</v>
      </c>
      <c r="Q220" t="n">
        <v>2</v>
      </c>
      <c r="R220" s="2" t="inlineStr">
        <is>
          <t>Rödbrun jordstjärna
Tibast</t>
        </is>
      </c>
      <c r="S220">
        <f>HYPERLINK("https://klasma.github.io/Logging_1880/artfynd/A 60557-2025 artfynd.xlsx", "A 60557-2025")</f>
        <v/>
      </c>
      <c r="T220">
        <f>HYPERLINK("https://klasma.github.io/Logging_1880/kartor/A 60557-2025 karta.png", "A 60557-2025")</f>
        <v/>
      </c>
      <c r="V220">
        <f>HYPERLINK("https://klasma.github.io/Logging_1880/klagomål/A 60557-2025 FSC-klagomål.docx", "A 60557-2025")</f>
        <v/>
      </c>
      <c r="W220">
        <f>HYPERLINK("https://klasma.github.io/Logging_1880/klagomålsmail/A 60557-2025 FSC-klagomål mail.docx", "A 60557-2025")</f>
        <v/>
      </c>
      <c r="X220">
        <f>HYPERLINK("https://klasma.github.io/Logging_1880/tillsyn/A 60557-2025 tillsynsbegäran.docx", "A 60557-2025")</f>
        <v/>
      </c>
      <c r="Y220">
        <f>HYPERLINK("https://klasma.github.io/Logging_1880/tillsynsmail/A 60557-2025 tillsynsbegäran mail.docx", "A 60557-2025")</f>
        <v/>
      </c>
    </row>
    <row r="221" ht="15" customHeight="1">
      <c r="A221" t="inlineStr">
        <is>
          <t>A 34515-2024</t>
        </is>
      </c>
      <c r="B221" s="1" t="n">
        <v>45525</v>
      </c>
      <c r="C221" s="1" t="n">
        <v>46132</v>
      </c>
      <c r="D221" t="inlineStr">
        <is>
          <t>ÖREBRO LÄN</t>
        </is>
      </c>
      <c r="E221" t="inlineStr">
        <is>
          <t>ASKERSUND</t>
        </is>
      </c>
      <c r="F221" t="inlineStr">
        <is>
          <t>Sveaskog</t>
        </is>
      </c>
      <c r="G221" t="n">
        <v>1.5</v>
      </c>
      <c r="H221" t="n">
        <v>2</v>
      </c>
      <c r="I221" t="n">
        <v>0</v>
      </c>
      <c r="J221" t="n">
        <v>0</v>
      </c>
      <c r="K221" t="n">
        <v>0</v>
      </c>
      <c r="L221" t="n">
        <v>0</v>
      </c>
      <c r="M221" t="n">
        <v>0</v>
      </c>
      <c r="N221" t="n">
        <v>0</v>
      </c>
      <c r="O221" t="n">
        <v>0</v>
      </c>
      <c r="P221" t="n">
        <v>0</v>
      </c>
      <c r="Q221" t="n">
        <v>2</v>
      </c>
      <c r="R221" s="2" t="inlineStr">
        <is>
          <t>Gröngöling
Blåsippa</t>
        </is>
      </c>
      <c r="S221">
        <f>HYPERLINK("https://klasma.github.io/Logging_1882/artfynd/A 34515-2024 artfynd.xlsx", "A 34515-2024")</f>
        <v/>
      </c>
      <c r="T221">
        <f>HYPERLINK("https://klasma.github.io/Logging_1882/kartor/A 34515-2024 karta.png", "A 34515-2024")</f>
        <v/>
      </c>
      <c r="V221">
        <f>HYPERLINK("https://klasma.github.io/Logging_1882/klagomål/A 34515-2024 FSC-klagomål.docx", "A 34515-2024")</f>
        <v/>
      </c>
      <c r="W221">
        <f>HYPERLINK("https://klasma.github.io/Logging_1882/klagomålsmail/A 34515-2024 FSC-klagomål mail.docx", "A 34515-2024")</f>
        <v/>
      </c>
      <c r="X221">
        <f>HYPERLINK("https://klasma.github.io/Logging_1882/tillsyn/A 34515-2024 tillsynsbegäran.docx", "A 34515-2024")</f>
        <v/>
      </c>
      <c r="Y221">
        <f>HYPERLINK("https://klasma.github.io/Logging_1882/tillsynsmail/A 34515-2024 tillsynsbegäran mail.docx", "A 34515-2024")</f>
        <v/>
      </c>
      <c r="Z221">
        <f>HYPERLINK("https://klasma.github.io/Logging_1882/fåglar/A 34515-2024 prioriterade fågelarter.docx", "A 34515-2024")</f>
        <v/>
      </c>
    </row>
    <row r="222" ht="15" customHeight="1">
      <c r="A222" t="inlineStr">
        <is>
          <t>A 38912-2023</t>
        </is>
      </c>
      <c r="B222" s="1" t="n">
        <v>45163</v>
      </c>
      <c r="C222" s="1" t="n">
        <v>46132</v>
      </c>
      <c r="D222" t="inlineStr">
        <is>
          <t>ÖREBRO LÄN</t>
        </is>
      </c>
      <c r="E222" t="inlineStr">
        <is>
          <t>DEGERFORS</t>
        </is>
      </c>
      <c r="F222" t="inlineStr">
        <is>
          <t>Sveaskog</t>
        </is>
      </c>
      <c r="G222" t="n">
        <v>5.4</v>
      </c>
      <c r="H222" t="n">
        <v>2</v>
      </c>
      <c r="I222" t="n">
        <v>0</v>
      </c>
      <c r="J222" t="n">
        <v>1</v>
      </c>
      <c r="K222" t="n">
        <v>0</v>
      </c>
      <c r="L222" t="n">
        <v>0</v>
      </c>
      <c r="M222" t="n">
        <v>0</v>
      </c>
      <c r="N222" t="n">
        <v>0</v>
      </c>
      <c r="O222" t="n">
        <v>1</v>
      </c>
      <c r="P222" t="n">
        <v>0</v>
      </c>
      <c r="Q222" t="n">
        <v>2</v>
      </c>
      <c r="R222" s="2" t="inlineStr">
        <is>
          <t>Tretåig hackspett
Tjäder</t>
        </is>
      </c>
      <c r="S222">
        <f>HYPERLINK("https://klasma.github.io/Logging_1862/artfynd/A 38912-2023 artfynd.xlsx", "A 38912-2023")</f>
        <v/>
      </c>
      <c r="T222">
        <f>HYPERLINK("https://klasma.github.io/Logging_1862/kartor/A 38912-2023 karta.png", "A 38912-2023")</f>
        <v/>
      </c>
      <c r="V222">
        <f>HYPERLINK("https://klasma.github.io/Logging_1862/klagomål/A 38912-2023 FSC-klagomål.docx", "A 38912-2023")</f>
        <v/>
      </c>
      <c r="W222">
        <f>HYPERLINK("https://klasma.github.io/Logging_1862/klagomålsmail/A 38912-2023 FSC-klagomål mail.docx", "A 38912-2023")</f>
        <v/>
      </c>
      <c r="X222">
        <f>HYPERLINK("https://klasma.github.io/Logging_1862/tillsyn/A 38912-2023 tillsynsbegäran.docx", "A 38912-2023")</f>
        <v/>
      </c>
      <c r="Y222">
        <f>HYPERLINK("https://klasma.github.io/Logging_1862/tillsynsmail/A 38912-2023 tillsynsbegäran mail.docx", "A 38912-2023")</f>
        <v/>
      </c>
      <c r="Z222">
        <f>HYPERLINK("https://klasma.github.io/Logging_1862/fåglar/A 38912-2023 prioriterade fågelarter.docx", "A 38912-2023")</f>
        <v/>
      </c>
    </row>
    <row r="223" ht="15" customHeight="1">
      <c r="A223" t="inlineStr">
        <is>
          <t>A 62805-2025</t>
        </is>
      </c>
      <c r="B223" s="1" t="n">
        <v>46008.64375</v>
      </c>
      <c r="C223" s="1" t="n">
        <v>46132</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1475-2025</t>
        </is>
      </c>
      <c r="B224" s="1" t="n">
        <v>45670</v>
      </c>
      <c r="C224" s="1" t="n">
        <v>46132</v>
      </c>
      <c r="D224" t="inlineStr">
        <is>
          <t>ÖREBRO LÄN</t>
        </is>
      </c>
      <c r="E224" t="inlineStr">
        <is>
          <t>LINDESBERG</t>
        </is>
      </c>
      <c r="F224" t="inlineStr">
        <is>
          <t>Sveaskog</t>
        </is>
      </c>
      <c r="G224" t="n">
        <v>0.7</v>
      </c>
      <c r="H224" t="n">
        <v>0</v>
      </c>
      <c r="I224" t="n">
        <v>0</v>
      </c>
      <c r="J224" t="n">
        <v>2</v>
      </c>
      <c r="K224" t="n">
        <v>0</v>
      </c>
      <c r="L224" t="n">
        <v>0</v>
      </c>
      <c r="M224" t="n">
        <v>0</v>
      </c>
      <c r="N224" t="n">
        <v>0</v>
      </c>
      <c r="O224" t="n">
        <v>2</v>
      </c>
      <c r="P224" t="n">
        <v>0</v>
      </c>
      <c r="Q224" t="n">
        <v>2</v>
      </c>
      <c r="R224" s="2" t="inlineStr">
        <is>
          <t>Motaggsvamp
Svartvit taggsvamp</t>
        </is>
      </c>
      <c r="S224">
        <f>HYPERLINK("https://klasma.github.io/Logging_1885/artfynd/A 1475-2025 artfynd.xlsx", "A 1475-2025")</f>
        <v/>
      </c>
      <c r="T224">
        <f>HYPERLINK("https://klasma.github.io/Logging_1885/kartor/A 1475-2025 karta.png", "A 1475-2025")</f>
        <v/>
      </c>
      <c r="V224">
        <f>HYPERLINK("https://klasma.github.io/Logging_1885/klagomål/A 1475-2025 FSC-klagomål.docx", "A 1475-2025")</f>
        <v/>
      </c>
      <c r="W224">
        <f>HYPERLINK("https://klasma.github.io/Logging_1885/klagomålsmail/A 1475-2025 FSC-klagomål mail.docx", "A 1475-2025")</f>
        <v/>
      </c>
      <c r="X224">
        <f>HYPERLINK("https://klasma.github.io/Logging_1885/tillsyn/A 1475-2025 tillsynsbegäran.docx", "A 1475-2025")</f>
        <v/>
      </c>
      <c r="Y224">
        <f>HYPERLINK("https://klasma.github.io/Logging_1885/tillsynsmail/A 1475-2025 tillsynsbegäran mail.docx", "A 1475-2025")</f>
        <v/>
      </c>
    </row>
    <row r="225" ht="15" customHeight="1">
      <c r="A225" t="inlineStr">
        <is>
          <t>A 63535-2025</t>
        </is>
      </c>
      <c r="B225" s="1" t="n">
        <v>46013.57747685185</v>
      </c>
      <c r="C225" s="1" t="n">
        <v>46132</v>
      </c>
      <c r="D225" t="inlineStr">
        <is>
          <t>ÖREBRO LÄN</t>
        </is>
      </c>
      <c r="E225" t="inlineStr">
        <is>
          <t>NORA</t>
        </is>
      </c>
      <c r="G225" t="n">
        <v>1.9</v>
      </c>
      <c r="H225" t="n">
        <v>1</v>
      </c>
      <c r="I225" t="n">
        <v>0</v>
      </c>
      <c r="J225" t="n">
        <v>0</v>
      </c>
      <c r="K225" t="n">
        <v>1</v>
      </c>
      <c r="L225" t="n">
        <v>0</v>
      </c>
      <c r="M225" t="n">
        <v>0</v>
      </c>
      <c r="N225" t="n">
        <v>0</v>
      </c>
      <c r="O225" t="n">
        <v>1</v>
      </c>
      <c r="P225" t="n">
        <v>1</v>
      </c>
      <c r="Q225" t="n">
        <v>2</v>
      </c>
      <c r="R225" s="2" t="inlineStr">
        <is>
          <t>Kryddtofsskivling
Blåsippa</t>
        </is>
      </c>
      <c r="S225">
        <f>HYPERLINK("https://klasma.github.io/Logging_1884/artfynd/A 63535-2025 artfynd.xlsx", "A 63535-2025")</f>
        <v/>
      </c>
      <c r="T225">
        <f>HYPERLINK("https://klasma.github.io/Logging_1884/kartor/A 63535-2025 karta.png", "A 63535-2025")</f>
        <v/>
      </c>
      <c r="V225">
        <f>HYPERLINK("https://klasma.github.io/Logging_1884/klagomål/A 63535-2025 FSC-klagomål.docx", "A 63535-2025")</f>
        <v/>
      </c>
      <c r="W225">
        <f>HYPERLINK("https://klasma.github.io/Logging_1884/klagomålsmail/A 63535-2025 FSC-klagomål mail.docx", "A 63535-2025")</f>
        <v/>
      </c>
      <c r="X225">
        <f>HYPERLINK("https://klasma.github.io/Logging_1884/tillsyn/A 63535-2025 tillsynsbegäran.docx", "A 63535-2025")</f>
        <v/>
      </c>
      <c r="Y225">
        <f>HYPERLINK("https://klasma.github.io/Logging_1884/tillsynsmail/A 63535-2025 tillsynsbegäran mail.docx", "A 63535-2025")</f>
        <v/>
      </c>
    </row>
    <row r="226" ht="15" customHeight="1">
      <c r="A226" t="inlineStr">
        <is>
          <t>A 63537-2025</t>
        </is>
      </c>
      <c r="B226" s="1" t="n">
        <v>46013.58233796297</v>
      </c>
      <c r="C226" s="1" t="n">
        <v>46132</v>
      </c>
      <c r="D226" t="inlineStr">
        <is>
          <t>ÖREBRO LÄN</t>
        </is>
      </c>
      <c r="E226" t="inlineStr">
        <is>
          <t>NORA</t>
        </is>
      </c>
      <c r="G226" t="n">
        <v>1</v>
      </c>
      <c r="H226" t="n">
        <v>0</v>
      </c>
      <c r="I226" t="n">
        <v>1</v>
      </c>
      <c r="J226" t="n">
        <v>0</v>
      </c>
      <c r="K226" t="n">
        <v>0</v>
      </c>
      <c r="L226" t="n">
        <v>1</v>
      </c>
      <c r="M226" t="n">
        <v>0</v>
      </c>
      <c r="N226" t="n">
        <v>0</v>
      </c>
      <c r="O226" t="n">
        <v>1</v>
      </c>
      <c r="P226" t="n">
        <v>1</v>
      </c>
      <c r="Q226" t="n">
        <v>2</v>
      </c>
      <c r="R226" s="2" t="inlineStr">
        <is>
          <t>Ask
Skogshakmossa</t>
        </is>
      </c>
      <c r="S226">
        <f>HYPERLINK("https://klasma.github.io/Logging_1884/artfynd/A 63537-2025 artfynd.xlsx", "A 63537-2025")</f>
        <v/>
      </c>
      <c r="T226">
        <f>HYPERLINK("https://klasma.github.io/Logging_1884/kartor/A 63537-2025 karta.png", "A 63537-2025")</f>
        <v/>
      </c>
      <c r="V226">
        <f>HYPERLINK("https://klasma.github.io/Logging_1884/klagomål/A 63537-2025 FSC-klagomål.docx", "A 63537-2025")</f>
        <v/>
      </c>
      <c r="W226">
        <f>HYPERLINK("https://klasma.github.io/Logging_1884/klagomålsmail/A 63537-2025 FSC-klagomål mail.docx", "A 63537-2025")</f>
        <v/>
      </c>
      <c r="X226">
        <f>HYPERLINK("https://klasma.github.io/Logging_1884/tillsyn/A 63537-2025 tillsynsbegäran.docx", "A 63537-2025")</f>
        <v/>
      </c>
      <c r="Y226">
        <f>HYPERLINK("https://klasma.github.io/Logging_1884/tillsynsmail/A 63537-2025 tillsynsbegäran mail.docx", "A 63537-2025")</f>
        <v/>
      </c>
    </row>
    <row r="227" ht="15" customHeight="1">
      <c r="A227" t="inlineStr">
        <is>
          <t>A 63196-2025</t>
        </is>
      </c>
      <c r="B227" s="1" t="n">
        <v>46010.45872685185</v>
      </c>
      <c r="C227" s="1" t="n">
        <v>46132</v>
      </c>
      <c r="D227" t="inlineStr">
        <is>
          <t>ÖREBRO LÄN</t>
        </is>
      </c>
      <c r="E227" t="inlineStr">
        <is>
          <t>ÖREBRO</t>
        </is>
      </c>
      <c r="F227" t="inlineStr">
        <is>
          <t>Sveaskog</t>
        </is>
      </c>
      <c r="G227" t="n">
        <v>1.4</v>
      </c>
      <c r="H227" t="n">
        <v>1</v>
      </c>
      <c r="I227" t="n">
        <v>1</v>
      </c>
      <c r="J227" t="n">
        <v>0</v>
      </c>
      <c r="K227" t="n">
        <v>0</v>
      </c>
      <c r="L227" t="n">
        <v>0</v>
      </c>
      <c r="M227" t="n">
        <v>0</v>
      </c>
      <c r="N227" t="n">
        <v>0</v>
      </c>
      <c r="O227" t="n">
        <v>0</v>
      </c>
      <c r="P227" t="n">
        <v>0</v>
      </c>
      <c r="Q227" t="n">
        <v>2</v>
      </c>
      <c r="R227" s="2" t="inlineStr">
        <is>
          <t>Tibast
Blåsippa</t>
        </is>
      </c>
      <c r="S227">
        <f>HYPERLINK("https://klasma.github.io/Logging_1880/artfynd/A 63196-2025 artfynd.xlsx", "A 63196-2025")</f>
        <v/>
      </c>
      <c r="T227">
        <f>HYPERLINK("https://klasma.github.io/Logging_1880/kartor/A 63196-2025 karta.png", "A 63196-2025")</f>
        <v/>
      </c>
      <c r="V227">
        <f>HYPERLINK("https://klasma.github.io/Logging_1880/klagomål/A 63196-2025 FSC-klagomål.docx", "A 63196-2025")</f>
        <v/>
      </c>
      <c r="W227">
        <f>HYPERLINK("https://klasma.github.io/Logging_1880/klagomålsmail/A 63196-2025 FSC-klagomål mail.docx", "A 63196-2025")</f>
        <v/>
      </c>
      <c r="X227">
        <f>HYPERLINK("https://klasma.github.io/Logging_1880/tillsyn/A 63196-2025 tillsynsbegäran.docx", "A 63196-2025")</f>
        <v/>
      </c>
      <c r="Y227">
        <f>HYPERLINK("https://klasma.github.io/Logging_1880/tillsynsmail/A 63196-2025 tillsynsbegäran mail.docx", "A 63196-2025")</f>
        <v/>
      </c>
    </row>
    <row r="228" ht="15" customHeight="1">
      <c r="A228" t="inlineStr">
        <is>
          <t>A 13395-2024</t>
        </is>
      </c>
      <c r="B228" s="1" t="n">
        <v>45387.42296296296</v>
      </c>
      <c r="C228" s="1" t="n">
        <v>46132</v>
      </c>
      <c r="D228" t="inlineStr">
        <is>
          <t>ÖREBRO LÄN</t>
        </is>
      </c>
      <c r="E228" t="inlineStr">
        <is>
          <t>ÖREBRO</t>
        </is>
      </c>
      <c r="G228" t="n">
        <v>1.9</v>
      </c>
      <c r="H228" t="n">
        <v>2</v>
      </c>
      <c r="I228" t="n">
        <v>0</v>
      </c>
      <c r="J228" t="n">
        <v>0</v>
      </c>
      <c r="K228" t="n">
        <v>0</v>
      </c>
      <c r="L228" t="n">
        <v>0</v>
      </c>
      <c r="M228" t="n">
        <v>0</v>
      </c>
      <c r="N228" t="n">
        <v>0</v>
      </c>
      <c r="O228" t="n">
        <v>0</v>
      </c>
      <c r="P228" t="n">
        <v>0</v>
      </c>
      <c r="Q228" t="n">
        <v>2</v>
      </c>
      <c r="R228" s="2" t="inlineStr">
        <is>
          <t>Järnsparv
Kungsfågel</t>
        </is>
      </c>
      <c r="S228">
        <f>HYPERLINK("https://klasma.github.io/Logging_1880/artfynd/A 13395-2024 artfynd.xlsx", "A 13395-2024")</f>
        <v/>
      </c>
      <c r="T228">
        <f>HYPERLINK("https://klasma.github.io/Logging_1880/kartor/A 13395-2024 karta.png", "A 13395-2024")</f>
        <v/>
      </c>
      <c r="V228">
        <f>HYPERLINK("https://klasma.github.io/Logging_1880/klagomål/A 13395-2024 FSC-klagomål.docx", "A 13395-2024")</f>
        <v/>
      </c>
      <c r="W228">
        <f>HYPERLINK("https://klasma.github.io/Logging_1880/klagomålsmail/A 13395-2024 FSC-klagomål mail.docx", "A 13395-2024")</f>
        <v/>
      </c>
      <c r="X228">
        <f>HYPERLINK("https://klasma.github.io/Logging_1880/tillsyn/A 13395-2024 tillsynsbegäran.docx", "A 13395-2024")</f>
        <v/>
      </c>
      <c r="Y228">
        <f>HYPERLINK("https://klasma.github.io/Logging_1880/tillsynsmail/A 13395-2024 tillsynsbegäran mail.docx", "A 13395-2024")</f>
        <v/>
      </c>
      <c r="Z228">
        <f>HYPERLINK("https://klasma.github.io/Logging_1880/fåglar/A 13395-2024 prioriterade fågelarter.docx", "A 13395-2024")</f>
        <v/>
      </c>
    </row>
    <row r="229" ht="15" customHeight="1">
      <c r="A229" t="inlineStr">
        <is>
          <t>A 2998-2026</t>
        </is>
      </c>
      <c r="B229" s="1" t="n">
        <v>46038.64835648148</v>
      </c>
      <c r="C229" s="1" t="n">
        <v>46132</v>
      </c>
      <c r="D229" t="inlineStr">
        <is>
          <t>ÖREBRO LÄN</t>
        </is>
      </c>
      <c r="E229" t="inlineStr">
        <is>
          <t>ÖREBRO</t>
        </is>
      </c>
      <c r="F229" t="inlineStr">
        <is>
          <t>Övriga Aktiebolag</t>
        </is>
      </c>
      <c r="G229" t="n">
        <v>6.4</v>
      </c>
      <c r="H229" t="n">
        <v>2</v>
      </c>
      <c r="I229" t="n">
        <v>0</v>
      </c>
      <c r="J229" t="n">
        <v>1</v>
      </c>
      <c r="K229" t="n">
        <v>0</v>
      </c>
      <c r="L229" t="n">
        <v>0</v>
      </c>
      <c r="M229" t="n">
        <v>0</v>
      </c>
      <c r="N229" t="n">
        <v>0</v>
      </c>
      <c r="O229" t="n">
        <v>1</v>
      </c>
      <c r="P229" t="n">
        <v>0</v>
      </c>
      <c r="Q229" t="n">
        <v>2</v>
      </c>
      <c r="R229" s="2" t="inlineStr">
        <is>
          <t>Grönsångare
Kungsfågel</t>
        </is>
      </c>
      <c r="S229">
        <f>HYPERLINK("https://klasma.github.io/Logging_1880/artfynd/A 2998-2026 artfynd.xlsx", "A 2998-2026")</f>
        <v/>
      </c>
      <c r="T229">
        <f>HYPERLINK("https://klasma.github.io/Logging_1880/kartor/A 2998-2026 karta.png", "A 2998-2026")</f>
        <v/>
      </c>
      <c r="V229">
        <f>HYPERLINK("https://klasma.github.io/Logging_1880/klagomål/A 2998-2026 FSC-klagomål.docx", "A 2998-2026")</f>
        <v/>
      </c>
      <c r="W229">
        <f>HYPERLINK("https://klasma.github.io/Logging_1880/klagomålsmail/A 2998-2026 FSC-klagomål mail.docx", "A 2998-2026")</f>
        <v/>
      </c>
      <c r="X229">
        <f>HYPERLINK("https://klasma.github.io/Logging_1880/tillsyn/A 2998-2026 tillsynsbegäran.docx", "A 2998-2026")</f>
        <v/>
      </c>
      <c r="Y229">
        <f>HYPERLINK("https://klasma.github.io/Logging_1880/tillsynsmail/A 2998-2026 tillsynsbegäran mail.docx", "A 2998-2026")</f>
        <v/>
      </c>
      <c r="Z229">
        <f>HYPERLINK("https://klasma.github.io/Logging_1880/fåglar/A 2998-2026 prioriterade fågelarter.docx", "A 2998-2026")</f>
        <v/>
      </c>
    </row>
    <row r="230" ht="15" customHeight="1">
      <c r="A230" t="inlineStr">
        <is>
          <t>A 25397-2024</t>
        </is>
      </c>
      <c r="B230" s="1" t="n">
        <v>45463.32967592592</v>
      </c>
      <c r="C230" s="1" t="n">
        <v>46132</v>
      </c>
      <c r="D230" t="inlineStr">
        <is>
          <t>ÖREBRO LÄN</t>
        </is>
      </c>
      <c r="E230" t="inlineStr">
        <is>
          <t>LAXÅ</t>
        </is>
      </c>
      <c r="F230" t="inlineStr">
        <is>
          <t>Övriga statliga verk och myndigheter</t>
        </is>
      </c>
      <c r="G230" t="n">
        <v>1.1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HYPERLINK("https://klasma.github.io/Logging_1860/artfynd/A 25397-2024 artfynd.xlsx", "A 25397-2024")</f>
        <v/>
      </c>
      <c r="T230">
        <f>HYPERLINK("https://klasma.github.io/Logging_1860/kartor/A 25397-2024 karta.png", "A 25397-2024")</f>
        <v/>
      </c>
      <c r="V230">
        <f>HYPERLINK("https://klasma.github.io/Logging_1860/klagomål/A 25397-2024 FSC-klagomål.docx", "A 25397-2024")</f>
        <v/>
      </c>
      <c r="W230">
        <f>HYPERLINK("https://klasma.github.io/Logging_1860/klagomålsmail/A 25397-2024 FSC-klagomål mail.docx", "A 25397-2024")</f>
        <v/>
      </c>
      <c r="X230">
        <f>HYPERLINK("https://klasma.github.io/Logging_1860/tillsyn/A 25397-2024 tillsynsbegäran.docx", "A 25397-2024")</f>
        <v/>
      </c>
      <c r="Y230">
        <f>HYPERLINK("https://klasma.github.io/Logging_1860/tillsynsmail/A 25397-2024 tillsynsbegäran mail.docx", "A 25397-2024")</f>
        <v/>
      </c>
      <c r="Z230">
        <f>HYPERLINK("https://klasma.github.io/Logging_1860/fåglar/A 25397-2024 prioriterade fågelarter.docx", "A 25397-2024")</f>
        <v/>
      </c>
    </row>
    <row r="231" ht="15" customHeight="1">
      <c r="A231" t="inlineStr">
        <is>
          <t>A 14340-2026</t>
        </is>
      </c>
      <c r="B231" s="1" t="n">
        <v>46100.32818287037</v>
      </c>
      <c r="C231" s="1" t="n">
        <v>46132</v>
      </c>
      <c r="D231" t="inlineStr">
        <is>
          <t>ÖREBRO LÄN</t>
        </is>
      </c>
      <c r="E231" t="inlineStr">
        <is>
          <t>HÄLLEFORS</t>
        </is>
      </c>
      <c r="F231" t="inlineStr">
        <is>
          <t>Sveaskog</t>
        </is>
      </c>
      <c r="G231" t="n">
        <v>1.7</v>
      </c>
      <c r="H231" t="n">
        <v>1</v>
      </c>
      <c r="I231" t="n">
        <v>0</v>
      </c>
      <c r="J231" t="n">
        <v>2</v>
      </c>
      <c r="K231" t="n">
        <v>0</v>
      </c>
      <c r="L231" t="n">
        <v>0</v>
      </c>
      <c r="M231" t="n">
        <v>0</v>
      </c>
      <c r="N231" t="n">
        <v>0</v>
      </c>
      <c r="O231" t="n">
        <v>2</v>
      </c>
      <c r="P231" t="n">
        <v>0</v>
      </c>
      <c r="Q231" t="n">
        <v>2</v>
      </c>
      <c r="R231" s="2" t="inlineStr">
        <is>
          <t>Tretåig hackspett
Vedskivlav</t>
        </is>
      </c>
      <c r="S231">
        <f>HYPERLINK("https://klasma.github.io/Logging_1863/artfynd/A 14340-2026 artfynd.xlsx", "A 14340-2026")</f>
        <v/>
      </c>
      <c r="T231">
        <f>HYPERLINK("https://klasma.github.io/Logging_1863/kartor/A 14340-2026 karta.png", "A 14340-2026")</f>
        <v/>
      </c>
      <c r="V231">
        <f>HYPERLINK("https://klasma.github.io/Logging_1863/klagomål/A 14340-2026 FSC-klagomål.docx", "A 14340-2026")</f>
        <v/>
      </c>
      <c r="W231">
        <f>HYPERLINK("https://klasma.github.io/Logging_1863/klagomålsmail/A 14340-2026 FSC-klagomål mail.docx", "A 14340-2026")</f>
        <v/>
      </c>
      <c r="X231">
        <f>HYPERLINK("https://klasma.github.io/Logging_1863/tillsyn/A 14340-2026 tillsynsbegäran.docx", "A 14340-2026")</f>
        <v/>
      </c>
      <c r="Y231">
        <f>HYPERLINK("https://klasma.github.io/Logging_1863/tillsynsmail/A 14340-2026 tillsynsbegäran mail.docx", "A 14340-2026")</f>
        <v/>
      </c>
      <c r="Z231">
        <f>HYPERLINK("https://klasma.github.io/Logging_1863/fåglar/A 14340-2026 prioriterade fågelarter.docx", "A 14340-2026")</f>
        <v/>
      </c>
    </row>
    <row r="232" ht="15" customHeight="1">
      <c r="A232" t="inlineStr">
        <is>
          <t>A 47280-2024</t>
        </is>
      </c>
      <c r="B232" s="1" t="n">
        <v>45586.93074074074</v>
      </c>
      <c r="C232" s="1" t="n">
        <v>46132</v>
      </c>
      <c r="D232" t="inlineStr">
        <is>
          <t>ÖREBRO LÄN</t>
        </is>
      </c>
      <c r="E232" t="inlineStr">
        <is>
          <t>HALLSBERG</t>
        </is>
      </c>
      <c r="G232" t="n">
        <v>3.9</v>
      </c>
      <c r="H232" t="n">
        <v>0</v>
      </c>
      <c r="I232" t="n">
        <v>1</v>
      </c>
      <c r="J232" t="n">
        <v>1</v>
      </c>
      <c r="K232" t="n">
        <v>0</v>
      </c>
      <c r="L232" t="n">
        <v>0</v>
      </c>
      <c r="M232" t="n">
        <v>0</v>
      </c>
      <c r="N232" t="n">
        <v>0</v>
      </c>
      <c r="O232" t="n">
        <v>1</v>
      </c>
      <c r="P232" t="n">
        <v>0</v>
      </c>
      <c r="Q232" t="n">
        <v>2</v>
      </c>
      <c r="R232" s="2" t="inlineStr">
        <is>
          <t>Svartvit taggsvamp
Dropptaggsvamp</t>
        </is>
      </c>
      <c r="S232">
        <f>HYPERLINK("https://klasma.github.io/Logging_1861/artfynd/A 47280-2024 artfynd.xlsx", "A 47280-2024")</f>
        <v/>
      </c>
      <c r="T232">
        <f>HYPERLINK("https://klasma.github.io/Logging_1861/kartor/A 47280-2024 karta.png", "A 47280-2024")</f>
        <v/>
      </c>
      <c r="V232">
        <f>HYPERLINK("https://klasma.github.io/Logging_1861/klagomål/A 47280-2024 FSC-klagomål.docx", "A 47280-2024")</f>
        <v/>
      </c>
      <c r="W232">
        <f>HYPERLINK("https://klasma.github.io/Logging_1861/klagomålsmail/A 47280-2024 FSC-klagomål mail.docx", "A 47280-2024")</f>
        <v/>
      </c>
      <c r="X232">
        <f>HYPERLINK("https://klasma.github.io/Logging_1861/tillsyn/A 47280-2024 tillsynsbegäran.docx", "A 47280-2024")</f>
        <v/>
      </c>
      <c r="Y232">
        <f>HYPERLINK("https://klasma.github.io/Logging_1861/tillsynsmail/A 47280-2024 tillsynsbegäran mail.docx", "A 47280-2024")</f>
        <v/>
      </c>
    </row>
    <row r="233" ht="15" customHeight="1">
      <c r="A233" t="inlineStr">
        <is>
          <t>A 8063-2024</t>
        </is>
      </c>
      <c r="B233" s="1" t="n">
        <v>45351</v>
      </c>
      <c r="C233" s="1" t="n">
        <v>46132</v>
      </c>
      <c r="D233" t="inlineStr">
        <is>
          <t>ÖREBRO LÄN</t>
        </is>
      </c>
      <c r="E233" t="inlineStr">
        <is>
          <t>DEGERFORS</t>
        </is>
      </c>
      <c r="F233" t="inlineStr">
        <is>
          <t>Sveaskog</t>
        </is>
      </c>
      <c r="G233" t="n">
        <v>1.5</v>
      </c>
      <c r="H233" t="n">
        <v>0</v>
      </c>
      <c r="I233" t="n">
        <v>0</v>
      </c>
      <c r="J233" t="n">
        <v>2</v>
      </c>
      <c r="K233" t="n">
        <v>0</v>
      </c>
      <c r="L233" t="n">
        <v>0</v>
      </c>
      <c r="M233" t="n">
        <v>0</v>
      </c>
      <c r="N233" t="n">
        <v>0</v>
      </c>
      <c r="O233" t="n">
        <v>2</v>
      </c>
      <c r="P233" t="n">
        <v>0</v>
      </c>
      <c r="Q233" t="n">
        <v>2</v>
      </c>
      <c r="R233" s="2" t="inlineStr">
        <is>
          <t>Skogsklocka
Svinrot</t>
        </is>
      </c>
      <c r="S233">
        <f>HYPERLINK("https://klasma.github.io/Logging_1862/artfynd/A 8063-2024 artfynd.xlsx", "A 8063-2024")</f>
        <v/>
      </c>
      <c r="T233">
        <f>HYPERLINK("https://klasma.github.io/Logging_1862/kartor/A 8063-2024 karta.png", "A 8063-2024")</f>
        <v/>
      </c>
      <c r="V233">
        <f>HYPERLINK("https://klasma.github.io/Logging_1862/klagomål/A 8063-2024 FSC-klagomål.docx", "A 8063-2024")</f>
        <v/>
      </c>
      <c r="W233">
        <f>HYPERLINK("https://klasma.github.io/Logging_1862/klagomålsmail/A 8063-2024 FSC-klagomål mail.docx", "A 8063-2024")</f>
        <v/>
      </c>
      <c r="X233">
        <f>HYPERLINK("https://klasma.github.io/Logging_1862/tillsyn/A 8063-2024 tillsynsbegäran.docx", "A 8063-2024")</f>
        <v/>
      </c>
      <c r="Y233">
        <f>HYPERLINK("https://klasma.github.io/Logging_1862/tillsynsmail/A 8063-2024 tillsynsbegäran mail.docx", "A 8063-2024")</f>
        <v/>
      </c>
    </row>
    <row r="234" ht="15" customHeight="1">
      <c r="A234" t="inlineStr">
        <is>
          <t>A 53686-2024</t>
        </is>
      </c>
      <c r="B234" s="1" t="n">
        <v>45615</v>
      </c>
      <c r="C234" s="1" t="n">
        <v>46132</v>
      </c>
      <c r="D234" t="inlineStr">
        <is>
          <t>ÖREBRO LÄN</t>
        </is>
      </c>
      <c r="E234" t="inlineStr">
        <is>
          <t>LINDESBERG</t>
        </is>
      </c>
      <c r="G234" t="n">
        <v>9.1</v>
      </c>
      <c r="H234" t="n">
        <v>0</v>
      </c>
      <c r="I234" t="n">
        <v>1</v>
      </c>
      <c r="J234" t="n">
        <v>1</v>
      </c>
      <c r="K234" t="n">
        <v>0</v>
      </c>
      <c r="L234" t="n">
        <v>0</v>
      </c>
      <c r="M234" t="n">
        <v>0</v>
      </c>
      <c r="N234" t="n">
        <v>0</v>
      </c>
      <c r="O234" t="n">
        <v>1</v>
      </c>
      <c r="P234" t="n">
        <v>0</v>
      </c>
      <c r="Q234" t="n">
        <v>2</v>
      </c>
      <c r="R234" s="2" t="inlineStr">
        <is>
          <t>Dofttaggsvamp
Vedticka</t>
        </is>
      </c>
      <c r="S234">
        <f>HYPERLINK("https://klasma.github.io/Logging_1885/artfynd/A 53686-2024 artfynd.xlsx", "A 53686-2024")</f>
        <v/>
      </c>
      <c r="T234">
        <f>HYPERLINK("https://klasma.github.io/Logging_1885/kartor/A 53686-2024 karta.png", "A 53686-2024")</f>
        <v/>
      </c>
      <c r="V234">
        <f>HYPERLINK("https://klasma.github.io/Logging_1885/klagomål/A 53686-2024 FSC-klagomål.docx", "A 53686-2024")</f>
        <v/>
      </c>
      <c r="W234">
        <f>HYPERLINK("https://klasma.github.io/Logging_1885/klagomålsmail/A 53686-2024 FSC-klagomål mail.docx", "A 53686-2024")</f>
        <v/>
      </c>
      <c r="X234">
        <f>HYPERLINK("https://klasma.github.io/Logging_1885/tillsyn/A 53686-2024 tillsynsbegäran.docx", "A 53686-2024")</f>
        <v/>
      </c>
      <c r="Y234">
        <f>HYPERLINK("https://klasma.github.io/Logging_1885/tillsynsmail/A 53686-2024 tillsynsbegäran mail.docx", "A 53686-2024")</f>
        <v/>
      </c>
    </row>
    <row r="235" ht="15" customHeight="1">
      <c r="A235" t="inlineStr">
        <is>
          <t>A 15523-2026</t>
        </is>
      </c>
      <c r="B235" s="1" t="n">
        <v>46106.48104166667</v>
      </c>
      <c r="C235" s="1" t="n">
        <v>46132</v>
      </c>
      <c r="D235" t="inlineStr">
        <is>
          <t>ÖREBRO LÄN</t>
        </is>
      </c>
      <c r="E235" t="inlineStr">
        <is>
          <t>LEKEBERG</t>
        </is>
      </c>
      <c r="F235" t="inlineStr">
        <is>
          <t>Sveaskog</t>
        </is>
      </c>
      <c r="G235" t="n">
        <v>3.7</v>
      </c>
      <c r="H235" t="n">
        <v>0</v>
      </c>
      <c r="I235" t="n">
        <v>2</v>
      </c>
      <c r="J235" t="n">
        <v>0</v>
      </c>
      <c r="K235" t="n">
        <v>0</v>
      </c>
      <c r="L235" t="n">
        <v>0</v>
      </c>
      <c r="M235" t="n">
        <v>0</v>
      </c>
      <c r="N235" t="n">
        <v>0</v>
      </c>
      <c r="O235" t="n">
        <v>0</v>
      </c>
      <c r="P235" t="n">
        <v>0</v>
      </c>
      <c r="Q235" t="n">
        <v>2</v>
      </c>
      <c r="R235" s="2" t="inlineStr">
        <is>
          <t>Thymalus limbatus
Vanlig flatbagge</t>
        </is>
      </c>
      <c r="S235">
        <f>HYPERLINK("https://klasma.github.io/Logging_1814/artfynd/A 15523-2026 artfynd.xlsx", "A 15523-2026")</f>
        <v/>
      </c>
      <c r="T235">
        <f>HYPERLINK("https://klasma.github.io/Logging_1814/kartor/A 15523-2026 karta.png", "A 15523-2026")</f>
        <v/>
      </c>
      <c r="V235">
        <f>HYPERLINK("https://klasma.github.io/Logging_1814/klagomål/A 15523-2026 FSC-klagomål.docx", "A 15523-2026")</f>
        <v/>
      </c>
      <c r="W235">
        <f>HYPERLINK("https://klasma.github.io/Logging_1814/klagomålsmail/A 15523-2026 FSC-klagomål mail.docx", "A 15523-2026")</f>
        <v/>
      </c>
      <c r="X235">
        <f>HYPERLINK("https://klasma.github.io/Logging_1814/tillsyn/A 15523-2026 tillsynsbegäran.docx", "A 15523-2026")</f>
        <v/>
      </c>
      <c r="Y235">
        <f>HYPERLINK("https://klasma.github.io/Logging_1814/tillsynsmail/A 15523-2026 tillsynsbegäran mail.docx", "A 15523-2026")</f>
        <v/>
      </c>
    </row>
    <row r="236" ht="15" customHeight="1">
      <c r="A236" t="inlineStr">
        <is>
          <t>A 8189-2026</t>
        </is>
      </c>
      <c r="B236" s="1" t="n">
        <v>46064.42460648148</v>
      </c>
      <c r="C236" s="1" t="n">
        <v>46132</v>
      </c>
      <c r="D236" t="inlineStr">
        <is>
          <t>ÖREBRO LÄN</t>
        </is>
      </c>
      <c r="E236" t="inlineStr">
        <is>
          <t>LINDESBERG</t>
        </is>
      </c>
      <c r="G236" t="n">
        <v>1.4</v>
      </c>
      <c r="H236" t="n">
        <v>2</v>
      </c>
      <c r="I236" t="n">
        <v>0</v>
      </c>
      <c r="J236" t="n">
        <v>1</v>
      </c>
      <c r="K236" t="n">
        <v>0</v>
      </c>
      <c r="L236" t="n">
        <v>0</v>
      </c>
      <c r="M236" t="n">
        <v>0</v>
      </c>
      <c r="N236" t="n">
        <v>0</v>
      </c>
      <c r="O236" t="n">
        <v>1</v>
      </c>
      <c r="P236" t="n">
        <v>0</v>
      </c>
      <c r="Q236" t="n">
        <v>2</v>
      </c>
      <c r="R236" s="2" t="inlineStr">
        <is>
          <t>Spillkråka
Kungsfågel</t>
        </is>
      </c>
      <c r="S236">
        <f>HYPERLINK("https://klasma.github.io/Logging_1885/artfynd/A 8189-2026 artfynd.xlsx", "A 8189-2026")</f>
        <v/>
      </c>
      <c r="T236">
        <f>HYPERLINK("https://klasma.github.io/Logging_1885/kartor/A 8189-2026 karta.png", "A 8189-2026")</f>
        <v/>
      </c>
      <c r="V236">
        <f>HYPERLINK("https://klasma.github.io/Logging_1885/klagomål/A 8189-2026 FSC-klagomål.docx", "A 8189-2026")</f>
        <v/>
      </c>
      <c r="W236">
        <f>HYPERLINK("https://klasma.github.io/Logging_1885/klagomålsmail/A 8189-2026 FSC-klagomål mail.docx", "A 8189-2026")</f>
        <v/>
      </c>
      <c r="X236">
        <f>HYPERLINK("https://klasma.github.io/Logging_1885/tillsyn/A 8189-2026 tillsynsbegäran.docx", "A 8189-2026")</f>
        <v/>
      </c>
      <c r="Y236">
        <f>HYPERLINK("https://klasma.github.io/Logging_1885/tillsynsmail/A 8189-2026 tillsynsbegäran mail.docx", "A 8189-2026")</f>
        <v/>
      </c>
      <c r="Z236">
        <f>HYPERLINK("https://klasma.github.io/Logging_1885/fåglar/A 8189-2026 prioriterade fågelarter.docx", "A 8189-2026")</f>
        <v/>
      </c>
    </row>
    <row r="237" ht="15" customHeight="1">
      <c r="A237" t="inlineStr">
        <is>
          <t>A 15804-2026</t>
        </is>
      </c>
      <c r="B237" s="1" t="n">
        <v>46107.48652777778</v>
      </c>
      <c r="C237" s="1" t="n">
        <v>46132</v>
      </c>
      <c r="D237" t="inlineStr">
        <is>
          <t>ÖREBRO LÄN</t>
        </is>
      </c>
      <c r="E237" t="inlineStr">
        <is>
          <t>DEGERFORS</t>
        </is>
      </c>
      <c r="F237" t="inlineStr">
        <is>
          <t>Sveaskog</t>
        </is>
      </c>
      <c r="G237" t="n">
        <v>2.3</v>
      </c>
      <c r="H237" t="n">
        <v>2</v>
      </c>
      <c r="I237" t="n">
        <v>0</v>
      </c>
      <c r="J237" t="n">
        <v>1</v>
      </c>
      <c r="K237" t="n">
        <v>0</v>
      </c>
      <c r="L237" t="n">
        <v>0</v>
      </c>
      <c r="M237" t="n">
        <v>0</v>
      </c>
      <c r="N237" t="n">
        <v>0</v>
      </c>
      <c r="O237" t="n">
        <v>1</v>
      </c>
      <c r="P237" t="n">
        <v>0</v>
      </c>
      <c r="Q237" t="n">
        <v>2</v>
      </c>
      <c r="R237" s="2" t="inlineStr">
        <is>
          <t>Spillkråka
Nattviol</t>
        </is>
      </c>
      <c r="S237">
        <f>HYPERLINK("https://klasma.github.io/Logging_1862/artfynd/A 15804-2026 artfynd.xlsx", "A 15804-2026")</f>
        <v/>
      </c>
      <c r="T237">
        <f>HYPERLINK("https://klasma.github.io/Logging_1862/kartor/A 15804-2026 karta.png", "A 15804-2026")</f>
        <v/>
      </c>
      <c r="V237">
        <f>HYPERLINK("https://klasma.github.io/Logging_1862/klagomål/A 15804-2026 FSC-klagomål.docx", "A 15804-2026")</f>
        <v/>
      </c>
      <c r="W237">
        <f>HYPERLINK("https://klasma.github.io/Logging_1862/klagomålsmail/A 15804-2026 FSC-klagomål mail.docx", "A 15804-2026")</f>
        <v/>
      </c>
      <c r="X237">
        <f>HYPERLINK("https://klasma.github.io/Logging_1862/tillsyn/A 15804-2026 tillsynsbegäran.docx", "A 15804-2026")</f>
        <v/>
      </c>
      <c r="Y237">
        <f>HYPERLINK("https://klasma.github.io/Logging_1862/tillsynsmail/A 15804-2026 tillsynsbegäran mail.docx", "A 15804-2026")</f>
        <v/>
      </c>
      <c r="Z237">
        <f>HYPERLINK("https://klasma.github.io/Logging_1862/fåglar/A 15804-2026 prioriterade fågelarter.docx", "A 15804-2026")</f>
        <v/>
      </c>
    </row>
    <row r="238" ht="15" customHeight="1">
      <c r="A238" t="inlineStr">
        <is>
          <t>A 5360-2022</t>
        </is>
      </c>
      <c r="B238" s="1" t="n">
        <v>44594</v>
      </c>
      <c r="C238" s="1" t="n">
        <v>46132</v>
      </c>
      <c r="D238" t="inlineStr">
        <is>
          <t>ÖREBRO LÄN</t>
        </is>
      </c>
      <c r="E238" t="inlineStr">
        <is>
          <t>HÄLLEFORS</t>
        </is>
      </c>
      <c r="G238" t="n">
        <v>3.7</v>
      </c>
      <c r="H238" t="n">
        <v>0</v>
      </c>
      <c r="I238" t="n">
        <v>2</v>
      </c>
      <c r="J238" t="n">
        <v>0</v>
      </c>
      <c r="K238" t="n">
        <v>0</v>
      </c>
      <c r="L238" t="n">
        <v>0</v>
      </c>
      <c r="M238" t="n">
        <v>0</v>
      </c>
      <c r="N238" t="n">
        <v>0</v>
      </c>
      <c r="O238" t="n">
        <v>0</v>
      </c>
      <c r="P238" t="n">
        <v>0</v>
      </c>
      <c r="Q238" t="n">
        <v>2</v>
      </c>
      <c r="R238" s="2" t="inlineStr">
        <is>
          <t>Mörk husmossa
Smal svampklubba</t>
        </is>
      </c>
      <c r="S238">
        <f>HYPERLINK("https://klasma.github.io/Logging_1863/artfynd/A 5360-2022 artfynd.xlsx", "A 5360-2022")</f>
        <v/>
      </c>
      <c r="T238">
        <f>HYPERLINK("https://klasma.github.io/Logging_1863/kartor/A 5360-2022 karta.png", "A 5360-2022")</f>
        <v/>
      </c>
      <c r="V238">
        <f>HYPERLINK("https://klasma.github.io/Logging_1863/klagomål/A 5360-2022 FSC-klagomål.docx", "A 5360-2022")</f>
        <v/>
      </c>
      <c r="W238">
        <f>HYPERLINK("https://klasma.github.io/Logging_1863/klagomålsmail/A 5360-2022 FSC-klagomål mail.docx", "A 5360-2022")</f>
        <v/>
      </c>
      <c r="X238">
        <f>HYPERLINK("https://klasma.github.io/Logging_1863/tillsyn/A 5360-2022 tillsynsbegäran.docx", "A 5360-2022")</f>
        <v/>
      </c>
      <c r="Y238">
        <f>HYPERLINK("https://klasma.github.io/Logging_1863/tillsynsmail/A 5360-2022 tillsynsbegäran mail.docx", "A 5360-2022")</f>
        <v/>
      </c>
    </row>
    <row r="239" ht="15" customHeight="1">
      <c r="A239" t="inlineStr">
        <is>
          <t>A 15806-2026</t>
        </is>
      </c>
      <c r="B239" s="1" t="n">
        <v>46107.48833333333</v>
      </c>
      <c r="C239" s="1" t="n">
        <v>46132</v>
      </c>
      <c r="D239" t="inlineStr">
        <is>
          <t>ÖREBRO LÄN</t>
        </is>
      </c>
      <c r="E239" t="inlineStr">
        <is>
          <t>DEGERFORS</t>
        </is>
      </c>
      <c r="F239" t="inlineStr">
        <is>
          <t>Sveaskog</t>
        </is>
      </c>
      <c r="G239" t="n">
        <v>2.4</v>
      </c>
      <c r="H239" t="n">
        <v>2</v>
      </c>
      <c r="I239" t="n">
        <v>0</v>
      </c>
      <c r="J239" t="n">
        <v>0</v>
      </c>
      <c r="K239" t="n">
        <v>0</v>
      </c>
      <c r="L239" t="n">
        <v>0</v>
      </c>
      <c r="M239" t="n">
        <v>0</v>
      </c>
      <c r="N239" t="n">
        <v>0</v>
      </c>
      <c r="O239" t="n">
        <v>0</v>
      </c>
      <c r="P239" t="n">
        <v>0</v>
      </c>
      <c r="Q239" t="n">
        <v>2</v>
      </c>
      <c r="R239" s="2" t="inlineStr">
        <is>
          <t>Blåsippa
Revlummer</t>
        </is>
      </c>
      <c r="S239">
        <f>HYPERLINK("https://klasma.github.io/Logging_1862/artfynd/A 15806-2026 artfynd.xlsx", "A 15806-2026")</f>
        <v/>
      </c>
      <c r="T239">
        <f>HYPERLINK("https://klasma.github.io/Logging_1862/kartor/A 15806-2026 karta.png", "A 15806-2026")</f>
        <v/>
      </c>
      <c r="V239">
        <f>HYPERLINK("https://klasma.github.io/Logging_1862/klagomål/A 15806-2026 FSC-klagomål.docx", "A 15806-2026")</f>
        <v/>
      </c>
      <c r="W239">
        <f>HYPERLINK("https://klasma.github.io/Logging_1862/klagomålsmail/A 15806-2026 FSC-klagomål mail.docx", "A 15806-2026")</f>
        <v/>
      </c>
      <c r="X239">
        <f>HYPERLINK("https://klasma.github.io/Logging_1862/tillsyn/A 15806-2026 tillsynsbegäran.docx", "A 15806-2026")</f>
        <v/>
      </c>
      <c r="Y239">
        <f>HYPERLINK("https://klasma.github.io/Logging_1862/tillsynsmail/A 15806-2026 tillsynsbegäran mail.docx", "A 15806-2026")</f>
        <v/>
      </c>
    </row>
    <row r="240" ht="15" customHeight="1">
      <c r="A240" t="inlineStr">
        <is>
          <t>A 50770-2022</t>
        </is>
      </c>
      <c r="B240" s="1" t="n">
        <v>44867.4266087963</v>
      </c>
      <c r="C240" s="1" t="n">
        <v>46132</v>
      </c>
      <c r="D240" t="inlineStr">
        <is>
          <t>ÖREBRO LÄN</t>
        </is>
      </c>
      <c r="E240" t="inlineStr">
        <is>
          <t>LAXÅ</t>
        </is>
      </c>
      <c r="F240" t="inlineStr">
        <is>
          <t>Sveaskog</t>
        </is>
      </c>
      <c r="G240" t="n">
        <v>5.3</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HYPERLINK("https://klasma.github.io/Logging_1860/artfynd/A 50770-2022 artfynd.xlsx", "A 50770-2022")</f>
        <v/>
      </c>
      <c r="T240">
        <f>HYPERLINK("https://klasma.github.io/Logging_1860/kartor/A 50770-2022 karta.png", "A 50770-2022")</f>
        <v/>
      </c>
      <c r="V240">
        <f>HYPERLINK("https://klasma.github.io/Logging_1860/klagomål/A 50770-2022 FSC-klagomål.docx", "A 50770-2022")</f>
        <v/>
      </c>
      <c r="W240">
        <f>HYPERLINK("https://klasma.github.io/Logging_1860/klagomålsmail/A 50770-2022 FSC-klagomål mail.docx", "A 50770-2022")</f>
        <v/>
      </c>
      <c r="X240">
        <f>HYPERLINK("https://klasma.github.io/Logging_1860/tillsyn/A 50770-2022 tillsynsbegäran.docx", "A 50770-2022")</f>
        <v/>
      </c>
      <c r="Y240">
        <f>HYPERLINK("https://klasma.github.io/Logging_1860/tillsynsmail/A 50770-2022 tillsynsbegäran mail.docx", "A 50770-2022")</f>
        <v/>
      </c>
      <c r="Z240">
        <f>HYPERLINK("https://klasma.github.io/Logging_1860/fåglar/A 50770-2022 prioriterade fågelarter.docx", "A 50770-2022")</f>
        <v/>
      </c>
    </row>
    <row r="241" ht="15" customHeight="1">
      <c r="A241" t="inlineStr">
        <is>
          <t>A 53729-2024</t>
        </is>
      </c>
      <c r="B241" s="1" t="n">
        <v>45614</v>
      </c>
      <c r="C241" s="1" t="n">
        <v>46132</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50754-2022</t>
        </is>
      </c>
      <c r="B242" s="1" t="n">
        <v>44867.41003472222</v>
      </c>
      <c r="C242" s="1" t="n">
        <v>46132</v>
      </c>
      <c r="D242" t="inlineStr">
        <is>
          <t>ÖREBRO LÄN</t>
        </is>
      </c>
      <c r="E242" t="inlineStr">
        <is>
          <t>LAXÅ</t>
        </is>
      </c>
      <c r="F242" t="inlineStr">
        <is>
          <t>Sveaskog</t>
        </is>
      </c>
      <c r="G242" t="n">
        <v>3.4</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50754-2022 artfynd.xlsx", "A 50754-2022")</f>
        <v/>
      </c>
      <c r="T242">
        <f>HYPERLINK("https://klasma.github.io/Logging_1860/kartor/A 50754-2022 karta.png", "A 50754-2022")</f>
        <v/>
      </c>
      <c r="V242">
        <f>HYPERLINK("https://klasma.github.io/Logging_1860/klagomål/A 50754-2022 FSC-klagomål.docx", "A 50754-2022")</f>
        <v/>
      </c>
      <c r="W242">
        <f>HYPERLINK("https://klasma.github.io/Logging_1860/klagomålsmail/A 50754-2022 FSC-klagomål mail.docx", "A 50754-2022")</f>
        <v/>
      </c>
      <c r="X242">
        <f>HYPERLINK("https://klasma.github.io/Logging_1860/tillsyn/A 50754-2022 tillsynsbegäran.docx", "A 50754-2022")</f>
        <v/>
      </c>
      <c r="Y242">
        <f>HYPERLINK("https://klasma.github.io/Logging_1860/tillsynsmail/A 50754-2022 tillsynsbegäran mail.docx", "A 50754-2022")</f>
        <v/>
      </c>
      <c r="Z242">
        <f>HYPERLINK("https://klasma.github.io/Logging_1860/fåglar/A 50754-2022 prioriterade fågelarter.docx", "A 50754-2022")</f>
        <v/>
      </c>
    </row>
    <row r="243" ht="15" customHeight="1">
      <c r="A243" t="inlineStr">
        <is>
          <t>A 56004-2025</t>
        </is>
      </c>
      <c r="B243" s="1" t="n">
        <v>45973.57854166667</v>
      </c>
      <c r="C243" s="1" t="n">
        <v>46132</v>
      </c>
      <c r="D243" t="inlineStr">
        <is>
          <t>ÖREBRO LÄN</t>
        </is>
      </c>
      <c r="E243" t="inlineStr">
        <is>
          <t>LAXÅ</t>
        </is>
      </c>
      <c r="F243" t="inlineStr">
        <is>
          <t>Sveaskog</t>
        </is>
      </c>
      <c r="G243" t="n">
        <v>2.1</v>
      </c>
      <c r="H243" t="n">
        <v>2</v>
      </c>
      <c r="I243" t="n">
        <v>0</v>
      </c>
      <c r="J243" t="n">
        <v>1</v>
      </c>
      <c r="K243" t="n">
        <v>0</v>
      </c>
      <c r="L243" t="n">
        <v>0</v>
      </c>
      <c r="M243" t="n">
        <v>0</v>
      </c>
      <c r="N243" t="n">
        <v>0</v>
      </c>
      <c r="O243" t="n">
        <v>1</v>
      </c>
      <c r="P243" t="n">
        <v>0</v>
      </c>
      <c r="Q243" t="n">
        <v>2</v>
      </c>
      <c r="R243" s="2" t="inlineStr">
        <is>
          <t>Talltita
Tjäder</t>
        </is>
      </c>
      <c r="S243">
        <f>HYPERLINK("https://klasma.github.io/Logging_1860/artfynd/A 56004-2025 artfynd.xlsx", "A 56004-2025")</f>
        <v/>
      </c>
      <c r="T243">
        <f>HYPERLINK("https://klasma.github.io/Logging_1860/kartor/A 56004-2025 karta.png", "A 56004-2025")</f>
        <v/>
      </c>
      <c r="V243">
        <f>HYPERLINK("https://klasma.github.io/Logging_1860/klagomål/A 56004-2025 FSC-klagomål.docx", "A 56004-2025")</f>
        <v/>
      </c>
      <c r="W243">
        <f>HYPERLINK("https://klasma.github.io/Logging_1860/klagomålsmail/A 56004-2025 FSC-klagomål mail.docx", "A 56004-2025")</f>
        <v/>
      </c>
      <c r="X243">
        <f>HYPERLINK("https://klasma.github.io/Logging_1860/tillsyn/A 56004-2025 tillsynsbegäran.docx", "A 56004-2025")</f>
        <v/>
      </c>
      <c r="Y243">
        <f>HYPERLINK("https://klasma.github.io/Logging_1860/tillsynsmail/A 56004-2025 tillsynsbegäran mail.docx", "A 56004-2025")</f>
        <v/>
      </c>
      <c r="Z243">
        <f>HYPERLINK("https://klasma.github.io/Logging_1860/fåglar/A 56004-2025 prioriterade fågelarter.docx", "A 56004-2025")</f>
        <v/>
      </c>
    </row>
    <row r="244" ht="15" customHeight="1">
      <c r="A244" t="inlineStr">
        <is>
          <t>A 23750-2022</t>
        </is>
      </c>
      <c r="B244" s="1" t="n">
        <v>44722</v>
      </c>
      <c r="C244" s="1" t="n">
        <v>46132</v>
      </c>
      <c r="D244" t="inlineStr">
        <is>
          <t>ÖREBRO LÄN</t>
        </is>
      </c>
      <c r="E244" t="inlineStr">
        <is>
          <t>ASKERSUND</t>
        </is>
      </c>
      <c r="F244" t="inlineStr">
        <is>
          <t>Sveaskog</t>
        </is>
      </c>
      <c r="G244" t="n">
        <v>4.3</v>
      </c>
      <c r="H244" t="n">
        <v>2</v>
      </c>
      <c r="I244" t="n">
        <v>0</v>
      </c>
      <c r="J244" t="n">
        <v>0</v>
      </c>
      <c r="K244" t="n">
        <v>0</v>
      </c>
      <c r="L244" t="n">
        <v>0</v>
      </c>
      <c r="M244" t="n">
        <v>0</v>
      </c>
      <c r="N244" t="n">
        <v>0</v>
      </c>
      <c r="O244" t="n">
        <v>0</v>
      </c>
      <c r="P244" t="n">
        <v>0</v>
      </c>
      <c r="Q244" t="n">
        <v>2</v>
      </c>
      <c r="R244" s="2" t="inlineStr">
        <is>
          <t>Blåsippa
Revlummer</t>
        </is>
      </c>
      <c r="S244">
        <f>HYPERLINK("https://klasma.github.io/Logging_1882/artfynd/A 23750-2022 artfynd.xlsx", "A 23750-2022")</f>
        <v/>
      </c>
      <c r="T244">
        <f>HYPERLINK("https://klasma.github.io/Logging_1882/kartor/A 23750-2022 karta.png", "A 23750-2022")</f>
        <v/>
      </c>
      <c r="V244">
        <f>HYPERLINK("https://klasma.github.io/Logging_1882/klagomål/A 23750-2022 FSC-klagomål.docx", "A 23750-2022")</f>
        <v/>
      </c>
      <c r="W244">
        <f>HYPERLINK("https://klasma.github.io/Logging_1882/klagomålsmail/A 23750-2022 FSC-klagomål mail.docx", "A 23750-2022")</f>
        <v/>
      </c>
      <c r="X244">
        <f>HYPERLINK("https://klasma.github.io/Logging_1882/tillsyn/A 23750-2022 tillsynsbegäran.docx", "A 23750-2022")</f>
        <v/>
      </c>
      <c r="Y244">
        <f>HYPERLINK("https://klasma.github.io/Logging_1882/tillsynsmail/A 23750-2022 tillsynsbegäran mail.docx", "A 23750-2022")</f>
        <v/>
      </c>
    </row>
    <row r="245" ht="15" customHeight="1">
      <c r="A245" t="inlineStr">
        <is>
          <t>A 9567-2026</t>
        </is>
      </c>
      <c r="B245" s="1" t="n">
        <v>46071.65692129629</v>
      </c>
      <c r="C245" s="1" t="n">
        <v>46132</v>
      </c>
      <c r="D245" t="inlineStr">
        <is>
          <t>ÖREBRO LÄN</t>
        </is>
      </c>
      <c r="E245" t="inlineStr">
        <is>
          <t>LINDESBERG</t>
        </is>
      </c>
      <c r="F245" t="inlineStr">
        <is>
          <t>Kommuner</t>
        </is>
      </c>
      <c r="G245" t="n">
        <v>1.4</v>
      </c>
      <c r="H245" t="n">
        <v>0</v>
      </c>
      <c r="I245" t="n">
        <v>1</v>
      </c>
      <c r="J245" t="n">
        <v>1</v>
      </c>
      <c r="K245" t="n">
        <v>0</v>
      </c>
      <c r="L245" t="n">
        <v>0</v>
      </c>
      <c r="M245" t="n">
        <v>0</v>
      </c>
      <c r="N245" t="n">
        <v>0</v>
      </c>
      <c r="O245" t="n">
        <v>1</v>
      </c>
      <c r="P245" t="n">
        <v>0</v>
      </c>
      <c r="Q245" t="n">
        <v>2</v>
      </c>
      <c r="R245" s="2" t="inlineStr">
        <is>
          <t>Ullticka
Thomsons trägnagare</t>
        </is>
      </c>
      <c r="S245">
        <f>HYPERLINK("https://klasma.github.io/Logging_1885/artfynd/A 9567-2026 artfynd.xlsx", "A 9567-2026")</f>
        <v/>
      </c>
      <c r="T245">
        <f>HYPERLINK("https://klasma.github.io/Logging_1885/kartor/A 9567-2026 karta.png", "A 9567-2026")</f>
        <v/>
      </c>
      <c r="V245">
        <f>HYPERLINK("https://klasma.github.io/Logging_1885/klagomål/A 9567-2026 FSC-klagomål.docx", "A 9567-2026")</f>
        <v/>
      </c>
      <c r="W245">
        <f>HYPERLINK("https://klasma.github.io/Logging_1885/klagomålsmail/A 9567-2026 FSC-klagomål mail.docx", "A 9567-2026")</f>
        <v/>
      </c>
      <c r="X245">
        <f>HYPERLINK("https://klasma.github.io/Logging_1885/tillsyn/A 9567-2026 tillsynsbegäran.docx", "A 9567-2026")</f>
        <v/>
      </c>
      <c r="Y245">
        <f>HYPERLINK("https://klasma.github.io/Logging_1885/tillsynsmail/A 9567-2026 tillsynsbegäran mail.docx", "A 9567-2026")</f>
        <v/>
      </c>
    </row>
    <row r="246" ht="15" customHeight="1">
      <c r="A246" t="inlineStr">
        <is>
          <t>A 49157-2023</t>
        </is>
      </c>
      <c r="B246" s="1" t="n">
        <v>45210</v>
      </c>
      <c r="C246" s="1" t="n">
        <v>46132</v>
      </c>
      <c r="D246" t="inlineStr">
        <is>
          <t>ÖREBRO LÄN</t>
        </is>
      </c>
      <c r="E246" t="inlineStr">
        <is>
          <t>LJUSNARSBERG</t>
        </is>
      </c>
      <c r="G246" t="n">
        <v>3</v>
      </c>
      <c r="H246" t="n">
        <v>0</v>
      </c>
      <c r="I246" t="n">
        <v>2</v>
      </c>
      <c r="J246" t="n">
        <v>0</v>
      </c>
      <c r="K246" t="n">
        <v>0</v>
      </c>
      <c r="L246" t="n">
        <v>0</v>
      </c>
      <c r="M246" t="n">
        <v>0</v>
      </c>
      <c r="N246" t="n">
        <v>0</v>
      </c>
      <c r="O246" t="n">
        <v>0</v>
      </c>
      <c r="P246" t="n">
        <v>0</v>
      </c>
      <c r="Q246" t="n">
        <v>2</v>
      </c>
      <c r="R246" s="2" t="inlineStr">
        <is>
          <t>Rödgul trumpetsvamp
Skogshakmossa</t>
        </is>
      </c>
      <c r="S246">
        <f>HYPERLINK("https://klasma.github.io/Logging_1864/artfynd/A 49157-2023 artfynd.xlsx", "A 49157-2023")</f>
        <v/>
      </c>
      <c r="T246">
        <f>HYPERLINK("https://klasma.github.io/Logging_1864/kartor/A 49157-2023 karta.png", "A 49157-2023")</f>
        <v/>
      </c>
      <c r="V246">
        <f>HYPERLINK("https://klasma.github.io/Logging_1864/klagomål/A 49157-2023 FSC-klagomål.docx", "A 49157-2023")</f>
        <v/>
      </c>
      <c r="W246">
        <f>HYPERLINK("https://klasma.github.io/Logging_1864/klagomålsmail/A 49157-2023 FSC-klagomål mail.docx", "A 49157-2023")</f>
        <v/>
      </c>
      <c r="X246">
        <f>HYPERLINK("https://klasma.github.io/Logging_1864/tillsyn/A 49157-2023 tillsynsbegäran.docx", "A 49157-2023")</f>
        <v/>
      </c>
      <c r="Y246">
        <f>HYPERLINK("https://klasma.github.io/Logging_1864/tillsynsmail/A 49157-2023 tillsynsbegäran mail.docx", "A 49157-2023")</f>
        <v/>
      </c>
    </row>
    <row r="247" ht="15" customHeight="1">
      <c r="A247" t="inlineStr">
        <is>
          <t>A 61096-2023</t>
        </is>
      </c>
      <c r="B247" s="1" t="n">
        <v>45261</v>
      </c>
      <c r="C247" s="1" t="n">
        <v>46132</v>
      </c>
      <c r="D247" t="inlineStr">
        <is>
          <t>ÖREBRO LÄN</t>
        </is>
      </c>
      <c r="E247" t="inlineStr">
        <is>
          <t>LAXÅ</t>
        </is>
      </c>
      <c r="F247" t="inlineStr">
        <is>
          <t>Sveaskog</t>
        </is>
      </c>
      <c r="G247" t="n">
        <v>4.5</v>
      </c>
      <c r="H247" t="n">
        <v>1</v>
      </c>
      <c r="I247" t="n">
        <v>1</v>
      </c>
      <c r="J247" t="n">
        <v>1</v>
      </c>
      <c r="K247" t="n">
        <v>0</v>
      </c>
      <c r="L247" t="n">
        <v>0</v>
      </c>
      <c r="M247" t="n">
        <v>0</v>
      </c>
      <c r="N247" t="n">
        <v>0</v>
      </c>
      <c r="O247" t="n">
        <v>1</v>
      </c>
      <c r="P247" t="n">
        <v>0</v>
      </c>
      <c r="Q247" t="n">
        <v>2</v>
      </c>
      <c r="R247" s="2" t="inlineStr">
        <is>
          <t>Entita
Björksplintborre</t>
        </is>
      </c>
      <c r="S247">
        <f>HYPERLINK("https://klasma.github.io/Logging_1860/artfynd/A 61096-2023 artfynd.xlsx", "A 61096-2023")</f>
        <v/>
      </c>
      <c r="T247">
        <f>HYPERLINK("https://klasma.github.io/Logging_1860/kartor/A 61096-2023 karta.png", "A 61096-2023")</f>
        <v/>
      </c>
      <c r="V247">
        <f>HYPERLINK("https://klasma.github.io/Logging_1860/klagomål/A 61096-2023 FSC-klagomål.docx", "A 61096-2023")</f>
        <v/>
      </c>
      <c r="W247">
        <f>HYPERLINK("https://klasma.github.io/Logging_1860/klagomålsmail/A 61096-2023 FSC-klagomål mail.docx", "A 61096-2023")</f>
        <v/>
      </c>
      <c r="X247">
        <f>HYPERLINK("https://klasma.github.io/Logging_1860/tillsyn/A 61096-2023 tillsynsbegäran.docx", "A 61096-2023")</f>
        <v/>
      </c>
      <c r="Y247">
        <f>HYPERLINK("https://klasma.github.io/Logging_1860/tillsynsmail/A 61096-2023 tillsynsbegäran mail.docx", "A 61096-2023")</f>
        <v/>
      </c>
      <c r="Z247">
        <f>HYPERLINK("https://klasma.github.io/Logging_1860/fåglar/A 61096-2023 prioriterade fågelarter.docx", "A 61096-2023")</f>
        <v/>
      </c>
    </row>
    <row r="248" ht="15" customHeight="1">
      <c r="A248" t="inlineStr">
        <is>
          <t>A 11278-2026</t>
        </is>
      </c>
      <c r="B248" s="1" t="n">
        <v>46080</v>
      </c>
      <c r="C248" s="1" t="n">
        <v>46132</v>
      </c>
      <c r="D248" t="inlineStr">
        <is>
          <t>ÖREBRO LÄN</t>
        </is>
      </c>
      <c r="E248" t="inlineStr">
        <is>
          <t>LEKEBERG</t>
        </is>
      </c>
      <c r="G248" t="n">
        <v>12</v>
      </c>
      <c r="H248" t="n">
        <v>2</v>
      </c>
      <c r="I248" t="n">
        <v>0</v>
      </c>
      <c r="J248" t="n">
        <v>2</v>
      </c>
      <c r="K248" t="n">
        <v>0</v>
      </c>
      <c r="L248" t="n">
        <v>0</v>
      </c>
      <c r="M248" t="n">
        <v>0</v>
      </c>
      <c r="N248" t="n">
        <v>0</v>
      </c>
      <c r="O248" t="n">
        <v>2</v>
      </c>
      <c r="P248" t="n">
        <v>0</v>
      </c>
      <c r="Q248" t="n">
        <v>2</v>
      </c>
      <c r="R248" s="2" t="inlineStr">
        <is>
          <t>Entita
Spillkråka</t>
        </is>
      </c>
      <c r="S248">
        <f>HYPERLINK("https://klasma.github.io/Logging_1814/artfynd/A 11278-2026 artfynd.xlsx", "A 11278-2026")</f>
        <v/>
      </c>
      <c r="T248">
        <f>HYPERLINK("https://klasma.github.io/Logging_1814/kartor/A 11278-2026 karta.png", "A 11278-2026")</f>
        <v/>
      </c>
      <c r="V248">
        <f>HYPERLINK("https://klasma.github.io/Logging_1814/klagomål/A 11278-2026 FSC-klagomål.docx", "A 11278-2026")</f>
        <v/>
      </c>
      <c r="W248">
        <f>HYPERLINK("https://klasma.github.io/Logging_1814/klagomålsmail/A 11278-2026 FSC-klagomål mail.docx", "A 11278-2026")</f>
        <v/>
      </c>
      <c r="X248">
        <f>HYPERLINK("https://klasma.github.io/Logging_1814/tillsyn/A 11278-2026 tillsynsbegäran.docx", "A 11278-2026")</f>
        <v/>
      </c>
      <c r="Y248">
        <f>HYPERLINK("https://klasma.github.io/Logging_1814/tillsynsmail/A 11278-2026 tillsynsbegäran mail.docx", "A 11278-2026")</f>
        <v/>
      </c>
      <c r="Z248">
        <f>HYPERLINK("https://klasma.github.io/Logging_1814/fåglar/A 11278-2026 prioriterade fågelarter.docx", "A 11278-2026")</f>
        <v/>
      </c>
    </row>
    <row r="249" ht="15" customHeight="1">
      <c r="A249" t="inlineStr">
        <is>
          <t>A 30594-2022</t>
        </is>
      </c>
      <c r="B249" s="1" t="n">
        <v>44762.77344907408</v>
      </c>
      <c r="C249" s="1" t="n">
        <v>46132</v>
      </c>
      <c r="D249" t="inlineStr">
        <is>
          <t>ÖREBRO LÄN</t>
        </is>
      </c>
      <c r="E249" t="inlineStr">
        <is>
          <t>HALLSBERG</t>
        </is>
      </c>
      <c r="G249" t="n">
        <v>4.9</v>
      </c>
      <c r="H249" t="n">
        <v>2</v>
      </c>
      <c r="I249" t="n">
        <v>0</v>
      </c>
      <c r="J249" t="n">
        <v>0</v>
      </c>
      <c r="K249" t="n">
        <v>0</v>
      </c>
      <c r="L249" t="n">
        <v>0</v>
      </c>
      <c r="M249" t="n">
        <v>0</v>
      </c>
      <c r="N249" t="n">
        <v>0</v>
      </c>
      <c r="O249" t="n">
        <v>0</v>
      </c>
      <c r="P249" t="n">
        <v>0</v>
      </c>
      <c r="Q249" t="n">
        <v>2</v>
      </c>
      <c r="R249" s="2" t="inlineStr">
        <is>
          <t>Nattviol
Blåsippa</t>
        </is>
      </c>
      <c r="S249">
        <f>HYPERLINK("https://klasma.github.io/Logging_1861/artfynd/A 30594-2022 artfynd.xlsx", "A 30594-2022")</f>
        <v/>
      </c>
      <c r="T249">
        <f>HYPERLINK("https://klasma.github.io/Logging_1861/kartor/A 30594-2022 karta.png", "A 30594-2022")</f>
        <v/>
      </c>
      <c r="V249">
        <f>HYPERLINK("https://klasma.github.io/Logging_1861/klagomål/A 30594-2022 FSC-klagomål.docx", "A 30594-2022")</f>
        <v/>
      </c>
      <c r="W249">
        <f>HYPERLINK("https://klasma.github.io/Logging_1861/klagomålsmail/A 30594-2022 FSC-klagomål mail.docx", "A 30594-2022")</f>
        <v/>
      </c>
      <c r="X249">
        <f>HYPERLINK("https://klasma.github.io/Logging_1861/tillsyn/A 30594-2022 tillsynsbegäran.docx", "A 30594-2022")</f>
        <v/>
      </c>
      <c r="Y249">
        <f>HYPERLINK("https://klasma.github.io/Logging_1861/tillsynsmail/A 30594-2022 tillsynsbegäran mail.docx", "A 30594-2022")</f>
        <v/>
      </c>
    </row>
    <row r="250" ht="15" customHeight="1">
      <c r="A250" t="inlineStr">
        <is>
          <t>A 38914-2023</t>
        </is>
      </c>
      <c r="B250" s="1" t="n">
        <v>45163</v>
      </c>
      <c r="C250" s="1" t="n">
        <v>46132</v>
      </c>
      <c r="D250" t="inlineStr">
        <is>
          <t>ÖREBRO LÄN</t>
        </is>
      </c>
      <c r="E250" t="inlineStr">
        <is>
          <t>DEGERFORS</t>
        </is>
      </c>
      <c r="F250" t="inlineStr">
        <is>
          <t>Sveaskog</t>
        </is>
      </c>
      <c r="G250" t="n">
        <v>5.4</v>
      </c>
      <c r="H250" t="n">
        <v>2</v>
      </c>
      <c r="I250" t="n">
        <v>0</v>
      </c>
      <c r="J250" t="n">
        <v>1</v>
      </c>
      <c r="K250" t="n">
        <v>0</v>
      </c>
      <c r="L250" t="n">
        <v>0</v>
      </c>
      <c r="M250" t="n">
        <v>0</v>
      </c>
      <c r="N250" t="n">
        <v>0</v>
      </c>
      <c r="O250" t="n">
        <v>1</v>
      </c>
      <c r="P250" t="n">
        <v>0</v>
      </c>
      <c r="Q250" t="n">
        <v>2</v>
      </c>
      <c r="R250" s="2" t="inlineStr">
        <is>
          <t>Tretåig hackspett
Tjäder</t>
        </is>
      </c>
      <c r="S250">
        <f>HYPERLINK("https://klasma.github.io/Logging_1862/artfynd/A 38914-2023 artfynd.xlsx", "A 38914-2023")</f>
        <v/>
      </c>
      <c r="T250">
        <f>HYPERLINK("https://klasma.github.io/Logging_1862/kartor/A 38914-2023 karta.png", "A 38914-2023")</f>
        <v/>
      </c>
      <c r="V250">
        <f>HYPERLINK("https://klasma.github.io/Logging_1862/klagomål/A 38914-2023 FSC-klagomål.docx", "A 38914-2023")</f>
        <v/>
      </c>
      <c r="W250">
        <f>HYPERLINK("https://klasma.github.io/Logging_1862/klagomålsmail/A 38914-2023 FSC-klagomål mail.docx", "A 38914-2023")</f>
        <v/>
      </c>
      <c r="X250">
        <f>HYPERLINK("https://klasma.github.io/Logging_1862/tillsyn/A 38914-2023 tillsynsbegäran.docx", "A 38914-2023")</f>
        <v/>
      </c>
      <c r="Y250">
        <f>HYPERLINK("https://klasma.github.io/Logging_1862/tillsynsmail/A 38914-2023 tillsynsbegäran mail.docx", "A 38914-2023")</f>
        <v/>
      </c>
      <c r="Z250">
        <f>HYPERLINK("https://klasma.github.io/Logging_1862/fåglar/A 38914-2023 prioriterade fågelarter.docx", "A 38914-2023")</f>
        <v/>
      </c>
    </row>
    <row r="251" ht="15" customHeight="1">
      <c r="A251" t="inlineStr">
        <is>
          <t>A 37012-2022</t>
        </is>
      </c>
      <c r="B251" s="1" t="n">
        <v>44806</v>
      </c>
      <c r="C251" s="1" t="n">
        <v>46132</v>
      </c>
      <c r="D251" t="inlineStr">
        <is>
          <t>ÖREBRO LÄN</t>
        </is>
      </c>
      <c r="E251" t="inlineStr">
        <is>
          <t>LEKEBERG</t>
        </is>
      </c>
      <c r="G251" t="n">
        <v>3.9</v>
      </c>
      <c r="H251" t="n">
        <v>2</v>
      </c>
      <c r="I251" t="n">
        <v>0</v>
      </c>
      <c r="J251" t="n">
        <v>1</v>
      </c>
      <c r="K251" t="n">
        <v>1</v>
      </c>
      <c r="L251" t="n">
        <v>0</v>
      </c>
      <c r="M251" t="n">
        <v>0</v>
      </c>
      <c r="N251" t="n">
        <v>0</v>
      </c>
      <c r="O251" t="n">
        <v>2</v>
      </c>
      <c r="P251" t="n">
        <v>1</v>
      </c>
      <c r="Q251" t="n">
        <v>2</v>
      </c>
      <c r="R251" s="2" t="inlineStr">
        <is>
          <t>Knärot
Spillkråka</t>
        </is>
      </c>
      <c r="S251">
        <f>HYPERLINK("https://klasma.github.io/Logging_1814/artfynd/A 37012-2022 artfynd.xlsx", "A 37012-2022")</f>
        <v/>
      </c>
      <c r="T251">
        <f>HYPERLINK("https://klasma.github.io/Logging_1814/kartor/A 37012-2022 karta.png", "A 37012-2022")</f>
        <v/>
      </c>
      <c r="U251">
        <f>HYPERLINK("https://klasma.github.io/Logging_1814/knärot/A 37012-2022 karta knärot.png", "A 37012-2022")</f>
        <v/>
      </c>
      <c r="V251">
        <f>HYPERLINK("https://klasma.github.io/Logging_1814/klagomål/A 37012-2022 FSC-klagomål.docx", "A 37012-2022")</f>
        <v/>
      </c>
      <c r="W251">
        <f>HYPERLINK("https://klasma.github.io/Logging_1814/klagomålsmail/A 37012-2022 FSC-klagomål mail.docx", "A 37012-2022")</f>
        <v/>
      </c>
      <c r="X251">
        <f>HYPERLINK("https://klasma.github.io/Logging_1814/tillsyn/A 37012-2022 tillsynsbegäran.docx", "A 37012-2022")</f>
        <v/>
      </c>
      <c r="Y251">
        <f>HYPERLINK("https://klasma.github.io/Logging_1814/tillsynsmail/A 37012-2022 tillsynsbegäran mail.docx", "A 37012-2022")</f>
        <v/>
      </c>
      <c r="Z251">
        <f>HYPERLINK("https://klasma.github.io/Logging_1814/fåglar/A 37012-2022 prioriterade fågelarter.docx", "A 37012-2022")</f>
        <v/>
      </c>
    </row>
    <row r="252" ht="15" customHeight="1">
      <c r="A252" t="inlineStr">
        <is>
          <t>A 37019-2024</t>
        </is>
      </c>
      <c r="B252" s="1" t="n">
        <v>45539.37905092593</v>
      </c>
      <c r="C252" s="1" t="n">
        <v>46132</v>
      </c>
      <c r="D252" t="inlineStr">
        <is>
          <t>ÖREBRO LÄN</t>
        </is>
      </c>
      <c r="E252" t="inlineStr">
        <is>
          <t>ÖREBRO</t>
        </is>
      </c>
      <c r="F252" t="inlineStr">
        <is>
          <t>Sveaskog</t>
        </is>
      </c>
      <c r="G252" t="n">
        <v>1.9</v>
      </c>
      <c r="H252" t="n">
        <v>1</v>
      </c>
      <c r="I252" t="n">
        <v>1</v>
      </c>
      <c r="J252" t="n">
        <v>0</v>
      </c>
      <c r="K252" t="n">
        <v>0</v>
      </c>
      <c r="L252" t="n">
        <v>0</v>
      </c>
      <c r="M252" t="n">
        <v>0</v>
      </c>
      <c r="N252" t="n">
        <v>0</v>
      </c>
      <c r="O252" t="n">
        <v>0</v>
      </c>
      <c r="P252" t="n">
        <v>0</v>
      </c>
      <c r="Q252" t="n">
        <v>2</v>
      </c>
      <c r="R252" s="2" t="inlineStr">
        <is>
          <t>Tibast
Huggorm</t>
        </is>
      </c>
      <c r="S252">
        <f>HYPERLINK("https://klasma.github.io/Logging_1880/artfynd/A 37019-2024 artfynd.xlsx", "A 37019-2024")</f>
        <v/>
      </c>
      <c r="T252">
        <f>HYPERLINK("https://klasma.github.io/Logging_1880/kartor/A 37019-2024 karta.png", "A 37019-2024")</f>
        <v/>
      </c>
      <c r="V252">
        <f>HYPERLINK("https://klasma.github.io/Logging_1880/klagomål/A 37019-2024 FSC-klagomål.docx", "A 37019-2024")</f>
        <v/>
      </c>
      <c r="W252">
        <f>HYPERLINK("https://klasma.github.io/Logging_1880/klagomålsmail/A 37019-2024 FSC-klagomål mail.docx", "A 37019-2024")</f>
        <v/>
      </c>
      <c r="X252">
        <f>HYPERLINK("https://klasma.github.io/Logging_1880/tillsyn/A 37019-2024 tillsynsbegäran.docx", "A 37019-2024")</f>
        <v/>
      </c>
      <c r="Y252">
        <f>HYPERLINK("https://klasma.github.io/Logging_1880/tillsynsmail/A 37019-2024 tillsynsbegäran mail.docx", "A 37019-2024")</f>
        <v/>
      </c>
    </row>
    <row r="253" ht="15" customHeight="1">
      <c r="A253" t="inlineStr">
        <is>
          <t>A 39249-2022</t>
        </is>
      </c>
      <c r="B253" s="1" t="n">
        <v>44816</v>
      </c>
      <c r="C253" s="1" t="n">
        <v>46132</v>
      </c>
      <c r="D253" t="inlineStr">
        <is>
          <t>ÖREBRO LÄN</t>
        </is>
      </c>
      <c r="E253" t="inlineStr">
        <is>
          <t>HALLSBERG</t>
        </is>
      </c>
      <c r="G253" t="n">
        <v>1.6</v>
      </c>
      <c r="H253" t="n">
        <v>1</v>
      </c>
      <c r="I253" t="n">
        <v>1</v>
      </c>
      <c r="J253" t="n">
        <v>1</v>
      </c>
      <c r="K253" t="n">
        <v>0</v>
      </c>
      <c r="L253" t="n">
        <v>0</v>
      </c>
      <c r="M253" t="n">
        <v>0</v>
      </c>
      <c r="N253" t="n">
        <v>0</v>
      </c>
      <c r="O253" t="n">
        <v>1</v>
      </c>
      <c r="P253" t="n">
        <v>0</v>
      </c>
      <c r="Q253" t="n">
        <v>2</v>
      </c>
      <c r="R253" s="2" t="inlineStr">
        <is>
          <t>Talltita
Björksplintborre</t>
        </is>
      </c>
      <c r="S253">
        <f>HYPERLINK("https://klasma.github.io/Logging_1861/artfynd/A 39249-2022 artfynd.xlsx", "A 39249-2022")</f>
        <v/>
      </c>
      <c r="T253">
        <f>HYPERLINK("https://klasma.github.io/Logging_1861/kartor/A 39249-2022 karta.png", "A 39249-2022")</f>
        <v/>
      </c>
      <c r="V253">
        <f>HYPERLINK("https://klasma.github.io/Logging_1861/klagomål/A 39249-2022 FSC-klagomål.docx", "A 39249-2022")</f>
        <v/>
      </c>
      <c r="W253">
        <f>HYPERLINK("https://klasma.github.io/Logging_1861/klagomålsmail/A 39249-2022 FSC-klagomål mail.docx", "A 39249-2022")</f>
        <v/>
      </c>
      <c r="X253">
        <f>HYPERLINK("https://klasma.github.io/Logging_1861/tillsyn/A 39249-2022 tillsynsbegäran.docx", "A 39249-2022")</f>
        <v/>
      </c>
      <c r="Y253">
        <f>HYPERLINK("https://klasma.github.io/Logging_1861/tillsynsmail/A 39249-2022 tillsynsbegäran mail.docx", "A 39249-2022")</f>
        <v/>
      </c>
      <c r="Z253">
        <f>HYPERLINK("https://klasma.github.io/Logging_1861/fåglar/A 39249-2022 prioriterade fågelarter.docx", "A 39249-2022")</f>
        <v/>
      </c>
    </row>
    <row r="254" ht="15" customHeight="1">
      <c r="A254" t="inlineStr">
        <is>
          <t>A 11678-2024</t>
        </is>
      </c>
      <c r="B254" s="1" t="n">
        <v>45373.57708333333</v>
      </c>
      <c r="C254" s="1" t="n">
        <v>46132</v>
      </c>
      <c r="D254" t="inlineStr">
        <is>
          <t>ÖREBRO LÄN</t>
        </is>
      </c>
      <c r="E254" t="inlineStr">
        <is>
          <t>LEKEBERG</t>
        </is>
      </c>
      <c r="F254" t="inlineStr">
        <is>
          <t>Kyrkan</t>
        </is>
      </c>
      <c r="G254" t="n">
        <v>1</v>
      </c>
      <c r="H254" t="n">
        <v>1</v>
      </c>
      <c r="I254" t="n">
        <v>0</v>
      </c>
      <c r="J254" t="n">
        <v>1</v>
      </c>
      <c r="K254" t="n">
        <v>0</v>
      </c>
      <c r="L254" t="n">
        <v>1</v>
      </c>
      <c r="M254" t="n">
        <v>0</v>
      </c>
      <c r="N254" t="n">
        <v>0</v>
      </c>
      <c r="O254" t="n">
        <v>2</v>
      </c>
      <c r="P254" t="n">
        <v>1</v>
      </c>
      <c r="Q254" t="n">
        <v>2</v>
      </c>
      <c r="R254" s="2" t="inlineStr">
        <is>
          <t>Ask
Svartvit flugsnappare</t>
        </is>
      </c>
      <c r="S254">
        <f>HYPERLINK("https://klasma.github.io/Logging_1814/artfynd/A 11678-2024 artfynd.xlsx", "A 11678-2024")</f>
        <v/>
      </c>
      <c r="T254">
        <f>HYPERLINK("https://klasma.github.io/Logging_1814/kartor/A 11678-2024 karta.png", "A 11678-2024")</f>
        <v/>
      </c>
      <c r="V254">
        <f>HYPERLINK("https://klasma.github.io/Logging_1814/klagomål/A 11678-2024 FSC-klagomål.docx", "A 11678-2024")</f>
        <v/>
      </c>
      <c r="W254">
        <f>HYPERLINK("https://klasma.github.io/Logging_1814/klagomålsmail/A 11678-2024 FSC-klagomål mail.docx", "A 11678-2024")</f>
        <v/>
      </c>
      <c r="X254">
        <f>HYPERLINK("https://klasma.github.io/Logging_1814/tillsyn/A 11678-2024 tillsynsbegäran.docx", "A 11678-2024")</f>
        <v/>
      </c>
      <c r="Y254">
        <f>HYPERLINK("https://klasma.github.io/Logging_1814/tillsynsmail/A 11678-2024 tillsynsbegäran mail.docx", "A 11678-2024")</f>
        <v/>
      </c>
      <c r="Z254">
        <f>HYPERLINK("https://klasma.github.io/Logging_1814/fåglar/A 11678-2024 prioriterade fågelarter.docx", "A 11678-2024")</f>
        <v/>
      </c>
    </row>
    <row r="255" ht="15" customHeight="1">
      <c r="A255" t="inlineStr">
        <is>
          <t>A 7608-2024</t>
        </is>
      </c>
      <c r="B255" s="1" t="n">
        <v>45348</v>
      </c>
      <c r="C255" s="1" t="n">
        <v>46132</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11018-2022</t>
        </is>
      </c>
      <c r="B256" s="1" t="n">
        <v>44628</v>
      </c>
      <c r="C256" s="1" t="n">
        <v>46132</v>
      </c>
      <c r="D256" t="inlineStr">
        <is>
          <t>ÖREBRO LÄN</t>
        </is>
      </c>
      <c r="E256" t="inlineStr">
        <is>
          <t>LAXÅ</t>
        </is>
      </c>
      <c r="G256" t="n">
        <v>9.300000000000001</v>
      </c>
      <c r="H256" t="n">
        <v>1</v>
      </c>
      <c r="I256" t="n">
        <v>1</v>
      </c>
      <c r="J256" t="n">
        <v>1</v>
      </c>
      <c r="K256" t="n">
        <v>0</v>
      </c>
      <c r="L256" t="n">
        <v>0</v>
      </c>
      <c r="M256" t="n">
        <v>0</v>
      </c>
      <c r="N256" t="n">
        <v>0</v>
      </c>
      <c r="O256" t="n">
        <v>1</v>
      </c>
      <c r="P256" t="n">
        <v>0</v>
      </c>
      <c r="Q256" t="n">
        <v>2</v>
      </c>
      <c r="R256" s="2" t="inlineStr">
        <is>
          <t>Spillkråka
Västlig hakmossa</t>
        </is>
      </c>
      <c r="S256">
        <f>HYPERLINK("https://klasma.github.io/Logging_1860/artfynd/A 11018-2022 artfynd.xlsx", "A 11018-2022")</f>
        <v/>
      </c>
      <c r="T256">
        <f>HYPERLINK("https://klasma.github.io/Logging_1860/kartor/A 11018-2022 karta.png", "A 11018-2022")</f>
        <v/>
      </c>
      <c r="V256">
        <f>HYPERLINK("https://klasma.github.io/Logging_1860/klagomål/A 11018-2022 FSC-klagomål.docx", "A 11018-2022")</f>
        <v/>
      </c>
      <c r="W256">
        <f>HYPERLINK("https://klasma.github.io/Logging_1860/klagomålsmail/A 11018-2022 FSC-klagomål mail.docx", "A 11018-2022")</f>
        <v/>
      </c>
      <c r="X256">
        <f>HYPERLINK("https://klasma.github.io/Logging_1860/tillsyn/A 11018-2022 tillsynsbegäran.docx", "A 11018-2022")</f>
        <v/>
      </c>
      <c r="Y256">
        <f>HYPERLINK("https://klasma.github.io/Logging_1860/tillsynsmail/A 11018-2022 tillsynsbegäran mail.docx", "A 11018-2022")</f>
        <v/>
      </c>
      <c r="Z256">
        <f>HYPERLINK("https://klasma.github.io/Logging_1860/fåglar/A 11018-2022 prioriterade fågelarter.docx", "A 11018-2022")</f>
        <v/>
      </c>
    </row>
    <row r="257" ht="15" customHeight="1">
      <c r="A257" t="inlineStr">
        <is>
          <t>A 15687-2023</t>
        </is>
      </c>
      <c r="B257" s="1" t="n">
        <v>45021</v>
      </c>
      <c r="C257" s="1" t="n">
        <v>46132</v>
      </c>
      <c r="D257" t="inlineStr">
        <is>
          <t>ÖREBRO LÄN</t>
        </is>
      </c>
      <c r="E257" t="inlineStr">
        <is>
          <t>LINDESBERG</t>
        </is>
      </c>
      <c r="G257" t="n">
        <v>1.4</v>
      </c>
      <c r="H257" t="n">
        <v>1</v>
      </c>
      <c r="I257" t="n">
        <v>2</v>
      </c>
      <c r="J257" t="n">
        <v>0</v>
      </c>
      <c r="K257" t="n">
        <v>0</v>
      </c>
      <c r="L257" t="n">
        <v>0</v>
      </c>
      <c r="M257" t="n">
        <v>0</v>
      </c>
      <c r="N257" t="n">
        <v>0</v>
      </c>
      <c r="O257" t="n">
        <v>0</v>
      </c>
      <c r="P257" t="n">
        <v>0</v>
      </c>
      <c r="Q257" t="n">
        <v>2</v>
      </c>
      <c r="R257" s="2" t="inlineStr">
        <is>
          <t>Rödgul trumpetsvamp
Tvåblad</t>
        </is>
      </c>
      <c r="S257">
        <f>HYPERLINK("https://klasma.github.io/Logging_1885/artfynd/A 15687-2023 artfynd.xlsx", "A 15687-2023")</f>
        <v/>
      </c>
      <c r="T257">
        <f>HYPERLINK("https://klasma.github.io/Logging_1885/kartor/A 15687-2023 karta.png", "A 15687-2023")</f>
        <v/>
      </c>
      <c r="V257">
        <f>HYPERLINK("https://klasma.github.io/Logging_1885/klagomål/A 15687-2023 FSC-klagomål.docx", "A 15687-2023")</f>
        <v/>
      </c>
      <c r="W257">
        <f>HYPERLINK("https://klasma.github.io/Logging_1885/klagomålsmail/A 15687-2023 FSC-klagomål mail.docx", "A 15687-2023")</f>
        <v/>
      </c>
      <c r="X257">
        <f>HYPERLINK("https://klasma.github.io/Logging_1885/tillsyn/A 15687-2023 tillsynsbegäran.docx", "A 15687-2023")</f>
        <v/>
      </c>
      <c r="Y257">
        <f>HYPERLINK("https://klasma.github.io/Logging_1885/tillsynsmail/A 15687-2023 tillsynsbegäran mail.docx", "A 15687-2023")</f>
        <v/>
      </c>
    </row>
    <row r="258" ht="15" customHeight="1">
      <c r="A258" t="inlineStr">
        <is>
          <t>A 7845-2025</t>
        </is>
      </c>
      <c r="B258" s="1" t="n">
        <v>45706.66359953704</v>
      </c>
      <c r="C258" s="1" t="n">
        <v>46132</v>
      </c>
      <c r="D258" t="inlineStr">
        <is>
          <t>ÖREBRO LÄN</t>
        </is>
      </c>
      <c r="E258" t="inlineStr">
        <is>
          <t>ASKERSUND</t>
        </is>
      </c>
      <c r="F258" t="inlineStr">
        <is>
          <t>Kyrkan</t>
        </is>
      </c>
      <c r="G258" t="n">
        <v>6.1</v>
      </c>
      <c r="H258" t="n">
        <v>2</v>
      </c>
      <c r="I258" t="n">
        <v>0</v>
      </c>
      <c r="J258" t="n">
        <v>0</v>
      </c>
      <c r="K258" t="n">
        <v>0</v>
      </c>
      <c r="L258" t="n">
        <v>0</v>
      </c>
      <c r="M258" t="n">
        <v>0</v>
      </c>
      <c r="N258" t="n">
        <v>0</v>
      </c>
      <c r="O258" t="n">
        <v>0</v>
      </c>
      <c r="P258" t="n">
        <v>0</v>
      </c>
      <c r="Q258" t="n">
        <v>2</v>
      </c>
      <c r="R258" s="2" t="inlineStr">
        <is>
          <t>Lopplummer (aggregat)
Revlummer</t>
        </is>
      </c>
      <c r="S258">
        <f>HYPERLINK("https://klasma.github.io/Logging_1882/artfynd/A 7845-2025 artfynd.xlsx", "A 7845-2025")</f>
        <v/>
      </c>
      <c r="T258">
        <f>HYPERLINK("https://klasma.github.io/Logging_1882/kartor/A 7845-2025 karta.png", "A 7845-2025")</f>
        <v/>
      </c>
      <c r="V258">
        <f>HYPERLINK("https://klasma.github.io/Logging_1882/klagomål/A 7845-2025 FSC-klagomål.docx", "A 7845-2025")</f>
        <v/>
      </c>
      <c r="W258">
        <f>HYPERLINK("https://klasma.github.io/Logging_1882/klagomålsmail/A 7845-2025 FSC-klagomål mail.docx", "A 7845-2025")</f>
        <v/>
      </c>
      <c r="X258">
        <f>HYPERLINK("https://klasma.github.io/Logging_1882/tillsyn/A 7845-2025 tillsynsbegäran.docx", "A 7845-2025")</f>
        <v/>
      </c>
      <c r="Y258">
        <f>HYPERLINK("https://klasma.github.io/Logging_1882/tillsynsmail/A 7845-2025 tillsynsbegäran mail.docx", "A 7845-2025")</f>
        <v/>
      </c>
    </row>
    <row r="259" ht="15" customHeight="1">
      <c r="A259" t="inlineStr">
        <is>
          <t>A 34292-2023</t>
        </is>
      </c>
      <c r="B259" s="1" t="n">
        <v>45138</v>
      </c>
      <c r="C259" s="1" t="n">
        <v>46132</v>
      </c>
      <c r="D259" t="inlineStr">
        <is>
          <t>ÖREBRO LÄN</t>
        </is>
      </c>
      <c r="E259" t="inlineStr">
        <is>
          <t>LINDESBERG</t>
        </is>
      </c>
      <c r="F259" t="inlineStr">
        <is>
          <t>Sveaskog</t>
        </is>
      </c>
      <c r="G259" t="n">
        <v>0.2</v>
      </c>
      <c r="H259" t="n">
        <v>1</v>
      </c>
      <c r="I259" t="n">
        <v>1</v>
      </c>
      <c r="J259" t="n">
        <v>0</v>
      </c>
      <c r="K259" t="n">
        <v>1</v>
      </c>
      <c r="L259" t="n">
        <v>0</v>
      </c>
      <c r="M259" t="n">
        <v>0</v>
      </c>
      <c r="N259" t="n">
        <v>0</v>
      </c>
      <c r="O259" t="n">
        <v>1</v>
      </c>
      <c r="P259" t="n">
        <v>1</v>
      </c>
      <c r="Q259" t="n">
        <v>2</v>
      </c>
      <c r="R259" s="2" t="inlineStr">
        <is>
          <t>Knärot
Sotriska</t>
        </is>
      </c>
      <c r="S259">
        <f>HYPERLINK("https://klasma.github.io/Logging_1885/artfynd/A 34292-2023 artfynd.xlsx", "A 34292-2023")</f>
        <v/>
      </c>
      <c r="T259">
        <f>HYPERLINK("https://klasma.github.io/Logging_1885/kartor/A 34292-2023 karta.png", "A 34292-2023")</f>
        <v/>
      </c>
      <c r="U259">
        <f>HYPERLINK("https://klasma.github.io/Logging_1885/knärot/A 34292-2023 karta knärot.png", "A 34292-2023")</f>
        <v/>
      </c>
      <c r="V259">
        <f>HYPERLINK("https://klasma.github.io/Logging_1885/klagomål/A 34292-2023 FSC-klagomål.docx", "A 34292-2023")</f>
        <v/>
      </c>
      <c r="W259">
        <f>HYPERLINK("https://klasma.github.io/Logging_1885/klagomålsmail/A 34292-2023 FSC-klagomål mail.docx", "A 34292-2023")</f>
        <v/>
      </c>
      <c r="X259">
        <f>HYPERLINK("https://klasma.github.io/Logging_1885/tillsyn/A 34292-2023 tillsynsbegäran.docx", "A 34292-2023")</f>
        <v/>
      </c>
      <c r="Y259">
        <f>HYPERLINK("https://klasma.github.io/Logging_1885/tillsynsmail/A 34292-2023 tillsynsbegäran mail.docx", "A 34292-2023")</f>
        <v/>
      </c>
    </row>
    <row r="260" ht="15" customHeight="1">
      <c r="A260" t="inlineStr">
        <is>
          <t>A 15371-2025</t>
        </is>
      </c>
      <c r="B260" s="1" t="n">
        <v>45747.40402777777</v>
      </c>
      <c r="C260" s="1" t="n">
        <v>46132</v>
      </c>
      <c r="D260" t="inlineStr">
        <is>
          <t>ÖREBRO LÄN</t>
        </is>
      </c>
      <c r="E260" t="inlineStr">
        <is>
          <t>LAXÅ</t>
        </is>
      </c>
      <c r="G260" t="n">
        <v>6.1</v>
      </c>
      <c r="H260" t="n">
        <v>2</v>
      </c>
      <c r="I260" t="n">
        <v>0</v>
      </c>
      <c r="J260" t="n">
        <v>0</v>
      </c>
      <c r="K260" t="n">
        <v>0</v>
      </c>
      <c r="L260" t="n">
        <v>0</v>
      </c>
      <c r="M260" t="n">
        <v>0</v>
      </c>
      <c r="N260" t="n">
        <v>0</v>
      </c>
      <c r="O260" t="n">
        <v>0</v>
      </c>
      <c r="P260" t="n">
        <v>0</v>
      </c>
      <c r="Q260" t="n">
        <v>2</v>
      </c>
      <c r="R260" s="2" t="inlineStr">
        <is>
          <t>Fläcknycklar
Nattviol</t>
        </is>
      </c>
      <c r="S260">
        <f>HYPERLINK("https://klasma.github.io/Logging_1860/artfynd/A 15371-2025 artfynd.xlsx", "A 15371-2025")</f>
        <v/>
      </c>
      <c r="T260">
        <f>HYPERLINK("https://klasma.github.io/Logging_1860/kartor/A 15371-2025 karta.png", "A 15371-2025")</f>
        <v/>
      </c>
      <c r="V260">
        <f>HYPERLINK("https://klasma.github.io/Logging_1860/klagomål/A 15371-2025 FSC-klagomål.docx", "A 15371-2025")</f>
        <v/>
      </c>
      <c r="W260">
        <f>HYPERLINK("https://klasma.github.io/Logging_1860/klagomålsmail/A 15371-2025 FSC-klagomål mail.docx", "A 15371-2025")</f>
        <v/>
      </c>
      <c r="X260">
        <f>HYPERLINK("https://klasma.github.io/Logging_1860/tillsyn/A 15371-2025 tillsynsbegäran.docx", "A 15371-2025")</f>
        <v/>
      </c>
      <c r="Y260">
        <f>HYPERLINK("https://klasma.github.io/Logging_1860/tillsynsmail/A 15371-2025 tillsynsbegäran mail.docx", "A 15371-2025")</f>
        <v/>
      </c>
    </row>
    <row r="261" ht="15" customHeight="1">
      <c r="A261" t="inlineStr">
        <is>
          <t>A 52400-2024</t>
        </is>
      </c>
      <c r="B261" s="1" t="n">
        <v>45609.44461805555</v>
      </c>
      <c r="C261" s="1" t="n">
        <v>46132</v>
      </c>
      <c r="D261" t="inlineStr">
        <is>
          <t>ÖREBRO LÄN</t>
        </is>
      </c>
      <c r="E261" t="inlineStr">
        <is>
          <t>ÖREBRO</t>
        </is>
      </c>
      <c r="F261" t="inlineStr">
        <is>
          <t>Sveaskog</t>
        </is>
      </c>
      <c r="G261" t="n">
        <v>7</v>
      </c>
      <c r="H261" t="n">
        <v>2</v>
      </c>
      <c r="I261" t="n">
        <v>0</v>
      </c>
      <c r="J261" t="n">
        <v>0</v>
      </c>
      <c r="K261" t="n">
        <v>1</v>
      </c>
      <c r="L261" t="n">
        <v>0</v>
      </c>
      <c r="M261" t="n">
        <v>0</v>
      </c>
      <c r="N261" t="n">
        <v>0</v>
      </c>
      <c r="O261" t="n">
        <v>1</v>
      </c>
      <c r="P261" t="n">
        <v>1</v>
      </c>
      <c r="Q261" t="n">
        <v>2</v>
      </c>
      <c r="R261" s="2" t="inlineStr">
        <is>
          <t>Väddnätfjäril
Grönvit nattviol</t>
        </is>
      </c>
      <c r="S261">
        <f>HYPERLINK("https://klasma.github.io/Logging_1880/artfynd/A 52400-2024 artfynd.xlsx", "A 52400-2024")</f>
        <v/>
      </c>
      <c r="T261">
        <f>HYPERLINK("https://klasma.github.io/Logging_1880/kartor/A 52400-2024 karta.png", "A 52400-2024")</f>
        <v/>
      </c>
      <c r="V261">
        <f>HYPERLINK("https://klasma.github.io/Logging_1880/klagomål/A 52400-2024 FSC-klagomål.docx", "A 52400-2024")</f>
        <v/>
      </c>
      <c r="W261">
        <f>HYPERLINK("https://klasma.github.io/Logging_1880/klagomålsmail/A 52400-2024 FSC-klagomål mail.docx", "A 52400-2024")</f>
        <v/>
      </c>
      <c r="X261">
        <f>HYPERLINK("https://klasma.github.io/Logging_1880/tillsyn/A 52400-2024 tillsynsbegäran.docx", "A 52400-2024")</f>
        <v/>
      </c>
      <c r="Y261">
        <f>HYPERLINK("https://klasma.github.io/Logging_1880/tillsynsmail/A 52400-2024 tillsynsbegäran mail.docx", "A 52400-2024")</f>
        <v/>
      </c>
    </row>
    <row r="262" ht="15" customHeight="1">
      <c r="A262" t="inlineStr">
        <is>
          <t>A 14956-2025</t>
        </is>
      </c>
      <c r="B262" s="1" t="n">
        <v>45743.58409722222</v>
      </c>
      <c r="C262" s="1" t="n">
        <v>46132</v>
      </c>
      <c r="D262" t="inlineStr">
        <is>
          <t>ÖREBRO LÄN</t>
        </is>
      </c>
      <c r="E262" t="inlineStr">
        <is>
          <t>ÖREBRO</t>
        </is>
      </c>
      <c r="G262" t="n">
        <v>5.2</v>
      </c>
      <c r="H262" t="n">
        <v>1</v>
      </c>
      <c r="I262" t="n">
        <v>2</v>
      </c>
      <c r="J262" t="n">
        <v>0</v>
      </c>
      <c r="K262" t="n">
        <v>0</v>
      </c>
      <c r="L262" t="n">
        <v>0</v>
      </c>
      <c r="M262" t="n">
        <v>0</v>
      </c>
      <c r="N262" t="n">
        <v>0</v>
      </c>
      <c r="O262" t="n">
        <v>0</v>
      </c>
      <c r="P262" t="n">
        <v>0</v>
      </c>
      <c r="Q262" t="n">
        <v>2</v>
      </c>
      <c r="R262" s="2" t="inlineStr">
        <is>
          <t>Kalktallört
Skogsknipprot</t>
        </is>
      </c>
      <c r="S262">
        <f>HYPERLINK("https://klasma.github.io/Logging_1880/artfynd/A 14956-2025 artfynd.xlsx", "A 14956-2025")</f>
        <v/>
      </c>
      <c r="T262">
        <f>HYPERLINK("https://klasma.github.io/Logging_1880/kartor/A 14956-2025 karta.png", "A 14956-2025")</f>
        <v/>
      </c>
      <c r="V262">
        <f>HYPERLINK("https://klasma.github.io/Logging_1880/klagomål/A 14956-2025 FSC-klagomål.docx", "A 14956-2025")</f>
        <v/>
      </c>
      <c r="W262">
        <f>HYPERLINK("https://klasma.github.io/Logging_1880/klagomålsmail/A 14956-2025 FSC-klagomål mail.docx", "A 14956-2025")</f>
        <v/>
      </c>
      <c r="X262">
        <f>HYPERLINK("https://klasma.github.io/Logging_1880/tillsyn/A 14956-2025 tillsynsbegäran.docx", "A 14956-2025")</f>
        <v/>
      </c>
      <c r="Y262">
        <f>HYPERLINK("https://klasma.github.io/Logging_1880/tillsynsmail/A 14956-2025 tillsynsbegäran mail.docx", "A 14956-2025")</f>
        <v/>
      </c>
    </row>
    <row r="263" ht="15" customHeight="1">
      <c r="A263" t="inlineStr">
        <is>
          <t>A 31483-2021</t>
        </is>
      </c>
      <c r="B263" s="1" t="n">
        <v>44369</v>
      </c>
      <c r="C263" s="1" t="n">
        <v>46132</v>
      </c>
      <c r="D263" t="inlineStr">
        <is>
          <t>ÖREBRO LÄN</t>
        </is>
      </c>
      <c r="E263" t="inlineStr">
        <is>
          <t>HALLSBERG</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HYPERLINK("https://klasma.github.io/Logging_1861/artfynd/A 31483-2021 artfynd.xlsx", "A 31483-2021")</f>
        <v/>
      </c>
      <c r="T263">
        <f>HYPERLINK("https://klasma.github.io/Logging_1861/kartor/A 31483-2021 karta.png", "A 31483-2021")</f>
        <v/>
      </c>
      <c r="V263">
        <f>HYPERLINK("https://klasma.github.io/Logging_1861/klagomål/A 31483-2021 FSC-klagomål.docx", "A 31483-2021")</f>
        <v/>
      </c>
      <c r="W263">
        <f>HYPERLINK("https://klasma.github.io/Logging_1861/klagomålsmail/A 31483-2021 FSC-klagomål mail.docx", "A 31483-2021")</f>
        <v/>
      </c>
      <c r="X263">
        <f>HYPERLINK("https://klasma.github.io/Logging_1861/tillsyn/A 31483-2021 tillsynsbegäran.docx", "A 31483-2021")</f>
        <v/>
      </c>
      <c r="Y263">
        <f>HYPERLINK("https://klasma.github.io/Logging_1861/tillsynsmail/A 31483-2021 tillsynsbegäran mail.docx", "A 31483-2021")</f>
        <v/>
      </c>
    </row>
    <row r="264" ht="15" customHeight="1">
      <c r="A264" t="inlineStr">
        <is>
          <t>A 46114-2021</t>
        </is>
      </c>
      <c r="B264" s="1" t="n">
        <v>44442.37515046296</v>
      </c>
      <c r="C264" s="1" t="n">
        <v>46132</v>
      </c>
      <c r="D264" t="inlineStr">
        <is>
          <t>ÖREBRO LÄN</t>
        </is>
      </c>
      <c r="E264" t="inlineStr">
        <is>
          <t>HÄLLEFORS</t>
        </is>
      </c>
      <c r="F264" t="inlineStr">
        <is>
          <t>Sveaskog</t>
        </is>
      </c>
      <c r="G264" t="n">
        <v>4.1</v>
      </c>
      <c r="H264" t="n">
        <v>0</v>
      </c>
      <c r="I264" t="n">
        <v>1</v>
      </c>
      <c r="J264" t="n">
        <v>0</v>
      </c>
      <c r="K264" t="n">
        <v>0</v>
      </c>
      <c r="L264" t="n">
        <v>0</v>
      </c>
      <c r="M264" t="n">
        <v>0</v>
      </c>
      <c r="N264" t="n">
        <v>0</v>
      </c>
      <c r="O264" t="n">
        <v>0</v>
      </c>
      <c r="P264" t="n">
        <v>0</v>
      </c>
      <c r="Q264" t="n">
        <v>1</v>
      </c>
      <c r="R264" s="2" t="inlineStr">
        <is>
          <t>Skuggblåslav</t>
        </is>
      </c>
      <c r="S264">
        <f>HYPERLINK("https://klasma.github.io/Logging_1863/artfynd/A 46114-2021 artfynd.xlsx", "A 46114-2021")</f>
        <v/>
      </c>
      <c r="T264">
        <f>HYPERLINK("https://klasma.github.io/Logging_1863/kartor/A 46114-2021 karta.png", "A 46114-2021")</f>
        <v/>
      </c>
      <c r="V264">
        <f>HYPERLINK("https://klasma.github.io/Logging_1863/klagomål/A 46114-2021 FSC-klagomål.docx", "A 46114-2021")</f>
        <v/>
      </c>
      <c r="W264">
        <f>HYPERLINK("https://klasma.github.io/Logging_1863/klagomålsmail/A 46114-2021 FSC-klagomål mail.docx", "A 46114-2021")</f>
        <v/>
      </c>
      <c r="X264">
        <f>HYPERLINK("https://klasma.github.io/Logging_1863/tillsyn/A 46114-2021 tillsynsbegäran.docx", "A 46114-2021")</f>
        <v/>
      </c>
      <c r="Y264">
        <f>HYPERLINK("https://klasma.github.io/Logging_1863/tillsynsmail/A 46114-2021 tillsynsbegäran mail.docx", "A 46114-2021")</f>
        <v/>
      </c>
    </row>
    <row r="265" ht="15" customHeight="1">
      <c r="A265" t="inlineStr">
        <is>
          <t>A 32713-2021</t>
        </is>
      </c>
      <c r="B265" s="1" t="n">
        <v>44375</v>
      </c>
      <c r="C265" s="1" t="n">
        <v>46132</v>
      </c>
      <c r="D265" t="inlineStr">
        <is>
          <t>ÖREBRO LÄN</t>
        </is>
      </c>
      <c r="E265" t="inlineStr">
        <is>
          <t>LINDESBERG</t>
        </is>
      </c>
      <c r="F265" t="inlineStr">
        <is>
          <t>Kommuner</t>
        </is>
      </c>
      <c r="G265" t="n">
        <v>3.9</v>
      </c>
      <c r="H265" t="n">
        <v>0</v>
      </c>
      <c r="I265" t="n">
        <v>0</v>
      </c>
      <c r="J265" t="n">
        <v>0</v>
      </c>
      <c r="K265" t="n">
        <v>0</v>
      </c>
      <c r="L265" t="n">
        <v>1</v>
      </c>
      <c r="M265" t="n">
        <v>0</v>
      </c>
      <c r="N265" t="n">
        <v>0</v>
      </c>
      <c r="O265" t="n">
        <v>1</v>
      </c>
      <c r="P265" t="n">
        <v>1</v>
      </c>
      <c r="Q265" t="n">
        <v>1</v>
      </c>
      <c r="R265" s="2" t="inlineStr">
        <is>
          <t>Ask</t>
        </is>
      </c>
      <c r="S265">
        <f>HYPERLINK("https://klasma.github.io/Logging_1885/artfynd/A 32713-2021 artfynd.xlsx", "A 32713-2021")</f>
        <v/>
      </c>
      <c r="T265">
        <f>HYPERLINK("https://klasma.github.io/Logging_1885/kartor/A 32713-2021 karta.png", "A 32713-2021")</f>
        <v/>
      </c>
      <c r="V265">
        <f>HYPERLINK("https://klasma.github.io/Logging_1885/klagomål/A 32713-2021 FSC-klagomål.docx", "A 32713-2021")</f>
        <v/>
      </c>
      <c r="W265">
        <f>HYPERLINK("https://klasma.github.io/Logging_1885/klagomålsmail/A 32713-2021 FSC-klagomål mail.docx", "A 32713-2021")</f>
        <v/>
      </c>
      <c r="X265">
        <f>HYPERLINK("https://klasma.github.io/Logging_1885/tillsyn/A 32713-2021 tillsynsbegäran.docx", "A 32713-2021")</f>
        <v/>
      </c>
      <c r="Y265">
        <f>HYPERLINK("https://klasma.github.io/Logging_1885/tillsynsmail/A 32713-2021 tillsynsbegäran mail.docx", "A 32713-2021")</f>
        <v/>
      </c>
    </row>
    <row r="266" ht="15" customHeight="1">
      <c r="A266" t="inlineStr">
        <is>
          <t>A 39540-2022</t>
        </is>
      </c>
      <c r="B266" s="1" t="n">
        <v>44818</v>
      </c>
      <c r="C266" s="1" t="n">
        <v>46132</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29704-2022</t>
        </is>
      </c>
      <c r="B267" s="1" t="n">
        <v>44755</v>
      </c>
      <c r="C267" s="1" t="n">
        <v>46132</v>
      </c>
      <c r="D267" t="inlineStr">
        <is>
          <t>ÖREBRO LÄN</t>
        </is>
      </c>
      <c r="E267" t="inlineStr">
        <is>
          <t>ÖREBRO</t>
        </is>
      </c>
      <c r="F267" t="inlineStr">
        <is>
          <t>Kommuner</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HYPERLINK("https://klasma.github.io/Logging_1880/artfynd/A 29704-2022 artfynd.xlsx", "A 29704-2022")</f>
        <v/>
      </c>
      <c r="T267">
        <f>HYPERLINK("https://klasma.github.io/Logging_1880/kartor/A 29704-2022 karta.png", "A 29704-2022")</f>
        <v/>
      </c>
      <c r="V267">
        <f>HYPERLINK("https://klasma.github.io/Logging_1880/klagomål/A 29704-2022 FSC-klagomål.docx", "A 29704-2022")</f>
        <v/>
      </c>
      <c r="W267">
        <f>HYPERLINK("https://klasma.github.io/Logging_1880/klagomålsmail/A 29704-2022 FSC-klagomål mail.docx", "A 29704-2022")</f>
        <v/>
      </c>
      <c r="X267">
        <f>HYPERLINK("https://klasma.github.io/Logging_1880/tillsyn/A 29704-2022 tillsynsbegäran.docx", "A 29704-2022")</f>
        <v/>
      </c>
      <c r="Y267">
        <f>HYPERLINK("https://klasma.github.io/Logging_1880/tillsynsmail/A 29704-2022 tillsynsbegäran mail.docx", "A 29704-2022")</f>
        <v/>
      </c>
    </row>
    <row r="268" ht="15" customHeight="1">
      <c r="A268" t="inlineStr">
        <is>
          <t>A 64874-2021</t>
        </is>
      </c>
      <c r="B268" s="1" t="n">
        <v>44512</v>
      </c>
      <c r="C268" s="1" t="n">
        <v>46132</v>
      </c>
      <c r="D268" t="inlineStr">
        <is>
          <t>ÖREBRO LÄN</t>
        </is>
      </c>
      <c r="E268" t="inlineStr">
        <is>
          <t>LINDESBERG</t>
        </is>
      </c>
      <c r="G268" t="n">
        <v>5.4</v>
      </c>
      <c r="H268" t="n">
        <v>1</v>
      </c>
      <c r="I268" t="n">
        <v>0</v>
      </c>
      <c r="J268" t="n">
        <v>0</v>
      </c>
      <c r="K268" t="n">
        <v>1</v>
      </c>
      <c r="L268" t="n">
        <v>0</v>
      </c>
      <c r="M268" t="n">
        <v>0</v>
      </c>
      <c r="N268" t="n">
        <v>0</v>
      </c>
      <c r="O268" t="n">
        <v>1</v>
      </c>
      <c r="P268" t="n">
        <v>1</v>
      </c>
      <c r="Q268" t="n">
        <v>1</v>
      </c>
      <c r="R268" s="2" t="inlineStr">
        <is>
          <t>Bombmurkla</t>
        </is>
      </c>
      <c r="S268">
        <f>HYPERLINK("https://klasma.github.io/Logging_1885/artfynd/A 64874-2021 artfynd.xlsx", "A 64874-2021")</f>
        <v/>
      </c>
      <c r="T268">
        <f>HYPERLINK("https://klasma.github.io/Logging_1885/kartor/A 64874-2021 karta.png", "A 64874-2021")</f>
        <v/>
      </c>
      <c r="V268">
        <f>HYPERLINK("https://klasma.github.io/Logging_1885/klagomål/A 64874-2021 FSC-klagomål.docx", "A 64874-2021")</f>
        <v/>
      </c>
      <c r="W268">
        <f>HYPERLINK("https://klasma.github.io/Logging_1885/klagomålsmail/A 64874-2021 FSC-klagomål mail.docx", "A 64874-2021")</f>
        <v/>
      </c>
      <c r="X268">
        <f>HYPERLINK("https://klasma.github.io/Logging_1885/tillsyn/A 64874-2021 tillsynsbegäran.docx", "A 64874-2021")</f>
        <v/>
      </c>
      <c r="Y268">
        <f>HYPERLINK("https://klasma.github.io/Logging_1885/tillsynsmail/A 64874-2021 tillsynsbegäran mail.docx", "A 64874-2021")</f>
        <v/>
      </c>
    </row>
    <row r="269" ht="15" customHeight="1">
      <c r="A269" t="inlineStr">
        <is>
          <t>A 49670-2022</t>
        </is>
      </c>
      <c r="B269" s="1" t="n">
        <v>44862.47282407407</v>
      </c>
      <c r="C269" s="1" t="n">
        <v>46132</v>
      </c>
      <c r="D269" t="inlineStr">
        <is>
          <t>ÖREBRO LÄN</t>
        </is>
      </c>
      <c r="E269" t="inlineStr">
        <is>
          <t>HALLSBERG</t>
        </is>
      </c>
      <c r="G269" t="n">
        <v>7.1</v>
      </c>
      <c r="H269" t="n">
        <v>1</v>
      </c>
      <c r="I269" t="n">
        <v>0</v>
      </c>
      <c r="J269" t="n">
        <v>0</v>
      </c>
      <c r="K269" t="n">
        <v>1</v>
      </c>
      <c r="L269" t="n">
        <v>0</v>
      </c>
      <c r="M269" t="n">
        <v>0</v>
      </c>
      <c r="N269" t="n">
        <v>0</v>
      </c>
      <c r="O269" t="n">
        <v>1</v>
      </c>
      <c r="P269" t="n">
        <v>1</v>
      </c>
      <c r="Q269" t="n">
        <v>1</v>
      </c>
      <c r="R269" s="2" t="inlineStr">
        <is>
          <t>Knärot</t>
        </is>
      </c>
      <c r="S269">
        <f>HYPERLINK("https://klasma.github.io/Logging_1861/artfynd/A 49670-2022 artfynd.xlsx", "A 49670-2022")</f>
        <v/>
      </c>
      <c r="T269">
        <f>HYPERLINK("https://klasma.github.io/Logging_1861/kartor/A 49670-2022 karta.png", "A 49670-2022")</f>
        <v/>
      </c>
      <c r="U269">
        <f>HYPERLINK("https://klasma.github.io/Logging_1861/knärot/A 49670-2022 karta knärot.png", "A 49670-2022")</f>
        <v/>
      </c>
      <c r="V269">
        <f>HYPERLINK("https://klasma.github.io/Logging_1861/klagomål/A 49670-2022 FSC-klagomål.docx", "A 49670-2022")</f>
        <v/>
      </c>
      <c r="W269">
        <f>HYPERLINK("https://klasma.github.io/Logging_1861/klagomålsmail/A 49670-2022 FSC-klagomål mail.docx", "A 49670-2022")</f>
        <v/>
      </c>
      <c r="X269">
        <f>HYPERLINK("https://klasma.github.io/Logging_1861/tillsyn/A 49670-2022 tillsynsbegäran.docx", "A 49670-2022")</f>
        <v/>
      </c>
      <c r="Y269">
        <f>HYPERLINK("https://klasma.github.io/Logging_1861/tillsynsmail/A 49670-2022 tillsynsbegäran mail.docx", "A 49670-2022")</f>
        <v/>
      </c>
    </row>
    <row r="270" ht="15" customHeight="1">
      <c r="A270" t="inlineStr">
        <is>
          <t>A 71826-2021</t>
        </is>
      </c>
      <c r="B270" s="1" t="n">
        <v>44543</v>
      </c>
      <c r="C270" s="1" t="n">
        <v>46132</v>
      </c>
      <c r="D270" t="inlineStr">
        <is>
          <t>ÖREBRO LÄN</t>
        </is>
      </c>
      <c r="E270" t="inlineStr">
        <is>
          <t>HÄLLEFORS</t>
        </is>
      </c>
      <c r="F270" t="inlineStr">
        <is>
          <t>Sveaskog</t>
        </is>
      </c>
      <c r="G270" t="n">
        <v>0.2</v>
      </c>
      <c r="H270" t="n">
        <v>1</v>
      </c>
      <c r="I270" t="n">
        <v>0</v>
      </c>
      <c r="J270" t="n">
        <v>0</v>
      </c>
      <c r="K270" t="n">
        <v>0</v>
      </c>
      <c r="L270" t="n">
        <v>0</v>
      </c>
      <c r="M270" t="n">
        <v>0</v>
      </c>
      <c r="N270" t="n">
        <v>0</v>
      </c>
      <c r="O270" t="n">
        <v>0</v>
      </c>
      <c r="P270" t="n">
        <v>0</v>
      </c>
      <c r="Q270" t="n">
        <v>1</v>
      </c>
      <c r="R270" s="2" t="inlineStr">
        <is>
          <t>Gullviva</t>
        </is>
      </c>
      <c r="S270">
        <f>HYPERLINK("https://klasma.github.io/Logging_1863/artfynd/A 71826-2021 artfynd.xlsx", "A 71826-2021")</f>
        <v/>
      </c>
      <c r="T270">
        <f>HYPERLINK("https://klasma.github.io/Logging_1863/kartor/A 71826-2021 karta.png", "A 71826-2021")</f>
        <v/>
      </c>
      <c r="V270">
        <f>HYPERLINK("https://klasma.github.io/Logging_1863/klagomål/A 71826-2021 FSC-klagomål.docx", "A 71826-2021")</f>
        <v/>
      </c>
      <c r="W270">
        <f>HYPERLINK("https://klasma.github.io/Logging_1863/klagomålsmail/A 71826-2021 FSC-klagomål mail.docx", "A 71826-2021")</f>
        <v/>
      </c>
      <c r="X270">
        <f>HYPERLINK("https://klasma.github.io/Logging_1863/tillsyn/A 71826-2021 tillsynsbegäran.docx", "A 71826-2021")</f>
        <v/>
      </c>
      <c r="Y270">
        <f>HYPERLINK("https://klasma.github.io/Logging_1863/tillsynsmail/A 71826-2021 tillsynsbegäran mail.docx", "A 71826-2021")</f>
        <v/>
      </c>
    </row>
    <row r="271" ht="15" customHeight="1">
      <c r="A271" t="inlineStr">
        <is>
          <t>A 27721-2021</t>
        </is>
      </c>
      <c r="B271" s="1" t="n">
        <v>44354</v>
      </c>
      <c r="C271" s="1" t="n">
        <v>46132</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22472-2022</t>
        </is>
      </c>
      <c r="B272" s="1" t="n">
        <v>44713.59363425926</v>
      </c>
      <c r="C272" s="1" t="n">
        <v>46132</v>
      </c>
      <c r="D272" t="inlineStr">
        <is>
          <t>ÖREBRO LÄN</t>
        </is>
      </c>
      <c r="E272" t="inlineStr">
        <is>
          <t>LINDESBERG</t>
        </is>
      </c>
      <c r="F272" t="inlineStr">
        <is>
          <t>Sveaskog</t>
        </is>
      </c>
      <c r="G272" t="n">
        <v>9.199999999999999</v>
      </c>
      <c r="H272" t="n">
        <v>1</v>
      </c>
      <c r="I272" t="n">
        <v>0</v>
      </c>
      <c r="J272" t="n">
        <v>0</v>
      </c>
      <c r="K272" t="n">
        <v>0</v>
      </c>
      <c r="L272" t="n">
        <v>0</v>
      </c>
      <c r="M272" t="n">
        <v>0</v>
      </c>
      <c r="N272" t="n">
        <v>0</v>
      </c>
      <c r="O272" t="n">
        <v>0</v>
      </c>
      <c r="P272" t="n">
        <v>0</v>
      </c>
      <c r="Q272" t="n">
        <v>1</v>
      </c>
      <c r="R272" s="2" t="inlineStr">
        <is>
          <t>Fläcknycklar</t>
        </is>
      </c>
      <c r="S272">
        <f>HYPERLINK("https://klasma.github.io/Logging_1885/artfynd/A 22472-2022 artfynd.xlsx", "A 22472-2022")</f>
        <v/>
      </c>
      <c r="T272">
        <f>HYPERLINK("https://klasma.github.io/Logging_1885/kartor/A 22472-2022 karta.png", "A 22472-2022")</f>
        <v/>
      </c>
      <c r="V272">
        <f>HYPERLINK("https://klasma.github.io/Logging_1885/klagomål/A 22472-2022 FSC-klagomål.docx", "A 22472-2022")</f>
        <v/>
      </c>
      <c r="W272">
        <f>HYPERLINK("https://klasma.github.io/Logging_1885/klagomålsmail/A 22472-2022 FSC-klagomål mail.docx", "A 22472-2022")</f>
        <v/>
      </c>
      <c r="X272">
        <f>HYPERLINK("https://klasma.github.io/Logging_1885/tillsyn/A 22472-2022 tillsynsbegäran.docx", "A 22472-2022")</f>
        <v/>
      </c>
      <c r="Y272">
        <f>HYPERLINK("https://klasma.github.io/Logging_1885/tillsynsmail/A 22472-2022 tillsynsbegäran mail.docx", "A 22472-2022")</f>
        <v/>
      </c>
    </row>
    <row r="273" ht="15" customHeight="1">
      <c r="A273" t="inlineStr">
        <is>
          <t>A 43742-2022</t>
        </is>
      </c>
      <c r="B273" s="1" t="n">
        <v>44837</v>
      </c>
      <c r="C273" s="1" t="n">
        <v>46132</v>
      </c>
      <c r="D273" t="inlineStr">
        <is>
          <t>ÖREBRO LÄN</t>
        </is>
      </c>
      <c r="E273" t="inlineStr">
        <is>
          <t>LAXÅ</t>
        </is>
      </c>
      <c r="G273" t="n">
        <v>16.8</v>
      </c>
      <c r="H273" t="n">
        <v>0</v>
      </c>
      <c r="I273" t="n">
        <v>0</v>
      </c>
      <c r="J273" t="n">
        <v>1</v>
      </c>
      <c r="K273" t="n">
        <v>0</v>
      </c>
      <c r="L273" t="n">
        <v>0</v>
      </c>
      <c r="M273" t="n">
        <v>0</v>
      </c>
      <c r="N273" t="n">
        <v>0</v>
      </c>
      <c r="O273" t="n">
        <v>1</v>
      </c>
      <c r="P273" t="n">
        <v>0</v>
      </c>
      <c r="Q273" t="n">
        <v>1</v>
      </c>
      <c r="R273" s="2" t="inlineStr">
        <is>
          <t>Violettkantad guldvinge</t>
        </is>
      </c>
      <c r="S273">
        <f>HYPERLINK("https://klasma.github.io/Logging_1860/artfynd/A 43742-2022 artfynd.xlsx", "A 43742-2022")</f>
        <v/>
      </c>
      <c r="T273">
        <f>HYPERLINK("https://klasma.github.io/Logging_1860/kartor/A 43742-2022 karta.png", "A 43742-2022")</f>
        <v/>
      </c>
      <c r="V273">
        <f>HYPERLINK("https://klasma.github.io/Logging_1860/klagomål/A 43742-2022 FSC-klagomål.docx", "A 43742-2022")</f>
        <v/>
      </c>
      <c r="W273">
        <f>HYPERLINK("https://klasma.github.io/Logging_1860/klagomålsmail/A 43742-2022 FSC-klagomål mail.docx", "A 43742-2022")</f>
        <v/>
      </c>
      <c r="X273">
        <f>HYPERLINK("https://klasma.github.io/Logging_1860/tillsyn/A 43742-2022 tillsynsbegäran.docx", "A 43742-2022")</f>
        <v/>
      </c>
      <c r="Y273">
        <f>HYPERLINK("https://klasma.github.io/Logging_1860/tillsynsmail/A 43742-2022 tillsynsbegäran mail.docx", "A 43742-2022")</f>
        <v/>
      </c>
    </row>
    <row r="274" ht="15" customHeight="1">
      <c r="A274" t="inlineStr">
        <is>
          <t>A 54134-2021</t>
        </is>
      </c>
      <c r="B274" s="1" t="n">
        <v>44470</v>
      </c>
      <c r="C274" s="1" t="n">
        <v>46132</v>
      </c>
      <c r="D274" t="inlineStr">
        <is>
          <t>ÖREBRO LÄN</t>
        </is>
      </c>
      <c r="E274" t="inlineStr">
        <is>
          <t>DEGERFORS</t>
        </is>
      </c>
      <c r="F274" t="inlineStr">
        <is>
          <t>Sveaskog</t>
        </is>
      </c>
      <c r="G274" t="n">
        <v>2.3</v>
      </c>
      <c r="H274" t="n">
        <v>0</v>
      </c>
      <c r="I274" t="n">
        <v>0</v>
      </c>
      <c r="J274" t="n">
        <v>1</v>
      </c>
      <c r="K274" t="n">
        <v>0</v>
      </c>
      <c r="L274" t="n">
        <v>0</v>
      </c>
      <c r="M274" t="n">
        <v>0</v>
      </c>
      <c r="N274" t="n">
        <v>0</v>
      </c>
      <c r="O274" t="n">
        <v>1</v>
      </c>
      <c r="P274" t="n">
        <v>0</v>
      </c>
      <c r="Q274" t="n">
        <v>1</v>
      </c>
      <c r="R274" s="2" t="inlineStr">
        <is>
          <t>Vedtrappmossa</t>
        </is>
      </c>
      <c r="S274">
        <f>HYPERLINK("https://klasma.github.io/Logging_1862/artfynd/A 54134-2021 artfynd.xlsx", "A 54134-2021")</f>
        <v/>
      </c>
      <c r="T274">
        <f>HYPERLINK("https://klasma.github.io/Logging_1862/kartor/A 54134-2021 karta.png", "A 54134-2021")</f>
        <v/>
      </c>
      <c r="V274">
        <f>HYPERLINK("https://klasma.github.io/Logging_1862/klagomål/A 54134-2021 FSC-klagomål.docx", "A 54134-2021")</f>
        <v/>
      </c>
      <c r="W274">
        <f>HYPERLINK("https://klasma.github.io/Logging_1862/klagomålsmail/A 54134-2021 FSC-klagomål mail.docx", "A 54134-2021")</f>
        <v/>
      </c>
      <c r="X274">
        <f>HYPERLINK("https://klasma.github.io/Logging_1862/tillsyn/A 54134-2021 tillsynsbegäran.docx", "A 54134-2021")</f>
        <v/>
      </c>
      <c r="Y274">
        <f>HYPERLINK("https://klasma.github.io/Logging_1862/tillsynsmail/A 54134-2021 tillsynsbegäran mail.docx", "A 54134-2021")</f>
        <v/>
      </c>
    </row>
    <row r="275" ht="15" customHeight="1">
      <c r="A275" t="inlineStr">
        <is>
          <t>A 58132-2021</t>
        </is>
      </c>
      <c r="B275" s="1" t="n">
        <v>44487</v>
      </c>
      <c r="C275" s="1" t="n">
        <v>46132</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39575-2021</t>
        </is>
      </c>
      <c r="B276" s="1" t="n">
        <v>44416</v>
      </c>
      <c r="C276" s="1" t="n">
        <v>46132</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48684-2021</t>
        </is>
      </c>
      <c r="B277" s="1" t="n">
        <v>44452</v>
      </c>
      <c r="C277" s="1" t="n">
        <v>46132</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56068-2021</t>
        </is>
      </c>
      <c r="B278" s="1" t="n">
        <v>44477</v>
      </c>
      <c r="C278" s="1" t="n">
        <v>46132</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24567-2021</t>
        </is>
      </c>
      <c r="B279" s="1" t="n">
        <v>44339.70040509259</v>
      </c>
      <c r="C279" s="1" t="n">
        <v>46132</v>
      </c>
      <c r="D279" t="inlineStr">
        <is>
          <t>ÖREBRO LÄN</t>
        </is>
      </c>
      <c r="E279" t="inlineStr">
        <is>
          <t>NORA</t>
        </is>
      </c>
      <c r="G279" t="n">
        <v>3.1</v>
      </c>
      <c r="H279" t="n">
        <v>0</v>
      </c>
      <c r="I279" t="n">
        <v>1</v>
      </c>
      <c r="J279" t="n">
        <v>0</v>
      </c>
      <c r="K279" t="n">
        <v>0</v>
      </c>
      <c r="L279" t="n">
        <v>0</v>
      </c>
      <c r="M279" t="n">
        <v>0</v>
      </c>
      <c r="N279" t="n">
        <v>0</v>
      </c>
      <c r="O279" t="n">
        <v>0</v>
      </c>
      <c r="P279" t="n">
        <v>0</v>
      </c>
      <c r="Q279" t="n">
        <v>1</v>
      </c>
      <c r="R279" s="2" t="inlineStr">
        <is>
          <t>Thomsons trägnagare</t>
        </is>
      </c>
      <c r="S279">
        <f>HYPERLINK("https://klasma.github.io/Logging_1884/artfynd/A 24567-2021 artfynd.xlsx", "A 24567-2021")</f>
        <v/>
      </c>
      <c r="T279">
        <f>HYPERLINK("https://klasma.github.io/Logging_1884/kartor/A 24567-2021 karta.png", "A 24567-2021")</f>
        <v/>
      </c>
      <c r="V279">
        <f>HYPERLINK("https://klasma.github.io/Logging_1884/klagomål/A 24567-2021 FSC-klagomål.docx", "A 24567-2021")</f>
        <v/>
      </c>
      <c r="W279">
        <f>HYPERLINK("https://klasma.github.io/Logging_1884/klagomålsmail/A 24567-2021 FSC-klagomål mail.docx", "A 24567-2021")</f>
        <v/>
      </c>
      <c r="X279">
        <f>HYPERLINK("https://klasma.github.io/Logging_1884/tillsyn/A 24567-2021 tillsynsbegäran.docx", "A 24567-2021")</f>
        <v/>
      </c>
      <c r="Y279">
        <f>HYPERLINK("https://klasma.github.io/Logging_1884/tillsynsmail/A 24567-2021 tillsynsbegäran mail.docx", "A 24567-2021")</f>
        <v/>
      </c>
    </row>
    <row r="280" ht="15" customHeight="1">
      <c r="A280" t="inlineStr">
        <is>
          <t>A 21181-2021</t>
        </is>
      </c>
      <c r="B280" s="1" t="n">
        <v>44320</v>
      </c>
      <c r="C280" s="1" t="n">
        <v>46132</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26328-2021</t>
        </is>
      </c>
      <c r="B281" s="1" t="n">
        <v>44347</v>
      </c>
      <c r="C281" s="1" t="n">
        <v>46132</v>
      </c>
      <c r="D281" t="inlineStr">
        <is>
          <t>ÖREBRO LÄN</t>
        </is>
      </c>
      <c r="E281" t="inlineStr">
        <is>
          <t>NORA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HYPERLINK("https://klasma.github.io/Logging_1884/artfynd/A 26328-2021 artfynd.xlsx", "A 26328-2021")</f>
        <v/>
      </c>
      <c r="T281">
        <f>HYPERLINK("https://klasma.github.io/Logging_1884/kartor/A 26328-2021 karta.png", "A 26328-2021")</f>
        <v/>
      </c>
      <c r="V281">
        <f>HYPERLINK("https://klasma.github.io/Logging_1884/klagomål/A 26328-2021 FSC-klagomål.docx", "A 26328-2021")</f>
        <v/>
      </c>
      <c r="W281">
        <f>HYPERLINK("https://klasma.github.io/Logging_1884/klagomålsmail/A 26328-2021 FSC-klagomål mail.docx", "A 26328-2021")</f>
        <v/>
      </c>
      <c r="X281">
        <f>HYPERLINK("https://klasma.github.io/Logging_1884/tillsyn/A 26328-2021 tillsynsbegäran.docx", "A 26328-2021")</f>
        <v/>
      </c>
      <c r="Y281">
        <f>HYPERLINK("https://klasma.github.io/Logging_1884/tillsynsmail/A 26328-2021 tillsynsbegäran mail.docx", "A 26328-2021")</f>
        <v/>
      </c>
    </row>
    <row r="282" ht="15" customHeight="1">
      <c r="A282" t="inlineStr">
        <is>
          <t>A 66339-2021</t>
        </is>
      </c>
      <c r="B282" s="1" t="n">
        <v>44518</v>
      </c>
      <c r="C282" s="1" t="n">
        <v>46132</v>
      </c>
      <c r="D282" t="inlineStr">
        <is>
          <t>ÖREBRO LÄN</t>
        </is>
      </c>
      <c r="E282" t="inlineStr">
        <is>
          <t>ASKERSUND</t>
        </is>
      </c>
      <c r="G282" t="n">
        <v>2.5</v>
      </c>
      <c r="H282" t="n">
        <v>0</v>
      </c>
      <c r="I282" t="n">
        <v>0</v>
      </c>
      <c r="J282" t="n">
        <v>1</v>
      </c>
      <c r="K282" t="n">
        <v>0</v>
      </c>
      <c r="L282" t="n">
        <v>0</v>
      </c>
      <c r="M282" t="n">
        <v>0</v>
      </c>
      <c r="N282" t="n">
        <v>0</v>
      </c>
      <c r="O282" t="n">
        <v>1</v>
      </c>
      <c r="P282" t="n">
        <v>0</v>
      </c>
      <c r="Q282" t="n">
        <v>1</v>
      </c>
      <c r="R282" s="2" t="inlineStr">
        <is>
          <t>Gransotdyna</t>
        </is>
      </c>
      <c r="S282">
        <f>HYPERLINK("https://klasma.github.io/Logging_1882/artfynd/A 66339-2021 artfynd.xlsx", "A 66339-2021")</f>
        <v/>
      </c>
      <c r="T282">
        <f>HYPERLINK("https://klasma.github.io/Logging_1882/kartor/A 66339-2021 karta.png", "A 66339-2021")</f>
        <v/>
      </c>
      <c r="V282">
        <f>HYPERLINK("https://klasma.github.io/Logging_1882/klagomål/A 66339-2021 FSC-klagomål.docx", "A 66339-2021")</f>
        <v/>
      </c>
      <c r="W282">
        <f>HYPERLINK("https://klasma.github.io/Logging_1882/klagomålsmail/A 66339-2021 FSC-klagomål mail.docx", "A 66339-2021")</f>
        <v/>
      </c>
      <c r="X282">
        <f>HYPERLINK("https://klasma.github.io/Logging_1882/tillsyn/A 66339-2021 tillsynsbegäran.docx", "A 66339-2021")</f>
        <v/>
      </c>
      <c r="Y282">
        <f>HYPERLINK("https://klasma.github.io/Logging_1882/tillsynsmail/A 66339-2021 tillsynsbegäran mail.docx", "A 66339-2021")</f>
        <v/>
      </c>
    </row>
    <row r="283" ht="15" customHeight="1">
      <c r="A283" t="inlineStr">
        <is>
          <t>A 47569-2022</t>
        </is>
      </c>
      <c r="B283" s="1" t="n">
        <v>44853</v>
      </c>
      <c r="C283" s="1" t="n">
        <v>46132</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17563-2022</t>
        </is>
      </c>
      <c r="B284" s="1" t="n">
        <v>44679</v>
      </c>
      <c r="C284" s="1" t="n">
        <v>46132</v>
      </c>
      <c r="D284" t="inlineStr">
        <is>
          <t>ÖREBRO LÄN</t>
        </is>
      </c>
      <c r="E284" t="inlineStr">
        <is>
          <t>LINDESBERG</t>
        </is>
      </c>
      <c r="G284" t="n">
        <v>1.4</v>
      </c>
      <c r="H284" t="n">
        <v>1</v>
      </c>
      <c r="I284" t="n">
        <v>0</v>
      </c>
      <c r="J284" t="n">
        <v>1</v>
      </c>
      <c r="K284" t="n">
        <v>0</v>
      </c>
      <c r="L284" t="n">
        <v>0</v>
      </c>
      <c r="M284" t="n">
        <v>0</v>
      </c>
      <c r="N284" t="n">
        <v>0</v>
      </c>
      <c r="O284" t="n">
        <v>1</v>
      </c>
      <c r="P284" t="n">
        <v>0</v>
      </c>
      <c r="Q284" t="n">
        <v>1</v>
      </c>
      <c r="R284" s="2" t="inlineStr">
        <is>
          <t>Fjällvråk</t>
        </is>
      </c>
      <c r="S284">
        <f>HYPERLINK("https://klasma.github.io/Logging_1885/artfynd/A 17563-2022 artfynd.xlsx", "A 17563-2022")</f>
        <v/>
      </c>
      <c r="T284">
        <f>HYPERLINK("https://klasma.github.io/Logging_1885/kartor/A 17563-2022 karta.png", "A 17563-2022")</f>
        <v/>
      </c>
      <c r="V284">
        <f>HYPERLINK("https://klasma.github.io/Logging_1885/klagomål/A 17563-2022 FSC-klagomål.docx", "A 17563-2022")</f>
        <v/>
      </c>
      <c r="W284">
        <f>HYPERLINK("https://klasma.github.io/Logging_1885/klagomålsmail/A 17563-2022 FSC-klagomål mail.docx", "A 17563-2022")</f>
        <v/>
      </c>
      <c r="X284">
        <f>HYPERLINK("https://klasma.github.io/Logging_1885/tillsyn/A 17563-2022 tillsynsbegäran.docx", "A 17563-2022")</f>
        <v/>
      </c>
      <c r="Y284">
        <f>HYPERLINK("https://klasma.github.io/Logging_1885/tillsynsmail/A 17563-2022 tillsynsbegäran mail.docx", "A 17563-2022")</f>
        <v/>
      </c>
      <c r="Z284">
        <f>HYPERLINK("https://klasma.github.io/Logging_1885/fåglar/A 17563-2022 prioriterade fågelarter.docx", "A 17563-2022")</f>
        <v/>
      </c>
    </row>
    <row r="285" ht="15" customHeight="1">
      <c r="A285" t="inlineStr">
        <is>
          <t>A 63535-2021</t>
        </is>
      </c>
      <c r="B285" s="1" t="n">
        <v>44508</v>
      </c>
      <c r="C285" s="1" t="n">
        <v>46132</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Humlerotfjäril</t>
        </is>
      </c>
      <c r="S285">
        <f>HYPERLINK("https://klasma.github.io/Logging_1882/artfynd/A 63535-2021 artfynd.xlsx", "A 63535-2021")</f>
        <v/>
      </c>
      <c r="T285">
        <f>HYPERLINK("https://klasma.github.io/Logging_1882/kartor/A 63535-2021 karta.png", "A 63535-2021")</f>
        <v/>
      </c>
      <c r="V285">
        <f>HYPERLINK("https://klasma.github.io/Logging_1882/klagomål/A 63535-2021 FSC-klagomål.docx", "A 63535-2021")</f>
        <v/>
      </c>
      <c r="W285">
        <f>HYPERLINK("https://klasma.github.io/Logging_1882/klagomålsmail/A 63535-2021 FSC-klagomål mail.docx", "A 63535-2021")</f>
        <v/>
      </c>
      <c r="X285">
        <f>HYPERLINK("https://klasma.github.io/Logging_1882/tillsyn/A 63535-2021 tillsynsbegäran.docx", "A 63535-2021")</f>
        <v/>
      </c>
      <c r="Y285">
        <f>HYPERLINK("https://klasma.github.io/Logging_1882/tillsynsmail/A 63535-2021 tillsynsbegäran mail.docx", "A 63535-2021")</f>
        <v/>
      </c>
    </row>
    <row r="286" ht="15" customHeight="1">
      <c r="A286" t="inlineStr">
        <is>
          <t>A 6192-2025</t>
        </is>
      </c>
      <c r="B286" s="1" t="n">
        <v>45698.46697916667</v>
      </c>
      <c r="C286" s="1" t="n">
        <v>46132</v>
      </c>
      <c r="D286" t="inlineStr">
        <is>
          <t>ÖREBRO LÄN</t>
        </is>
      </c>
      <c r="E286" t="inlineStr">
        <is>
          <t>LINDESBERG</t>
        </is>
      </c>
      <c r="F286" t="inlineStr">
        <is>
          <t>BillerudKorsnäs AB</t>
        </is>
      </c>
      <c r="G286" t="n">
        <v>1.8</v>
      </c>
      <c r="H286" t="n">
        <v>1</v>
      </c>
      <c r="I286" t="n">
        <v>0</v>
      </c>
      <c r="J286" t="n">
        <v>0</v>
      </c>
      <c r="K286" t="n">
        <v>0</v>
      </c>
      <c r="L286" t="n">
        <v>0</v>
      </c>
      <c r="M286" t="n">
        <v>0</v>
      </c>
      <c r="N286" t="n">
        <v>0</v>
      </c>
      <c r="O286" t="n">
        <v>0</v>
      </c>
      <c r="P286" t="n">
        <v>0</v>
      </c>
      <c r="Q286" t="n">
        <v>1</v>
      </c>
      <c r="R286" s="2" t="inlineStr">
        <is>
          <t>Blåsippa</t>
        </is>
      </c>
      <c r="S286">
        <f>HYPERLINK("https://klasma.github.io/Logging_1885/artfynd/A 6192-2025 artfynd.xlsx", "A 6192-2025")</f>
        <v/>
      </c>
      <c r="T286">
        <f>HYPERLINK("https://klasma.github.io/Logging_1885/kartor/A 6192-2025 karta.png", "A 6192-2025")</f>
        <v/>
      </c>
      <c r="V286">
        <f>HYPERLINK("https://klasma.github.io/Logging_1885/klagomål/A 6192-2025 FSC-klagomål.docx", "A 6192-2025")</f>
        <v/>
      </c>
      <c r="W286">
        <f>HYPERLINK("https://klasma.github.io/Logging_1885/klagomålsmail/A 6192-2025 FSC-klagomål mail.docx", "A 6192-2025")</f>
        <v/>
      </c>
      <c r="X286">
        <f>HYPERLINK("https://klasma.github.io/Logging_1885/tillsyn/A 6192-2025 tillsynsbegäran.docx", "A 6192-2025")</f>
        <v/>
      </c>
      <c r="Y286">
        <f>HYPERLINK("https://klasma.github.io/Logging_1885/tillsynsmail/A 6192-2025 tillsynsbegäran mail.docx", "A 6192-2025")</f>
        <v/>
      </c>
    </row>
    <row r="287" ht="15" customHeight="1">
      <c r="A287" t="inlineStr">
        <is>
          <t>A 21440-2025</t>
        </is>
      </c>
      <c r="B287" s="1" t="n">
        <v>45782.5300462963</v>
      </c>
      <c r="C287" s="1" t="n">
        <v>46132</v>
      </c>
      <c r="D287" t="inlineStr">
        <is>
          <t>ÖREBRO LÄN</t>
        </is>
      </c>
      <c r="E287" t="inlineStr">
        <is>
          <t>LINDESBERG</t>
        </is>
      </c>
      <c r="F287" t="inlineStr">
        <is>
          <t>Sveaskog</t>
        </is>
      </c>
      <c r="G287" t="n">
        <v>1.3</v>
      </c>
      <c r="H287" t="n">
        <v>0</v>
      </c>
      <c r="I287" t="n">
        <v>0</v>
      </c>
      <c r="J287" t="n">
        <v>1</v>
      </c>
      <c r="K287" t="n">
        <v>0</v>
      </c>
      <c r="L287" t="n">
        <v>0</v>
      </c>
      <c r="M287" t="n">
        <v>0</v>
      </c>
      <c r="N287" t="n">
        <v>0</v>
      </c>
      <c r="O287" t="n">
        <v>1</v>
      </c>
      <c r="P287" t="n">
        <v>0</v>
      </c>
      <c r="Q287" t="n">
        <v>1</v>
      </c>
      <c r="R287" s="2" t="inlineStr">
        <is>
          <t>Motaggsvamp</t>
        </is>
      </c>
      <c r="S287">
        <f>HYPERLINK("https://klasma.github.io/Logging_1885/artfynd/A 21440-2025 artfynd.xlsx", "A 21440-2025")</f>
        <v/>
      </c>
      <c r="T287">
        <f>HYPERLINK("https://klasma.github.io/Logging_1885/kartor/A 21440-2025 karta.png", "A 21440-2025")</f>
        <v/>
      </c>
      <c r="V287">
        <f>HYPERLINK("https://klasma.github.io/Logging_1885/klagomål/A 21440-2025 FSC-klagomål.docx", "A 21440-2025")</f>
        <v/>
      </c>
      <c r="W287">
        <f>HYPERLINK("https://klasma.github.io/Logging_1885/klagomålsmail/A 21440-2025 FSC-klagomål mail.docx", "A 21440-2025")</f>
        <v/>
      </c>
      <c r="X287">
        <f>HYPERLINK("https://klasma.github.io/Logging_1885/tillsyn/A 21440-2025 tillsynsbegäran.docx", "A 21440-2025")</f>
        <v/>
      </c>
      <c r="Y287">
        <f>HYPERLINK("https://klasma.github.io/Logging_1885/tillsynsmail/A 21440-2025 tillsynsbegäran mail.docx", "A 21440-2025")</f>
        <v/>
      </c>
    </row>
    <row r="288" ht="15" customHeight="1">
      <c r="A288" t="inlineStr">
        <is>
          <t>A 14306-2025</t>
        </is>
      </c>
      <c r="B288" s="1" t="n">
        <v>45740.70622685185</v>
      </c>
      <c r="C288" s="1" t="n">
        <v>46132</v>
      </c>
      <c r="D288" t="inlineStr">
        <is>
          <t>ÖREBRO LÄN</t>
        </is>
      </c>
      <c r="E288" t="inlineStr">
        <is>
          <t>NORA</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HYPERLINK("https://klasma.github.io/Logging_1884/artfynd/A 14306-2025 artfynd.xlsx", "A 14306-2025")</f>
        <v/>
      </c>
      <c r="T288">
        <f>HYPERLINK("https://klasma.github.io/Logging_1884/kartor/A 14306-2025 karta.png", "A 14306-2025")</f>
        <v/>
      </c>
      <c r="V288">
        <f>HYPERLINK("https://klasma.github.io/Logging_1884/klagomål/A 14306-2025 FSC-klagomål.docx", "A 14306-2025")</f>
        <v/>
      </c>
      <c r="W288">
        <f>HYPERLINK("https://klasma.github.io/Logging_1884/klagomålsmail/A 14306-2025 FSC-klagomål mail.docx", "A 14306-2025")</f>
        <v/>
      </c>
      <c r="X288">
        <f>HYPERLINK("https://klasma.github.io/Logging_1884/tillsyn/A 14306-2025 tillsynsbegäran.docx", "A 14306-2025")</f>
        <v/>
      </c>
      <c r="Y288">
        <f>HYPERLINK("https://klasma.github.io/Logging_1884/tillsynsmail/A 14306-2025 tillsynsbegäran mail.docx", "A 14306-2025")</f>
        <v/>
      </c>
      <c r="Z288">
        <f>HYPERLINK("https://klasma.github.io/Logging_1884/fåglar/A 14306-2025 prioriterade fågelarter.docx", "A 14306-2025")</f>
        <v/>
      </c>
    </row>
    <row r="289" ht="15" customHeight="1">
      <c r="A289" t="inlineStr">
        <is>
          <t>A 58206-2023</t>
        </is>
      </c>
      <c r="B289" s="1" t="n">
        <v>45250</v>
      </c>
      <c r="C289" s="1" t="n">
        <v>46132</v>
      </c>
      <c r="D289" t="inlineStr">
        <is>
          <t>ÖREBRO LÄN</t>
        </is>
      </c>
      <c r="E289" t="inlineStr">
        <is>
          <t>LINDESBERG</t>
        </is>
      </c>
      <c r="F289" t="inlineStr">
        <is>
          <t>Sveaskog</t>
        </is>
      </c>
      <c r="G289" t="n">
        <v>1.4</v>
      </c>
      <c r="H289" t="n">
        <v>1</v>
      </c>
      <c r="I289" t="n">
        <v>0</v>
      </c>
      <c r="J289" t="n">
        <v>0</v>
      </c>
      <c r="K289" t="n">
        <v>0</v>
      </c>
      <c r="L289" t="n">
        <v>0</v>
      </c>
      <c r="M289" t="n">
        <v>0</v>
      </c>
      <c r="N289" t="n">
        <v>0</v>
      </c>
      <c r="O289" t="n">
        <v>0</v>
      </c>
      <c r="P289" t="n">
        <v>0</v>
      </c>
      <c r="Q289" t="n">
        <v>1</v>
      </c>
      <c r="R289" s="2" t="inlineStr">
        <is>
          <t>Fläcknycklar</t>
        </is>
      </c>
      <c r="S289">
        <f>HYPERLINK("https://klasma.github.io/Logging_1885/artfynd/A 58206-2023 artfynd.xlsx", "A 58206-2023")</f>
        <v/>
      </c>
      <c r="T289">
        <f>HYPERLINK("https://klasma.github.io/Logging_1885/kartor/A 58206-2023 karta.png", "A 58206-2023")</f>
        <v/>
      </c>
      <c r="V289">
        <f>HYPERLINK("https://klasma.github.io/Logging_1885/klagomål/A 58206-2023 FSC-klagomål.docx", "A 58206-2023")</f>
        <v/>
      </c>
      <c r="W289">
        <f>HYPERLINK("https://klasma.github.io/Logging_1885/klagomålsmail/A 58206-2023 FSC-klagomål mail.docx", "A 58206-2023")</f>
        <v/>
      </c>
      <c r="X289">
        <f>HYPERLINK("https://klasma.github.io/Logging_1885/tillsyn/A 58206-2023 tillsynsbegäran.docx", "A 58206-2023")</f>
        <v/>
      </c>
      <c r="Y289">
        <f>HYPERLINK("https://klasma.github.io/Logging_1885/tillsynsmail/A 58206-2023 tillsynsbegäran mail.docx", "A 58206-2023")</f>
        <v/>
      </c>
    </row>
    <row r="290" ht="15" customHeight="1">
      <c r="A290" t="inlineStr">
        <is>
          <t>A 21779-2025</t>
        </is>
      </c>
      <c r="B290" s="1" t="n">
        <v>45783.66537037037</v>
      </c>
      <c r="C290" s="1" t="n">
        <v>46132</v>
      </c>
      <c r="D290" t="inlineStr">
        <is>
          <t>ÖREBRO LÄN</t>
        </is>
      </c>
      <c r="E290" t="inlineStr">
        <is>
          <t>LINDESBERG</t>
        </is>
      </c>
      <c r="G290" t="n">
        <v>8.5</v>
      </c>
      <c r="H290" t="n">
        <v>1</v>
      </c>
      <c r="I290" t="n">
        <v>0</v>
      </c>
      <c r="J290" t="n">
        <v>0</v>
      </c>
      <c r="K290" t="n">
        <v>0</v>
      </c>
      <c r="L290" t="n">
        <v>0</v>
      </c>
      <c r="M290" t="n">
        <v>0</v>
      </c>
      <c r="N290" t="n">
        <v>0</v>
      </c>
      <c r="O290" t="n">
        <v>0</v>
      </c>
      <c r="P290" t="n">
        <v>0</v>
      </c>
      <c r="Q290" t="n">
        <v>1</v>
      </c>
      <c r="R290" s="2" t="inlineStr">
        <is>
          <t>Mindre vattensalamander</t>
        </is>
      </c>
      <c r="S290">
        <f>HYPERLINK("https://klasma.github.io/Logging_1885/artfynd/A 21779-2025 artfynd.xlsx", "A 21779-2025")</f>
        <v/>
      </c>
      <c r="T290">
        <f>HYPERLINK("https://klasma.github.io/Logging_1885/kartor/A 21779-2025 karta.png", "A 21779-2025")</f>
        <v/>
      </c>
      <c r="V290">
        <f>HYPERLINK("https://klasma.github.io/Logging_1885/klagomål/A 21779-2025 FSC-klagomål.docx", "A 21779-2025")</f>
        <v/>
      </c>
      <c r="W290">
        <f>HYPERLINK("https://klasma.github.io/Logging_1885/klagomålsmail/A 21779-2025 FSC-klagomål mail.docx", "A 21779-2025")</f>
        <v/>
      </c>
      <c r="X290">
        <f>HYPERLINK("https://klasma.github.io/Logging_1885/tillsyn/A 21779-2025 tillsynsbegäran.docx", "A 21779-2025")</f>
        <v/>
      </c>
      <c r="Y290">
        <f>HYPERLINK("https://klasma.github.io/Logging_1885/tillsynsmail/A 21779-2025 tillsynsbegäran mail.docx", "A 21779-2025")</f>
        <v/>
      </c>
    </row>
    <row r="291" ht="15" customHeight="1">
      <c r="A291" t="inlineStr">
        <is>
          <t>A 43332-2022</t>
        </is>
      </c>
      <c r="B291" s="1" t="n">
        <v>44834</v>
      </c>
      <c r="C291" s="1" t="n">
        <v>46132</v>
      </c>
      <c r="D291" t="inlineStr">
        <is>
          <t>ÖREBRO LÄN</t>
        </is>
      </c>
      <c r="E291" t="inlineStr">
        <is>
          <t>ÖREBRO</t>
        </is>
      </c>
      <c r="G291" t="n">
        <v>2.3</v>
      </c>
      <c r="H291" t="n">
        <v>1</v>
      </c>
      <c r="I291" t="n">
        <v>0</v>
      </c>
      <c r="J291" t="n">
        <v>1</v>
      </c>
      <c r="K291" t="n">
        <v>0</v>
      </c>
      <c r="L291" t="n">
        <v>0</v>
      </c>
      <c r="M291" t="n">
        <v>0</v>
      </c>
      <c r="N291" t="n">
        <v>0</v>
      </c>
      <c r="O291" t="n">
        <v>1</v>
      </c>
      <c r="P291" t="n">
        <v>0</v>
      </c>
      <c r="Q291" t="n">
        <v>1</v>
      </c>
      <c r="R291" s="2" t="inlineStr">
        <is>
          <t>Spillkråka</t>
        </is>
      </c>
      <c r="S291">
        <f>HYPERLINK("https://klasma.github.io/Logging_1880/artfynd/A 43332-2022 artfynd.xlsx", "A 43332-2022")</f>
        <v/>
      </c>
      <c r="T291">
        <f>HYPERLINK("https://klasma.github.io/Logging_1880/kartor/A 43332-2022 karta.png", "A 43332-2022")</f>
        <v/>
      </c>
      <c r="V291">
        <f>HYPERLINK("https://klasma.github.io/Logging_1880/klagomål/A 43332-2022 FSC-klagomål.docx", "A 43332-2022")</f>
        <v/>
      </c>
      <c r="W291">
        <f>HYPERLINK("https://klasma.github.io/Logging_1880/klagomålsmail/A 43332-2022 FSC-klagomål mail.docx", "A 43332-2022")</f>
        <v/>
      </c>
      <c r="X291">
        <f>HYPERLINK("https://klasma.github.io/Logging_1880/tillsyn/A 43332-2022 tillsynsbegäran.docx", "A 43332-2022")</f>
        <v/>
      </c>
      <c r="Y291">
        <f>HYPERLINK("https://klasma.github.io/Logging_1880/tillsynsmail/A 43332-2022 tillsynsbegäran mail.docx", "A 43332-2022")</f>
        <v/>
      </c>
      <c r="Z291">
        <f>HYPERLINK("https://klasma.github.io/Logging_1880/fåglar/A 43332-2022 prioriterade fågelarter.docx", "A 43332-2022")</f>
        <v/>
      </c>
    </row>
    <row r="292" ht="15" customHeight="1">
      <c r="A292" t="inlineStr">
        <is>
          <t>A 2357-2022</t>
        </is>
      </c>
      <c r="B292" s="1" t="n">
        <v>44578</v>
      </c>
      <c r="C292" s="1" t="n">
        <v>46132</v>
      </c>
      <c r="D292" t="inlineStr">
        <is>
          <t>ÖREBRO LÄN</t>
        </is>
      </c>
      <c r="E292" t="inlineStr">
        <is>
          <t>DEGERFORS</t>
        </is>
      </c>
      <c r="G292" t="n">
        <v>4.5</v>
      </c>
      <c r="H292" t="n">
        <v>1</v>
      </c>
      <c r="I292" t="n">
        <v>0</v>
      </c>
      <c r="J292" t="n">
        <v>1</v>
      </c>
      <c r="K292" t="n">
        <v>0</v>
      </c>
      <c r="L292" t="n">
        <v>0</v>
      </c>
      <c r="M292" t="n">
        <v>0</v>
      </c>
      <c r="N292" t="n">
        <v>0</v>
      </c>
      <c r="O292" t="n">
        <v>1</v>
      </c>
      <c r="P292" t="n">
        <v>0</v>
      </c>
      <c r="Q292" t="n">
        <v>1</v>
      </c>
      <c r="R292" s="2" t="inlineStr">
        <is>
          <t>Spillkråka</t>
        </is>
      </c>
      <c r="S292">
        <f>HYPERLINK("https://klasma.github.io/Logging_1862/artfynd/A 2357-2022 artfynd.xlsx", "A 2357-2022")</f>
        <v/>
      </c>
      <c r="T292">
        <f>HYPERLINK("https://klasma.github.io/Logging_1862/kartor/A 2357-2022 karta.png", "A 2357-2022")</f>
        <v/>
      </c>
      <c r="V292">
        <f>HYPERLINK("https://klasma.github.io/Logging_1862/klagomål/A 2357-2022 FSC-klagomål.docx", "A 2357-2022")</f>
        <v/>
      </c>
      <c r="W292">
        <f>HYPERLINK("https://klasma.github.io/Logging_1862/klagomålsmail/A 2357-2022 FSC-klagomål mail.docx", "A 2357-2022")</f>
        <v/>
      </c>
      <c r="X292">
        <f>HYPERLINK("https://klasma.github.io/Logging_1862/tillsyn/A 2357-2022 tillsynsbegäran.docx", "A 2357-2022")</f>
        <v/>
      </c>
      <c r="Y292">
        <f>HYPERLINK("https://klasma.github.io/Logging_1862/tillsynsmail/A 2357-2022 tillsynsbegäran mail.docx", "A 2357-2022")</f>
        <v/>
      </c>
      <c r="Z292">
        <f>HYPERLINK("https://klasma.github.io/Logging_1862/fåglar/A 2357-2022 prioriterade fågelarter.docx", "A 2357-2022")</f>
        <v/>
      </c>
    </row>
    <row r="293" ht="15" customHeight="1">
      <c r="A293" t="inlineStr">
        <is>
          <t>A 16923-2025</t>
        </is>
      </c>
      <c r="B293" s="1" t="n">
        <v>45755.38237268518</v>
      </c>
      <c r="C293" s="1" t="n">
        <v>46132</v>
      </c>
      <c r="D293" t="inlineStr">
        <is>
          <t>ÖREBRO LÄN</t>
        </is>
      </c>
      <c r="E293" t="inlineStr">
        <is>
          <t>HÄLLEFORS</t>
        </is>
      </c>
      <c r="F293" t="inlineStr">
        <is>
          <t>Bergvik skog väst AB</t>
        </is>
      </c>
      <c r="G293" t="n">
        <v>3.5</v>
      </c>
      <c r="H293" t="n">
        <v>1</v>
      </c>
      <c r="I293" t="n">
        <v>0</v>
      </c>
      <c r="J293" t="n">
        <v>1</v>
      </c>
      <c r="K293" t="n">
        <v>0</v>
      </c>
      <c r="L293" t="n">
        <v>0</v>
      </c>
      <c r="M293" t="n">
        <v>0</v>
      </c>
      <c r="N293" t="n">
        <v>0</v>
      </c>
      <c r="O293" t="n">
        <v>1</v>
      </c>
      <c r="P293" t="n">
        <v>0</v>
      </c>
      <c r="Q293" t="n">
        <v>1</v>
      </c>
      <c r="R293" s="2" t="inlineStr">
        <is>
          <t>Strandlummer</t>
        </is>
      </c>
      <c r="S293">
        <f>HYPERLINK("https://klasma.github.io/Logging_1863/artfynd/A 16923-2025 artfynd.xlsx", "A 16923-2025")</f>
        <v/>
      </c>
      <c r="T293">
        <f>HYPERLINK("https://klasma.github.io/Logging_1863/kartor/A 16923-2025 karta.png", "A 16923-2025")</f>
        <v/>
      </c>
      <c r="V293">
        <f>HYPERLINK("https://klasma.github.io/Logging_1863/klagomål/A 16923-2025 FSC-klagomål.docx", "A 16923-2025")</f>
        <v/>
      </c>
      <c r="W293">
        <f>HYPERLINK("https://klasma.github.io/Logging_1863/klagomålsmail/A 16923-2025 FSC-klagomål mail.docx", "A 16923-2025")</f>
        <v/>
      </c>
      <c r="X293">
        <f>HYPERLINK("https://klasma.github.io/Logging_1863/tillsyn/A 16923-2025 tillsynsbegäran.docx", "A 16923-2025")</f>
        <v/>
      </c>
      <c r="Y293">
        <f>HYPERLINK("https://klasma.github.io/Logging_1863/tillsynsmail/A 16923-2025 tillsynsbegäran mail.docx", "A 16923-2025")</f>
        <v/>
      </c>
    </row>
    <row r="294" ht="15" customHeight="1">
      <c r="A294" t="inlineStr">
        <is>
          <t>A 52105-2025</t>
        </is>
      </c>
      <c r="B294" s="1" t="n">
        <v>45952.68596064814</v>
      </c>
      <c r="C294" s="1" t="n">
        <v>46132</v>
      </c>
      <c r="D294" t="inlineStr">
        <is>
          <t>ÖREBRO LÄN</t>
        </is>
      </c>
      <c r="E294" t="inlineStr">
        <is>
          <t>LINDESBERG</t>
        </is>
      </c>
      <c r="F294" t="inlineStr">
        <is>
          <t>Sveaskog</t>
        </is>
      </c>
      <c r="G294" t="n">
        <v>3.8</v>
      </c>
      <c r="H294" t="n">
        <v>1</v>
      </c>
      <c r="I294" t="n">
        <v>0</v>
      </c>
      <c r="J294" t="n">
        <v>0</v>
      </c>
      <c r="K294" t="n">
        <v>0</v>
      </c>
      <c r="L294" t="n">
        <v>0</v>
      </c>
      <c r="M294" t="n">
        <v>0</v>
      </c>
      <c r="N294" t="n">
        <v>0</v>
      </c>
      <c r="O294" t="n">
        <v>0</v>
      </c>
      <c r="P294" t="n">
        <v>0</v>
      </c>
      <c r="Q294" t="n">
        <v>1</v>
      </c>
      <c r="R294" s="2" t="inlineStr">
        <is>
          <t>Revlummer</t>
        </is>
      </c>
      <c r="S294">
        <f>HYPERLINK("https://klasma.github.io/Logging_1885/artfynd/A 52105-2025 artfynd.xlsx", "A 52105-2025")</f>
        <v/>
      </c>
      <c r="T294">
        <f>HYPERLINK("https://klasma.github.io/Logging_1885/kartor/A 52105-2025 karta.png", "A 52105-2025")</f>
        <v/>
      </c>
      <c r="V294">
        <f>HYPERLINK("https://klasma.github.io/Logging_1885/klagomål/A 52105-2025 FSC-klagomål.docx", "A 52105-2025")</f>
        <v/>
      </c>
      <c r="W294">
        <f>HYPERLINK("https://klasma.github.io/Logging_1885/klagomålsmail/A 52105-2025 FSC-klagomål mail.docx", "A 52105-2025")</f>
        <v/>
      </c>
      <c r="X294">
        <f>HYPERLINK("https://klasma.github.io/Logging_1885/tillsyn/A 52105-2025 tillsynsbegäran.docx", "A 52105-2025")</f>
        <v/>
      </c>
      <c r="Y294">
        <f>HYPERLINK("https://klasma.github.io/Logging_1885/tillsynsmail/A 52105-2025 tillsynsbegäran mail.docx", "A 52105-2025")</f>
        <v/>
      </c>
    </row>
    <row r="295" ht="15" customHeight="1">
      <c r="A295" t="inlineStr">
        <is>
          <t>A 42636-2023</t>
        </is>
      </c>
      <c r="B295" s="1" t="n">
        <v>45181.49559027778</v>
      </c>
      <c r="C295" s="1" t="n">
        <v>46132</v>
      </c>
      <c r="D295" t="inlineStr">
        <is>
          <t>ÖREBRO LÄN</t>
        </is>
      </c>
      <c r="E295" t="inlineStr">
        <is>
          <t>ÖREBRO</t>
        </is>
      </c>
      <c r="G295" t="n">
        <v>1.7</v>
      </c>
      <c r="H295" t="n">
        <v>0</v>
      </c>
      <c r="I295" t="n">
        <v>0</v>
      </c>
      <c r="J295" t="n">
        <v>1</v>
      </c>
      <c r="K295" t="n">
        <v>0</v>
      </c>
      <c r="L295" t="n">
        <v>0</v>
      </c>
      <c r="M295" t="n">
        <v>0</v>
      </c>
      <c r="N295" t="n">
        <v>0</v>
      </c>
      <c r="O295" t="n">
        <v>1</v>
      </c>
      <c r="P295" t="n">
        <v>0</v>
      </c>
      <c r="Q295" t="n">
        <v>1</v>
      </c>
      <c r="R295" s="2" t="inlineStr">
        <is>
          <t>Igelkott</t>
        </is>
      </c>
      <c r="S295">
        <f>HYPERLINK("https://klasma.github.io/Logging_1880/artfynd/A 42636-2023 artfynd.xlsx", "A 42636-2023")</f>
        <v/>
      </c>
      <c r="T295">
        <f>HYPERLINK("https://klasma.github.io/Logging_1880/kartor/A 42636-2023 karta.png", "A 42636-2023")</f>
        <v/>
      </c>
      <c r="V295">
        <f>HYPERLINK("https://klasma.github.io/Logging_1880/klagomål/A 42636-2023 FSC-klagomål.docx", "A 42636-2023")</f>
        <v/>
      </c>
      <c r="W295">
        <f>HYPERLINK("https://klasma.github.io/Logging_1880/klagomålsmail/A 42636-2023 FSC-klagomål mail.docx", "A 42636-2023")</f>
        <v/>
      </c>
      <c r="X295">
        <f>HYPERLINK("https://klasma.github.io/Logging_1880/tillsyn/A 42636-2023 tillsynsbegäran.docx", "A 42636-2023")</f>
        <v/>
      </c>
      <c r="Y295">
        <f>HYPERLINK("https://klasma.github.io/Logging_1880/tillsynsmail/A 42636-2023 tillsynsbegäran mail.docx", "A 42636-2023")</f>
        <v/>
      </c>
    </row>
    <row r="296" ht="15" customHeight="1">
      <c r="A296" t="inlineStr">
        <is>
          <t>A 60949-2023</t>
        </is>
      </c>
      <c r="B296" s="1" t="n">
        <v>45259</v>
      </c>
      <c r="C296" s="1" t="n">
        <v>46132</v>
      </c>
      <c r="D296" t="inlineStr">
        <is>
          <t>ÖREBRO LÄN</t>
        </is>
      </c>
      <c r="E296" t="inlineStr">
        <is>
          <t>LAXÅ</t>
        </is>
      </c>
      <c r="G296" t="n">
        <v>4.7</v>
      </c>
      <c r="H296" t="n">
        <v>1</v>
      </c>
      <c r="I296" t="n">
        <v>0</v>
      </c>
      <c r="J296" t="n">
        <v>0</v>
      </c>
      <c r="K296" t="n">
        <v>0</v>
      </c>
      <c r="L296" t="n">
        <v>0</v>
      </c>
      <c r="M296" t="n">
        <v>0</v>
      </c>
      <c r="N296" t="n">
        <v>0</v>
      </c>
      <c r="O296" t="n">
        <v>0</v>
      </c>
      <c r="P296" t="n">
        <v>0</v>
      </c>
      <c r="Q296" t="n">
        <v>1</v>
      </c>
      <c r="R296" s="2" t="inlineStr">
        <is>
          <t>Revlummer</t>
        </is>
      </c>
      <c r="S296">
        <f>HYPERLINK("https://klasma.github.io/Logging_1860/artfynd/A 60949-2023 artfynd.xlsx", "A 60949-2023")</f>
        <v/>
      </c>
      <c r="T296">
        <f>HYPERLINK("https://klasma.github.io/Logging_1860/kartor/A 60949-2023 karta.png", "A 60949-2023")</f>
        <v/>
      </c>
      <c r="V296">
        <f>HYPERLINK("https://klasma.github.io/Logging_1860/klagomål/A 60949-2023 FSC-klagomål.docx", "A 60949-2023")</f>
        <v/>
      </c>
      <c r="W296">
        <f>HYPERLINK("https://klasma.github.io/Logging_1860/klagomålsmail/A 60949-2023 FSC-klagomål mail.docx", "A 60949-2023")</f>
        <v/>
      </c>
      <c r="X296">
        <f>HYPERLINK("https://klasma.github.io/Logging_1860/tillsyn/A 60949-2023 tillsynsbegäran.docx", "A 60949-2023")</f>
        <v/>
      </c>
      <c r="Y296">
        <f>HYPERLINK("https://klasma.github.io/Logging_1860/tillsynsmail/A 60949-2023 tillsynsbegäran mail.docx", "A 60949-2023")</f>
        <v/>
      </c>
    </row>
    <row r="297" ht="15" customHeight="1">
      <c r="A297" t="inlineStr">
        <is>
          <t>A 53838-2024</t>
        </is>
      </c>
      <c r="B297" s="1" t="n">
        <v>45614</v>
      </c>
      <c r="C297" s="1" t="n">
        <v>46132</v>
      </c>
      <c r="D297" t="inlineStr">
        <is>
          <t>ÖREBRO LÄN</t>
        </is>
      </c>
      <c r="E297" t="inlineStr">
        <is>
          <t>DEGERFORS</t>
        </is>
      </c>
      <c r="G297" t="n">
        <v>4.3</v>
      </c>
      <c r="H297" t="n">
        <v>1</v>
      </c>
      <c r="I297" t="n">
        <v>0</v>
      </c>
      <c r="J297" t="n">
        <v>1</v>
      </c>
      <c r="K297" t="n">
        <v>0</v>
      </c>
      <c r="L297" t="n">
        <v>0</v>
      </c>
      <c r="M297" t="n">
        <v>0</v>
      </c>
      <c r="N297" t="n">
        <v>0</v>
      </c>
      <c r="O297" t="n">
        <v>1</v>
      </c>
      <c r="P297" t="n">
        <v>0</v>
      </c>
      <c r="Q297" t="n">
        <v>1</v>
      </c>
      <c r="R297" s="2" t="inlineStr">
        <is>
          <t>Spillkråka</t>
        </is>
      </c>
      <c r="S297">
        <f>HYPERLINK("https://klasma.github.io/Logging_1862/artfynd/A 53838-2024 artfynd.xlsx", "A 53838-2024")</f>
        <v/>
      </c>
      <c r="T297">
        <f>HYPERLINK("https://klasma.github.io/Logging_1862/kartor/A 53838-2024 karta.png", "A 53838-2024")</f>
        <v/>
      </c>
      <c r="V297">
        <f>HYPERLINK("https://klasma.github.io/Logging_1862/klagomål/A 53838-2024 FSC-klagomål.docx", "A 53838-2024")</f>
        <v/>
      </c>
      <c r="W297">
        <f>HYPERLINK("https://klasma.github.io/Logging_1862/klagomålsmail/A 53838-2024 FSC-klagomål mail.docx", "A 53838-2024")</f>
        <v/>
      </c>
      <c r="X297">
        <f>HYPERLINK("https://klasma.github.io/Logging_1862/tillsyn/A 53838-2024 tillsynsbegäran.docx", "A 53838-2024")</f>
        <v/>
      </c>
      <c r="Y297">
        <f>HYPERLINK("https://klasma.github.io/Logging_1862/tillsynsmail/A 53838-2024 tillsynsbegäran mail.docx", "A 53838-2024")</f>
        <v/>
      </c>
      <c r="Z297">
        <f>HYPERLINK("https://klasma.github.io/Logging_1862/fåglar/A 53838-2024 prioriterade fågelarter.docx", "A 53838-2024")</f>
        <v/>
      </c>
    </row>
    <row r="298" ht="15" customHeight="1">
      <c r="A298" t="inlineStr">
        <is>
          <t>A 14619-2024</t>
        </is>
      </c>
      <c r="B298" s="1" t="n">
        <v>45397.30905092593</v>
      </c>
      <c r="C298" s="1" t="n">
        <v>46132</v>
      </c>
      <c r="D298" t="inlineStr">
        <is>
          <t>ÖREBRO LÄN</t>
        </is>
      </c>
      <c r="E298" t="inlineStr">
        <is>
          <t>HALLSBERG</t>
        </is>
      </c>
      <c r="F298" t="inlineStr">
        <is>
          <t>Sveaskog</t>
        </is>
      </c>
      <c r="G298" t="n">
        <v>2.8</v>
      </c>
      <c r="H298" t="n">
        <v>1</v>
      </c>
      <c r="I298" t="n">
        <v>0</v>
      </c>
      <c r="J298" t="n">
        <v>1</v>
      </c>
      <c r="K298" t="n">
        <v>0</v>
      </c>
      <c r="L298" t="n">
        <v>0</v>
      </c>
      <c r="M298" t="n">
        <v>0</v>
      </c>
      <c r="N298" t="n">
        <v>0</v>
      </c>
      <c r="O298" t="n">
        <v>1</v>
      </c>
      <c r="P298" t="n">
        <v>0</v>
      </c>
      <c r="Q298" t="n">
        <v>1</v>
      </c>
      <c r="R298" s="2" t="inlineStr">
        <is>
          <t>Utter</t>
        </is>
      </c>
      <c r="S298">
        <f>HYPERLINK("https://klasma.github.io/Logging_1861/artfynd/A 14619-2024 artfynd.xlsx", "A 14619-2024")</f>
        <v/>
      </c>
      <c r="T298">
        <f>HYPERLINK("https://klasma.github.io/Logging_1861/kartor/A 14619-2024 karta.png", "A 14619-2024")</f>
        <v/>
      </c>
      <c r="V298">
        <f>HYPERLINK("https://klasma.github.io/Logging_1861/klagomål/A 14619-2024 FSC-klagomål.docx", "A 14619-2024")</f>
        <v/>
      </c>
      <c r="W298">
        <f>HYPERLINK("https://klasma.github.io/Logging_1861/klagomålsmail/A 14619-2024 FSC-klagomål mail.docx", "A 14619-2024")</f>
        <v/>
      </c>
      <c r="X298">
        <f>HYPERLINK("https://klasma.github.io/Logging_1861/tillsyn/A 14619-2024 tillsynsbegäran.docx", "A 14619-2024")</f>
        <v/>
      </c>
      <c r="Y298">
        <f>HYPERLINK("https://klasma.github.io/Logging_1861/tillsynsmail/A 14619-2024 tillsynsbegäran mail.docx", "A 14619-2024")</f>
        <v/>
      </c>
    </row>
    <row r="299" ht="15" customHeight="1">
      <c r="A299" t="inlineStr">
        <is>
          <t>A 51919-2025</t>
        </is>
      </c>
      <c r="B299" s="1" t="n">
        <v>45952.48162037037</v>
      </c>
      <c r="C299" s="1" t="n">
        <v>46132</v>
      </c>
      <c r="D299" t="inlineStr">
        <is>
          <t>ÖREBRO LÄN</t>
        </is>
      </c>
      <c r="E299" t="inlineStr">
        <is>
          <t>HALLSBERG</t>
        </is>
      </c>
      <c r="F299" t="inlineStr">
        <is>
          <t>Sveaskog</t>
        </is>
      </c>
      <c r="G299" t="n">
        <v>3.8</v>
      </c>
      <c r="H299" t="n">
        <v>1</v>
      </c>
      <c r="I299" t="n">
        <v>0</v>
      </c>
      <c r="J299" t="n">
        <v>0</v>
      </c>
      <c r="K299" t="n">
        <v>1</v>
      </c>
      <c r="L299" t="n">
        <v>0</v>
      </c>
      <c r="M299" t="n">
        <v>0</v>
      </c>
      <c r="N299" t="n">
        <v>0</v>
      </c>
      <c r="O299" t="n">
        <v>1</v>
      </c>
      <c r="P299" t="n">
        <v>1</v>
      </c>
      <c r="Q299" t="n">
        <v>1</v>
      </c>
      <c r="R299" s="2" t="inlineStr">
        <is>
          <t>Stor låsbräken</t>
        </is>
      </c>
      <c r="S299">
        <f>HYPERLINK("https://klasma.github.io/Logging_1861/artfynd/A 51919-2025 artfynd.xlsx", "A 51919-2025")</f>
        <v/>
      </c>
      <c r="T299">
        <f>HYPERLINK("https://klasma.github.io/Logging_1861/kartor/A 51919-2025 karta.png", "A 51919-2025")</f>
        <v/>
      </c>
      <c r="V299">
        <f>HYPERLINK("https://klasma.github.io/Logging_1861/klagomål/A 51919-2025 FSC-klagomål.docx", "A 51919-2025")</f>
        <v/>
      </c>
      <c r="W299">
        <f>HYPERLINK("https://klasma.github.io/Logging_1861/klagomålsmail/A 51919-2025 FSC-klagomål mail.docx", "A 51919-2025")</f>
        <v/>
      </c>
      <c r="X299">
        <f>HYPERLINK("https://klasma.github.io/Logging_1861/tillsyn/A 51919-2025 tillsynsbegäran.docx", "A 51919-2025")</f>
        <v/>
      </c>
      <c r="Y299">
        <f>HYPERLINK("https://klasma.github.io/Logging_1861/tillsynsmail/A 51919-2025 tillsynsbegäran mail.docx", "A 51919-2025")</f>
        <v/>
      </c>
    </row>
    <row r="300" ht="15" customHeight="1">
      <c r="A300" t="inlineStr">
        <is>
          <t>A 51922-2025</t>
        </is>
      </c>
      <c r="B300" s="1" t="n">
        <v>45952.48967592593</v>
      </c>
      <c r="C300" s="1" t="n">
        <v>46132</v>
      </c>
      <c r="D300" t="inlineStr">
        <is>
          <t>ÖREBRO LÄN</t>
        </is>
      </c>
      <c r="E300" t="inlineStr">
        <is>
          <t>HALLSBERG</t>
        </is>
      </c>
      <c r="F300" t="inlineStr">
        <is>
          <t>Sveaskog</t>
        </is>
      </c>
      <c r="G300" t="n">
        <v>2.1</v>
      </c>
      <c r="H300" t="n">
        <v>0</v>
      </c>
      <c r="I300" t="n">
        <v>0</v>
      </c>
      <c r="J300" t="n">
        <v>1</v>
      </c>
      <c r="K300" t="n">
        <v>0</v>
      </c>
      <c r="L300" t="n">
        <v>0</v>
      </c>
      <c r="M300" t="n">
        <v>0</v>
      </c>
      <c r="N300" t="n">
        <v>0</v>
      </c>
      <c r="O300" t="n">
        <v>1</v>
      </c>
      <c r="P300" t="n">
        <v>0</v>
      </c>
      <c r="Q300" t="n">
        <v>1</v>
      </c>
      <c r="R300" s="2" t="inlineStr">
        <is>
          <t>Grantaggsvamp</t>
        </is>
      </c>
      <c r="S300">
        <f>HYPERLINK("https://klasma.github.io/Logging_1861/artfynd/A 51922-2025 artfynd.xlsx", "A 51922-2025")</f>
        <v/>
      </c>
      <c r="T300">
        <f>HYPERLINK("https://klasma.github.io/Logging_1861/kartor/A 51922-2025 karta.png", "A 51922-2025")</f>
        <v/>
      </c>
      <c r="V300">
        <f>HYPERLINK("https://klasma.github.io/Logging_1861/klagomål/A 51922-2025 FSC-klagomål.docx", "A 51922-2025")</f>
        <v/>
      </c>
      <c r="W300">
        <f>HYPERLINK("https://klasma.github.io/Logging_1861/klagomålsmail/A 51922-2025 FSC-klagomål mail.docx", "A 51922-2025")</f>
        <v/>
      </c>
      <c r="X300">
        <f>HYPERLINK("https://klasma.github.io/Logging_1861/tillsyn/A 51922-2025 tillsynsbegäran.docx", "A 51922-2025")</f>
        <v/>
      </c>
      <c r="Y300">
        <f>HYPERLINK("https://klasma.github.io/Logging_1861/tillsynsmail/A 51922-2025 tillsynsbegäran mail.docx", "A 51922-2025")</f>
        <v/>
      </c>
    </row>
    <row r="301" ht="15" customHeight="1">
      <c r="A301" t="inlineStr">
        <is>
          <t>A 52337-2025</t>
        </is>
      </c>
      <c r="B301" s="1" t="n">
        <v>45953.69287037037</v>
      </c>
      <c r="C301" s="1" t="n">
        <v>46132</v>
      </c>
      <c r="D301" t="inlineStr">
        <is>
          <t>ÖREBRO LÄN</t>
        </is>
      </c>
      <c r="E301" t="inlineStr">
        <is>
          <t>LINDESBERG</t>
        </is>
      </c>
      <c r="F301" t="inlineStr">
        <is>
          <t>Sveaskog</t>
        </is>
      </c>
      <c r="G301" t="n">
        <v>3.3</v>
      </c>
      <c r="H301" t="n">
        <v>1</v>
      </c>
      <c r="I301" t="n">
        <v>0</v>
      </c>
      <c r="J301" t="n">
        <v>0</v>
      </c>
      <c r="K301" t="n">
        <v>0</v>
      </c>
      <c r="L301" t="n">
        <v>0</v>
      </c>
      <c r="M301" t="n">
        <v>0</v>
      </c>
      <c r="N301" t="n">
        <v>0</v>
      </c>
      <c r="O301" t="n">
        <v>0</v>
      </c>
      <c r="P301" t="n">
        <v>0</v>
      </c>
      <c r="Q301" t="n">
        <v>1</v>
      </c>
      <c r="R301" s="2" t="inlineStr">
        <is>
          <t>Fläcknycklar</t>
        </is>
      </c>
      <c r="S301">
        <f>HYPERLINK("https://klasma.github.io/Logging_1885/artfynd/A 52337-2025 artfynd.xlsx", "A 52337-2025")</f>
        <v/>
      </c>
      <c r="T301">
        <f>HYPERLINK("https://klasma.github.io/Logging_1885/kartor/A 52337-2025 karta.png", "A 52337-2025")</f>
        <v/>
      </c>
      <c r="V301">
        <f>HYPERLINK("https://klasma.github.io/Logging_1885/klagomål/A 52337-2025 FSC-klagomål.docx", "A 52337-2025")</f>
        <v/>
      </c>
      <c r="W301">
        <f>HYPERLINK("https://klasma.github.io/Logging_1885/klagomålsmail/A 52337-2025 FSC-klagomål mail.docx", "A 52337-2025")</f>
        <v/>
      </c>
      <c r="X301">
        <f>HYPERLINK("https://klasma.github.io/Logging_1885/tillsyn/A 52337-2025 tillsynsbegäran.docx", "A 52337-2025")</f>
        <v/>
      </c>
      <c r="Y301">
        <f>HYPERLINK("https://klasma.github.io/Logging_1885/tillsynsmail/A 52337-2025 tillsynsbegäran mail.docx", "A 52337-2025")</f>
        <v/>
      </c>
    </row>
    <row r="302" ht="15" customHeight="1">
      <c r="A302" t="inlineStr">
        <is>
          <t>A 55904-2024</t>
        </is>
      </c>
      <c r="B302" s="1" t="n">
        <v>45623.58190972222</v>
      </c>
      <c r="C302" s="1" t="n">
        <v>46132</v>
      </c>
      <c r="D302" t="inlineStr">
        <is>
          <t>ÖREBRO LÄN</t>
        </is>
      </c>
      <c r="E302" t="inlineStr">
        <is>
          <t>ÖREBRO</t>
        </is>
      </c>
      <c r="G302" t="n">
        <v>1.2</v>
      </c>
      <c r="H302" t="n">
        <v>1</v>
      </c>
      <c r="I302" t="n">
        <v>0</v>
      </c>
      <c r="J302" t="n">
        <v>0</v>
      </c>
      <c r="K302" t="n">
        <v>0</v>
      </c>
      <c r="L302" t="n">
        <v>0</v>
      </c>
      <c r="M302" t="n">
        <v>0</v>
      </c>
      <c r="N302" t="n">
        <v>0</v>
      </c>
      <c r="O302" t="n">
        <v>0</v>
      </c>
      <c r="P302" t="n">
        <v>0</v>
      </c>
      <c r="Q302" t="n">
        <v>1</v>
      </c>
      <c r="R302" s="2" t="inlineStr">
        <is>
          <t>Trana</t>
        </is>
      </c>
      <c r="S302">
        <f>HYPERLINK("https://klasma.github.io/Logging_1880/artfynd/A 55904-2024 artfynd.xlsx", "A 55904-2024")</f>
        <v/>
      </c>
      <c r="T302">
        <f>HYPERLINK("https://klasma.github.io/Logging_1880/kartor/A 55904-2024 karta.png", "A 55904-2024")</f>
        <v/>
      </c>
      <c r="V302">
        <f>HYPERLINK("https://klasma.github.io/Logging_1880/klagomål/A 55904-2024 FSC-klagomål.docx", "A 55904-2024")</f>
        <v/>
      </c>
      <c r="W302">
        <f>HYPERLINK("https://klasma.github.io/Logging_1880/klagomålsmail/A 55904-2024 FSC-klagomål mail.docx", "A 55904-2024")</f>
        <v/>
      </c>
      <c r="X302">
        <f>HYPERLINK("https://klasma.github.io/Logging_1880/tillsyn/A 55904-2024 tillsynsbegäran.docx", "A 55904-2024")</f>
        <v/>
      </c>
      <c r="Y302">
        <f>HYPERLINK("https://klasma.github.io/Logging_1880/tillsynsmail/A 55904-2024 tillsynsbegäran mail.docx", "A 55904-2024")</f>
        <v/>
      </c>
      <c r="Z302">
        <f>HYPERLINK("https://klasma.github.io/Logging_1880/fåglar/A 55904-2024 prioriterade fågelarter.docx", "A 55904-2024")</f>
        <v/>
      </c>
    </row>
    <row r="303" ht="15" customHeight="1">
      <c r="A303" t="inlineStr">
        <is>
          <t>A 421-2025</t>
        </is>
      </c>
      <c r="B303" s="1" t="n">
        <v>45663.949375</v>
      </c>
      <c r="C303" s="1" t="n">
        <v>46132</v>
      </c>
      <c r="D303" t="inlineStr">
        <is>
          <t>ÖREBRO LÄN</t>
        </is>
      </c>
      <c r="E303" t="inlineStr">
        <is>
          <t>HÄLLEFORS</t>
        </is>
      </c>
      <c r="F303" t="inlineStr">
        <is>
          <t>Bergvik skog väst AB</t>
        </is>
      </c>
      <c r="G303" t="n">
        <v>13.3</v>
      </c>
      <c r="H303" t="n">
        <v>0</v>
      </c>
      <c r="I303" t="n">
        <v>1</v>
      </c>
      <c r="J303" t="n">
        <v>0</v>
      </c>
      <c r="K303" t="n">
        <v>0</v>
      </c>
      <c r="L303" t="n">
        <v>0</v>
      </c>
      <c r="M303" t="n">
        <v>0</v>
      </c>
      <c r="N303" t="n">
        <v>0</v>
      </c>
      <c r="O303" t="n">
        <v>0</v>
      </c>
      <c r="P303" t="n">
        <v>0</v>
      </c>
      <c r="Q303" t="n">
        <v>1</v>
      </c>
      <c r="R303" s="2" t="inlineStr">
        <is>
          <t>Blek stjärnmossa</t>
        </is>
      </c>
      <c r="S303">
        <f>HYPERLINK("https://klasma.github.io/Logging_1863/artfynd/A 421-2025 artfynd.xlsx", "A 421-2025")</f>
        <v/>
      </c>
      <c r="T303">
        <f>HYPERLINK("https://klasma.github.io/Logging_1863/kartor/A 421-2025 karta.png", "A 421-2025")</f>
        <v/>
      </c>
      <c r="V303">
        <f>HYPERLINK("https://klasma.github.io/Logging_1863/klagomål/A 421-2025 FSC-klagomål.docx", "A 421-2025")</f>
        <v/>
      </c>
      <c r="W303">
        <f>HYPERLINK("https://klasma.github.io/Logging_1863/klagomålsmail/A 421-2025 FSC-klagomål mail.docx", "A 421-2025")</f>
        <v/>
      </c>
      <c r="X303">
        <f>HYPERLINK("https://klasma.github.io/Logging_1863/tillsyn/A 421-2025 tillsynsbegäran.docx", "A 421-2025")</f>
        <v/>
      </c>
      <c r="Y303">
        <f>HYPERLINK("https://klasma.github.io/Logging_1863/tillsynsmail/A 421-2025 tillsynsbegäran mail.docx", "A 421-2025")</f>
        <v/>
      </c>
    </row>
    <row r="304" ht="15" customHeight="1">
      <c r="A304" t="inlineStr">
        <is>
          <t>A 44891-2024</t>
        </is>
      </c>
      <c r="B304" s="1" t="n">
        <v>45575</v>
      </c>
      <c r="C304" s="1" t="n">
        <v>46132</v>
      </c>
      <c r="D304" t="inlineStr">
        <is>
          <t>ÖREBRO LÄN</t>
        </is>
      </c>
      <c r="E304" t="inlineStr">
        <is>
          <t>ASKERSUND</t>
        </is>
      </c>
      <c r="F304" t="inlineStr">
        <is>
          <t>Sveaskog</t>
        </is>
      </c>
      <c r="G304" t="n">
        <v>1.4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44891-2024 artfynd.xlsx", "A 44891-2024")</f>
        <v/>
      </c>
      <c r="T304">
        <f>HYPERLINK("https://klasma.github.io/Logging_1882/kartor/A 44891-2024 karta.png", "A 44891-2024")</f>
        <v/>
      </c>
      <c r="V304">
        <f>HYPERLINK("https://klasma.github.io/Logging_1882/klagomål/A 44891-2024 FSC-klagomål.docx", "A 44891-2024")</f>
        <v/>
      </c>
      <c r="W304">
        <f>HYPERLINK("https://klasma.github.io/Logging_1882/klagomålsmail/A 44891-2024 FSC-klagomål mail.docx", "A 44891-2024")</f>
        <v/>
      </c>
      <c r="X304">
        <f>HYPERLINK("https://klasma.github.io/Logging_1882/tillsyn/A 44891-2024 tillsynsbegäran.docx", "A 44891-2024")</f>
        <v/>
      </c>
      <c r="Y304">
        <f>HYPERLINK("https://klasma.github.io/Logging_1882/tillsynsmail/A 44891-2024 tillsynsbegäran mail.docx", "A 44891-2024")</f>
        <v/>
      </c>
    </row>
    <row r="305" ht="15" customHeight="1">
      <c r="A305" t="inlineStr">
        <is>
          <t>A 22805-2025</t>
        </is>
      </c>
      <c r="B305" s="1" t="n">
        <v>45789</v>
      </c>
      <c r="C305" s="1" t="n">
        <v>46132</v>
      </c>
      <c r="D305" t="inlineStr">
        <is>
          <t>ÖREBRO LÄN</t>
        </is>
      </c>
      <c r="E305" t="inlineStr">
        <is>
          <t>LEKEBERG</t>
        </is>
      </c>
      <c r="G305" t="n">
        <v>7.7</v>
      </c>
      <c r="H305" t="n">
        <v>1</v>
      </c>
      <c r="I305" t="n">
        <v>0</v>
      </c>
      <c r="J305" t="n">
        <v>1</v>
      </c>
      <c r="K305" t="n">
        <v>0</v>
      </c>
      <c r="L305" t="n">
        <v>0</v>
      </c>
      <c r="M305" t="n">
        <v>0</v>
      </c>
      <c r="N305" t="n">
        <v>0</v>
      </c>
      <c r="O305" t="n">
        <v>1</v>
      </c>
      <c r="P305" t="n">
        <v>0</v>
      </c>
      <c r="Q305" t="n">
        <v>1</v>
      </c>
      <c r="R305" s="2" t="inlineStr">
        <is>
          <t>Spillkråka</t>
        </is>
      </c>
      <c r="S305">
        <f>HYPERLINK("https://klasma.github.io/Logging_1814/artfynd/A 22805-2025 artfynd.xlsx", "A 22805-2025")</f>
        <v/>
      </c>
      <c r="T305">
        <f>HYPERLINK("https://klasma.github.io/Logging_1814/kartor/A 22805-2025 karta.png", "A 22805-2025")</f>
        <v/>
      </c>
      <c r="V305">
        <f>HYPERLINK("https://klasma.github.io/Logging_1814/klagomål/A 22805-2025 FSC-klagomål.docx", "A 22805-2025")</f>
        <v/>
      </c>
      <c r="W305">
        <f>HYPERLINK("https://klasma.github.io/Logging_1814/klagomålsmail/A 22805-2025 FSC-klagomål mail.docx", "A 22805-2025")</f>
        <v/>
      </c>
      <c r="X305">
        <f>HYPERLINK("https://klasma.github.io/Logging_1814/tillsyn/A 22805-2025 tillsynsbegäran.docx", "A 22805-2025")</f>
        <v/>
      </c>
      <c r="Y305">
        <f>HYPERLINK("https://klasma.github.io/Logging_1814/tillsynsmail/A 22805-2025 tillsynsbegäran mail.docx", "A 22805-2025")</f>
        <v/>
      </c>
      <c r="Z305">
        <f>HYPERLINK("https://klasma.github.io/Logging_1814/fåglar/A 22805-2025 prioriterade fågelarter.docx", "A 22805-2025")</f>
        <v/>
      </c>
    </row>
    <row r="306" ht="15" customHeight="1">
      <c r="A306" t="inlineStr">
        <is>
          <t>A 28566-2024</t>
        </is>
      </c>
      <c r="B306" s="1" t="n">
        <v>45478.38914351852</v>
      </c>
      <c r="C306" s="1" t="n">
        <v>46132</v>
      </c>
      <c r="D306" t="inlineStr">
        <is>
          <t>ÖREBRO LÄN</t>
        </is>
      </c>
      <c r="E306" t="inlineStr">
        <is>
          <t>KARLSKOGA</t>
        </is>
      </c>
      <c r="G306" t="n">
        <v>1</v>
      </c>
      <c r="H306" t="n">
        <v>1</v>
      </c>
      <c r="I306" t="n">
        <v>0</v>
      </c>
      <c r="J306" t="n">
        <v>1</v>
      </c>
      <c r="K306" t="n">
        <v>0</v>
      </c>
      <c r="L306" t="n">
        <v>0</v>
      </c>
      <c r="M306" t="n">
        <v>0</v>
      </c>
      <c r="N306" t="n">
        <v>0</v>
      </c>
      <c r="O306" t="n">
        <v>1</v>
      </c>
      <c r="P306" t="n">
        <v>0</v>
      </c>
      <c r="Q306" t="n">
        <v>1</v>
      </c>
      <c r="R306" s="2" t="inlineStr">
        <is>
          <t>Ärtsångare</t>
        </is>
      </c>
      <c r="S306">
        <f>HYPERLINK("https://klasma.github.io/Logging_1883/artfynd/A 28566-2024 artfynd.xlsx", "A 28566-2024")</f>
        <v/>
      </c>
      <c r="T306">
        <f>HYPERLINK("https://klasma.github.io/Logging_1883/kartor/A 28566-2024 karta.png", "A 28566-2024")</f>
        <v/>
      </c>
      <c r="V306">
        <f>HYPERLINK("https://klasma.github.io/Logging_1883/klagomål/A 28566-2024 FSC-klagomål.docx", "A 28566-2024")</f>
        <v/>
      </c>
      <c r="W306">
        <f>HYPERLINK("https://klasma.github.io/Logging_1883/klagomålsmail/A 28566-2024 FSC-klagomål mail.docx", "A 28566-2024")</f>
        <v/>
      </c>
      <c r="X306">
        <f>HYPERLINK("https://klasma.github.io/Logging_1883/tillsyn/A 28566-2024 tillsynsbegäran.docx", "A 28566-2024")</f>
        <v/>
      </c>
      <c r="Y306">
        <f>HYPERLINK("https://klasma.github.io/Logging_1883/tillsynsmail/A 28566-2024 tillsynsbegäran mail.docx", "A 28566-2024")</f>
        <v/>
      </c>
      <c r="Z306">
        <f>HYPERLINK("https://klasma.github.io/Logging_1883/fåglar/A 28566-2024 prioriterade fågelarter.docx", "A 28566-2024")</f>
        <v/>
      </c>
    </row>
    <row r="307" ht="15" customHeight="1">
      <c r="A307" t="inlineStr">
        <is>
          <t>A 44744-2024</t>
        </is>
      </c>
      <c r="B307" s="1" t="n">
        <v>45574.59789351852</v>
      </c>
      <c r="C307" s="1" t="n">
        <v>46132</v>
      </c>
      <c r="D307" t="inlineStr">
        <is>
          <t>ÖREBRO LÄN</t>
        </is>
      </c>
      <c r="E307" t="inlineStr">
        <is>
          <t>ÖREBRO</t>
        </is>
      </c>
      <c r="G307" t="n">
        <v>11.6</v>
      </c>
      <c r="H307" t="n">
        <v>1</v>
      </c>
      <c r="I307" t="n">
        <v>0</v>
      </c>
      <c r="J307" t="n">
        <v>0</v>
      </c>
      <c r="K307" t="n">
        <v>0</v>
      </c>
      <c r="L307" t="n">
        <v>0</v>
      </c>
      <c r="M307" t="n">
        <v>0</v>
      </c>
      <c r="N307" t="n">
        <v>0</v>
      </c>
      <c r="O307" t="n">
        <v>0</v>
      </c>
      <c r="P307" t="n">
        <v>0</v>
      </c>
      <c r="Q307" t="n">
        <v>1</v>
      </c>
      <c r="R307" s="2" t="inlineStr">
        <is>
          <t>Revlummer</t>
        </is>
      </c>
      <c r="S307">
        <f>HYPERLINK("https://klasma.github.io/Logging_1880/artfynd/A 44744-2024 artfynd.xlsx", "A 44744-2024")</f>
        <v/>
      </c>
      <c r="T307">
        <f>HYPERLINK("https://klasma.github.io/Logging_1880/kartor/A 44744-2024 karta.png", "A 44744-2024")</f>
        <v/>
      </c>
      <c r="V307">
        <f>HYPERLINK("https://klasma.github.io/Logging_1880/klagomål/A 44744-2024 FSC-klagomål.docx", "A 44744-2024")</f>
        <v/>
      </c>
      <c r="W307">
        <f>HYPERLINK("https://klasma.github.io/Logging_1880/klagomålsmail/A 44744-2024 FSC-klagomål mail.docx", "A 44744-2024")</f>
        <v/>
      </c>
      <c r="X307">
        <f>HYPERLINK("https://klasma.github.io/Logging_1880/tillsyn/A 44744-2024 tillsynsbegäran.docx", "A 44744-2024")</f>
        <v/>
      </c>
      <c r="Y307">
        <f>HYPERLINK("https://klasma.github.io/Logging_1880/tillsynsmail/A 44744-2024 tillsynsbegäran mail.docx", "A 44744-2024")</f>
        <v/>
      </c>
    </row>
    <row r="308" ht="15" customHeight="1">
      <c r="A308" t="inlineStr">
        <is>
          <t>A 23998-2025</t>
        </is>
      </c>
      <c r="B308" s="1" t="n">
        <v>45796.42209490741</v>
      </c>
      <c r="C308" s="1" t="n">
        <v>46132</v>
      </c>
      <c r="D308" t="inlineStr">
        <is>
          <t>ÖREBRO LÄN</t>
        </is>
      </c>
      <c r="E308" t="inlineStr">
        <is>
          <t>ÖREBRO</t>
        </is>
      </c>
      <c r="G308" t="n">
        <v>4.7</v>
      </c>
      <c r="H308" t="n">
        <v>0</v>
      </c>
      <c r="I308" t="n">
        <v>1</v>
      </c>
      <c r="J308" t="n">
        <v>0</v>
      </c>
      <c r="K308" t="n">
        <v>0</v>
      </c>
      <c r="L308" t="n">
        <v>0</v>
      </c>
      <c r="M308" t="n">
        <v>0</v>
      </c>
      <c r="N308" t="n">
        <v>0</v>
      </c>
      <c r="O308" t="n">
        <v>0</v>
      </c>
      <c r="P308" t="n">
        <v>0</v>
      </c>
      <c r="Q308" t="n">
        <v>1</v>
      </c>
      <c r="R308" s="2" t="inlineStr">
        <is>
          <t>Kambräken</t>
        </is>
      </c>
      <c r="S308">
        <f>HYPERLINK("https://klasma.github.io/Logging_1880/artfynd/A 23998-2025 artfynd.xlsx", "A 23998-2025")</f>
        <v/>
      </c>
      <c r="T308">
        <f>HYPERLINK("https://klasma.github.io/Logging_1880/kartor/A 23998-2025 karta.png", "A 23998-2025")</f>
        <v/>
      </c>
      <c r="V308">
        <f>HYPERLINK("https://klasma.github.io/Logging_1880/klagomål/A 23998-2025 FSC-klagomål.docx", "A 23998-2025")</f>
        <v/>
      </c>
      <c r="W308">
        <f>HYPERLINK("https://klasma.github.io/Logging_1880/klagomålsmail/A 23998-2025 FSC-klagomål mail.docx", "A 23998-2025")</f>
        <v/>
      </c>
      <c r="X308">
        <f>HYPERLINK("https://klasma.github.io/Logging_1880/tillsyn/A 23998-2025 tillsynsbegäran.docx", "A 23998-2025")</f>
        <v/>
      </c>
      <c r="Y308">
        <f>HYPERLINK("https://klasma.github.io/Logging_1880/tillsynsmail/A 23998-2025 tillsynsbegäran mail.docx", "A 23998-2025")</f>
        <v/>
      </c>
    </row>
    <row r="309" ht="15" customHeight="1">
      <c r="A309" t="inlineStr">
        <is>
          <t>A 14985-2024</t>
        </is>
      </c>
      <c r="B309" s="1" t="n">
        <v>45399.34171296296</v>
      </c>
      <c r="C309" s="1" t="n">
        <v>46132</v>
      </c>
      <c r="D309" t="inlineStr">
        <is>
          <t>ÖREBRO LÄN</t>
        </is>
      </c>
      <c r="E309" t="inlineStr">
        <is>
          <t>HÄLLEFORS</t>
        </is>
      </c>
      <c r="F309" t="inlineStr">
        <is>
          <t>Bergvik skog väst AB</t>
        </is>
      </c>
      <c r="G309" t="n">
        <v>6.8</v>
      </c>
      <c r="H309" t="n">
        <v>1</v>
      </c>
      <c r="I309" t="n">
        <v>0</v>
      </c>
      <c r="J309" t="n">
        <v>0</v>
      </c>
      <c r="K309" t="n">
        <v>0</v>
      </c>
      <c r="L309" t="n">
        <v>0</v>
      </c>
      <c r="M309" t="n">
        <v>0</v>
      </c>
      <c r="N309" t="n">
        <v>0</v>
      </c>
      <c r="O309" t="n">
        <v>0</v>
      </c>
      <c r="P309" t="n">
        <v>0</v>
      </c>
      <c r="Q309" t="n">
        <v>1</v>
      </c>
      <c r="R309" s="2" t="inlineStr">
        <is>
          <t>Mattlummer</t>
        </is>
      </c>
      <c r="S309">
        <f>HYPERLINK("https://klasma.github.io/Logging_1863/artfynd/A 14985-2024 artfynd.xlsx", "A 14985-2024")</f>
        <v/>
      </c>
      <c r="T309">
        <f>HYPERLINK("https://klasma.github.io/Logging_1863/kartor/A 14985-2024 karta.png", "A 14985-2024")</f>
        <v/>
      </c>
      <c r="V309">
        <f>HYPERLINK("https://klasma.github.io/Logging_1863/klagomål/A 14985-2024 FSC-klagomål.docx", "A 14985-2024")</f>
        <v/>
      </c>
      <c r="W309">
        <f>HYPERLINK("https://klasma.github.io/Logging_1863/klagomålsmail/A 14985-2024 FSC-klagomål mail.docx", "A 14985-2024")</f>
        <v/>
      </c>
      <c r="X309">
        <f>HYPERLINK("https://klasma.github.io/Logging_1863/tillsyn/A 14985-2024 tillsynsbegäran.docx", "A 14985-2024")</f>
        <v/>
      </c>
      <c r="Y309">
        <f>HYPERLINK("https://klasma.github.io/Logging_1863/tillsynsmail/A 14985-2024 tillsynsbegäran mail.docx", "A 14985-2024")</f>
        <v/>
      </c>
    </row>
    <row r="310" ht="15" customHeight="1">
      <c r="A310" t="inlineStr">
        <is>
          <t>A 40065-2025</t>
        </is>
      </c>
      <c r="B310" s="1" t="n">
        <v>45894.43561342593</v>
      </c>
      <c r="C310" s="1" t="n">
        <v>46132</v>
      </c>
      <c r="D310" t="inlineStr">
        <is>
          <t>ÖREBRO LÄN</t>
        </is>
      </c>
      <c r="E310" t="inlineStr">
        <is>
          <t>HALLSBERG</t>
        </is>
      </c>
      <c r="F310" t="inlineStr">
        <is>
          <t>Sveaskog</t>
        </is>
      </c>
      <c r="G310" t="n">
        <v>3.8</v>
      </c>
      <c r="H310" t="n">
        <v>1</v>
      </c>
      <c r="I310" t="n">
        <v>0</v>
      </c>
      <c r="J310" t="n">
        <v>0</v>
      </c>
      <c r="K310" t="n">
        <v>1</v>
      </c>
      <c r="L310" t="n">
        <v>0</v>
      </c>
      <c r="M310" t="n">
        <v>0</v>
      </c>
      <c r="N310" t="n">
        <v>0</v>
      </c>
      <c r="O310" t="n">
        <v>1</v>
      </c>
      <c r="P310" t="n">
        <v>1</v>
      </c>
      <c r="Q310" t="n">
        <v>1</v>
      </c>
      <c r="R310" s="2" t="inlineStr">
        <is>
          <t>Stor låsbräken</t>
        </is>
      </c>
      <c r="S310">
        <f>HYPERLINK("https://klasma.github.io/Logging_1861/artfynd/A 40065-2025 artfynd.xlsx", "A 40065-2025")</f>
        <v/>
      </c>
      <c r="T310">
        <f>HYPERLINK("https://klasma.github.io/Logging_1861/kartor/A 40065-2025 karta.png", "A 40065-2025")</f>
        <v/>
      </c>
      <c r="V310">
        <f>HYPERLINK("https://klasma.github.io/Logging_1861/klagomål/A 40065-2025 FSC-klagomål.docx", "A 40065-2025")</f>
        <v/>
      </c>
      <c r="W310">
        <f>HYPERLINK("https://klasma.github.io/Logging_1861/klagomålsmail/A 40065-2025 FSC-klagomål mail.docx", "A 40065-2025")</f>
        <v/>
      </c>
      <c r="X310">
        <f>HYPERLINK("https://klasma.github.io/Logging_1861/tillsyn/A 40065-2025 tillsynsbegäran.docx", "A 40065-2025")</f>
        <v/>
      </c>
      <c r="Y310">
        <f>HYPERLINK("https://klasma.github.io/Logging_1861/tillsynsmail/A 40065-2025 tillsynsbegäran mail.docx", "A 40065-2025")</f>
        <v/>
      </c>
    </row>
    <row r="311" ht="15" customHeight="1">
      <c r="A311" t="inlineStr">
        <is>
          <t>A 55749-2024</t>
        </is>
      </c>
      <c r="B311" s="1" t="n">
        <v>45623.32523148148</v>
      </c>
      <c r="C311" s="1" t="n">
        <v>46132</v>
      </c>
      <c r="D311" t="inlineStr">
        <is>
          <t>ÖREBRO LÄN</t>
        </is>
      </c>
      <c r="E311" t="inlineStr">
        <is>
          <t>HÄLLEFORS</t>
        </is>
      </c>
      <c r="F311" t="inlineStr">
        <is>
          <t>Bergvik skog väst AB</t>
        </is>
      </c>
      <c r="G311" t="n">
        <v>2.9</v>
      </c>
      <c r="H311" t="n">
        <v>0</v>
      </c>
      <c r="I311" t="n">
        <v>0</v>
      </c>
      <c r="J311" t="n">
        <v>1</v>
      </c>
      <c r="K311" t="n">
        <v>0</v>
      </c>
      <c r="L311" t="n">
        <v>0</v>
      </c>
      <c r="M311" t="n">
        <v>0</v>
      </c>
      <c r="N311" t="n">
        <v>0</v>
      </c>
      <c r="O311" t="n">
        <v>1</v>
      </c>
      <c r="P311" t="n">
        <v>0</v>
      </c>
      <c r="Q311" t="n">
        <v>1</v>
      </c>
      <c r="R311" s="2" t="inlineStr">
        <is>
          <t>Garnlav</t>
        </is>
      </c>
      <c r="S311">
        <f>HYPERLINK("https://klasma.github.io/Logging_1863/artfynd/A 55749-2024 artfynd.xlsx", "A 55749-2024")</f>
        <v/>
      </c>
      <c r="T311">
        <f>HYPERLINK("https://klasma.github.io/Logging_1863/kartor/A 55749-2024 karta.png", "A 55749-2024")</f>
        <v/>
      </c>
      <c r="V311">
        <f>HYPERLINK("https://klasma.github.io/Logging_1863/klagomål/A 55749-2024 FSC-klagomål.docx", "A 55749-2024")</f>
        <v/>
      </c>
      <c r="W311">
        <f>HYPERLINK("https://klasma.github.io/Logging_1863/klagomålsmail/A 55749-2024 FSC-klagomål mail.docx", "A 55749-2024")</f>
        <v/>
      </c>
      <c r="X311">
        <f>HYPERLINK("https://klasma.github.io/Logging_1863/tillsyn/A 55749-2024 tillsynsbegäran.docx", "A 55749-2024")</f>
        <v/>
      </c>
      <c r="Y311">
        <f>HYPERLINK("https://klasma.github.io/Logging_1863/tillsynsmail/A 55749-2024 tillsynsbegäran mail.docx", "A 55749-2024")</f>
        <v/>
      </c>
    </row>
    <row r="312" ht="15" customHeight="1">
      <c r="A312" t="inlineStr">
        <is>
          <t>A 40071-2025</t>
        </is>
      </c>
      <c r="B312" s="1" t="n">
        <v>45894.44199074074</v>
      </c>
      <c r="C312" s="1" t="n">
        <v>46132</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40071-2025 artfynd.xlsx", "A 40071-2025")</f>
        <v/>
      </c>
      <c r="T312">
        <f>HYPERLINK("https://klasma.github.io/Logging_1861/kartor/A 40071-2025 karta.png", "A 40071-2025")</f>
        <v/>
      </c>
      <c r="V312">
        <f>HYPERLINK("https://klasma.github.io/Logging_1861/klagomål/A 40071-2025 FSC-klagomål.docx", "A 40071-2025")</f>
        <v/>
      </c>
      <c r="W312">
        <f>HYPERLINK("https://klasma.github.io/Logging_1861/klagomålsmail/A 40071-2025 FSC-klagomål mail.docx", "A 40071-2025")</f>
        <v/>
      </c>
      <c r="X312">
        <f>HYPERLINK("https://klasma.github.io/Logging_1861/tillsyn/A 40071-2025 tillsynsbegäran.docx", "A 40071-2025")</f>
        <v/>
      </c>
      <c r="Y312">
        <f>HYPERLINK("https://klasma.github.io/Logging_1861/tillsynsmail/A 40071-2025 tillsynsbegäran mail.docx", "A 40071-2025")</f>
        <v/>
      </c>
    </row>
    <row r="313" ht="15" customHeight="1">
      <c r="A313" t="inlineStr">
        <is>
          <t>A 55115-2022</t>
        </is>
      </c>
      <c r="B313" s="1" t="n">
        <v>44886.64203703704</v>
      </c>
      <c r="C313" s="1" t="n">
        <v>46132</v>
      </c>
      <c r="D313" t="inlineStr">
        <is>
          <t>ÖREBRO LÄN</t>
        </is>
      </c>
      <c r="E313" t="inlineStr">
        <is>
          <t>HALLSBERG</t>
        </is>
      </c>
      <c r="F313" t="inlineStr">
        <is>
          <t>Sveaskog</t>
        </is>
      </c>
      <c r="G313" t="n">
        <v>2.4</v>
      </c>
      <c r="H313" t="n">
        <v>0</v>
      </c>
      <c r="I313" t="n">
        <v>1</v>
      </c>
      <c r="J313" t="n">
        <v>0</v>
      </c>
      <c r="K313" t="n">
        <v>0</v>
      </c>
      <c r="L313" t="n">
        <v>0</v>
      </c>
      <c r="M313" t="n">
        <v>0</v>
      </c>
      <c r="N313" t="n">
        <v>0</v>
      </c>
      <c r="O313" t="n">
        <v>0</v>
      </c>
      <c r="P313" t="n">
        <v>0</v>
      </c>
      <c r="Q313" t="n">
        <v>1</v>
      </c>
      <c r="R313" s="2" t="inlineStr">
        <is>
          <t>Blåmossa</t>
        </is>
      </c>
      <c r="S313">
        <f>HYPERLINK("https://klasma.github.io/Logging_1861/artfynd/A 55115-2022 artfynd.xlsx", "A 55115-2022")</f>
        <v/>
      </c>
      <c r="T313">
        <f>HYPERLINK("https://klasma.github.io/Logging_1861/kartor/A 55115-2022 karta.png", "A 55115-2022")</f>
        <v/>
      </c>
      <c r="V313">
        <f>HYPERLINK("https://klasma.github.io/Logging_1861/klagomål/A 55115-2022 FSC-klagomål.docx", "A 55115-2022")</f>
        <v/>
      </c>
      <c r="W313">
        <f>HYPERLINK("https://klasma.github.io/Logging_1861/klagomålsmail/A 55115-2022 FSC-klagomål mail.docx", "A 55115-2022")</f>
        <v/>
      </c>
      <c r="X313">
        <f>HYPERLINK("https://klasma.github.io/Logging_1861/tillsyn/A 55115-2022 tillsynsbegäran.docx", "A 55115-2022")</f>
        <v/>
      </c>
      <c r="Y313">
        <f>HYPERLINK("https://klasma.github.io/Logging_1861/tillsynsmail/A 55115-2022 tillsynsbegäran mail.docx", "A 55115-2022")</f>
        <v/>
      </c>
    </row>
    <row r="314" ht="15" customHeight="1">
      <c r="A314" t="inlineStr">
        <is>
          <t>A 7069-2024</t>
        </is>
      </c>
      <c r="B314" s="1" t="n">
        <v>45343.68663194445</v>
      </c>
      <c r="C314" s="1" t="n">
        <v>46132</v>
      </c>
      <c r="D314" t="inlineStr">
        <is>
          <t>ÖREBRO LÄN</t>
        </is>
      </c>
      <c r="E314" t="inlineStr">
        <is>
          <t>ASKERSUND</t>
        </is>
      </c>
      <c r="G314" t="n">
        <v>1.9</v>
      </c>
      <c r="H314" t="n">
        <v>1</v>
      </c>
      <c r="I314" t="n">
        <v>0</v>
      </c>
      <c r="J314" t="n">
        <v>0</v>
      </c>
      <c r="K314" t="n">
        <v>0</v>
      </c>
      <c r="L314" t="n">
        <v>0</v>
      </c>
      <c r="M314" t="n">
        <v>0</v>
      </c>
      <c r="N314" t="n">
        <v>0</v>
      </c>
      <c r="O314" t="n">
        <v>0</v>
      </c>
      <c r="P314" t="n">
        <v>0</v>
      </c>
      <c r="Q314" t="n">
        <v>1</v>
      </c>
      <c r="R314" s="2" t="inlineStr">
        <is>
          <t>Nattviol</t>
        </is>
      </c>
      <c r="S314">
        <f>HYPERLINK("https://klasma.github.io/Logging_1882/artfynd/A 7069-2024 artfynd.xlsx", "A 7069-2024")</f>
        <v/>
      </c>
      <c r="T314">
        <f>HYPERLINK("https://klasma.github.io/Logging_1882/kartor/A 7069-2024 karta.png", "A 7069-2024")</f>
        <v/>
      </c>
      <c r="V314">
        <f>HYPERLINK("https://klasma.github.io/Logging_1882/klagomål/A 7069-2024 FSC-klagomål.docx", "A 7069-2024")</f>
        <v/>
      </c>
      <c r="W314">
        <f>HYPERLINK("https://klasma.github.io/Logging_1882/klagomålsmail/A 7069-2024 FSC-klagomål mail.docx", "A 7069-2024")</f>
        <v/>
      </c>
      <c r="X314">
        <f>HYPERLINK("https://klasma.github.io/Logging_1882/tillsyn/A 7069-2024 tillsynsbegäran.docx", "A 7069-2024")</f>
        <v/>
      </c>
      <c r="Y314">
        <f>HYPERLINK("https://klasma.github.io/Logging_1882/tillsynsmail/A 7069-2024 tillsynsbegäran mail.docx", "A 7069-2024")</f>
        <v/>
      </c>
    </row>
    <row r="315" ht="15" customHeight="1">
      <c r="A315" t="inlineStr">
        <is>
          <t>A 15327-2024</t>
        </is>
      </c>
      <c r="B315" s="1" t="n">
        <v>45400.68243055556</v>
      </c>
      <c r="C315" s="1" t="n">
        <v>46132</v>
      </c>
      <c r="D315" t="inlineStr">
        <is>
          <t>ÖREBRO LÄN</t>
        </is>
      </c>
      <c r="E315" t="inlineStr">
        <is>
          <t>NORA</t>
        </is>
      </c>
      <c r="G315" t="n">
        <v>3.5</v>
      </c>
      <c r="H315" t="n">
        <v>0</v>
      </c>
      <c r="I315" t="n">
        <v>0</v>
      </c>
      <c r="J315" t="n">
        <v>1</v>
      </c>
      <c r="K315" t="n">
        <v>0</v>
      </c>
      <c r="L315" t="n">
        <v>0</v>
      </c>
      <c r="M315" t="n">
        <v>0</v>
      </c>
      <c r="N315" t="n">
        <v>0</v>
      </c>
      <c r="O315" t="n">
        <v>1</v>
      </c>
      <c r="P315" t="n">
        <v>0</v>
      </c>
      <c r="Q315" t="n">
        <v>1</v>
      </c>
      <c r="R315" s="2" t="inlineStr">
        <is>
          <t>Violettgrå tagellav</t>
        </is>
      </c>
      <c r="S315">
        <f>HYPERLINK("https://klasma.github.io/Logging_1884/artfynd/A 15327-2024 artfynd.xlsx", "A 15327-2024")</f>
        <v/>
      </c>
      <c r="T315">
        <f>HYPERLINK("https://klasma.github.io/Logging_1884/kartor/A 15327-2024 karta.png", "A 15327-2024")</f>
        <v/>
      </c>
      <c r="V315">
        <f>HYPERLINK("https://klasma.github.io/Logging_1884/klagomål/A 15327-2024 FSC-klagomål.docx", "A 15327-2024")</f>
        <v/>
      </c>
      <c r="W315">
        <f>HYPERLINK("https://klasma.github.io/Logging_1884/klagomålsmail/A 15327-2024 FSC-klagomål mail.docx", "A 15327-2024")</f>
        <v/>
      </c>
      <c r="X315">
        <f>HYPERLINK("https://klasma.github.io/Logging_1884/tillsyn/A 15327-2024 tillsynsbegäran.docx", "A 15327-2024")</f>
        <v/>
      </c>
      <c r="Y315">
        <f>HYPERLINK("https://klasma.github.io/Logging_1884/tillsynsmail/A 15327-2024 tillsynsbegäran mail.docx", "A 15327-2024")</f>
        <v/>
      </c>
    </row>
    <row r="316" ht="15" customHeight="1">
      <c r="A316" t="inlineStr">
        <is>
          <t>A 30347-2025</t>
        </is>
      </c>
      <c r="B316" s="1" t="n">
        <v>45827.53077546296</v>
      </c>
      <c r="C316" s="1" t="n">
        <v>46132</v>
      </c>
      <c r="D316" t="inlineStr">
        <is>
          <t>ÖREBRO LÄN</t>
        </is>
      </c>
      <c r="E316" t="inlineStr">
        <is>
          <t>LINDESBERG</t>
        </is>
      </c>
      <c r="F316" t="inlineStr">
        <is>
          <t>Sveaskog</t>
        </is>
      </c>
      <c r="G316" t="n">
        <v>4.6</v>
      </c>
      <c r="H316" t="n">
        <v>1</v>
      </c>
      <c r="I316" t="n">
        <v>0</v>
      </c>
      <c r="J316" t="n">
        <v>1</v>
      </c>
      <c r="K316" t="n">
        <v>0</v>
      </c>
      <c r="L316" t="n">
        <v>0</v>
      </c>
      <c r="M316" t="n">
        <v>0</v>
      </c>
      <c r="N316" t="n">
        <v>0</v>
      </c>
      <c r="O316" t="n">
        <v>1</v>
      </c>
      <c r="P316" t="n">
        <v>0</v>
      </c>
      <c r="Q316" t="n">
        <v>1</v>
      </c>
      <c r="R316" s="2" t="inlineStr">
        <is>
          <t>Järpe</t>
        </is>
      </c>
      <c r="S316">
        <f>HYPERLINK("https://klasma.github.io/Logging_1885/artfynd/A 30347-2025 artfynd.xlsx", "A 30347-2025")</f>
        <v/>
      </c>
      <c r="T316">
        <f>HYPERLINK("https://klasma.github.io/Logging_1885/kartor/A 30347-2025 karta.png", "A 30347-2025")</f>
        <v/>
      </c>
      <c r="V316">
        <f>HYPERLINK("https://klasma.github.io/Logging_1885/klagomål/A 30347-2025 FSC-klagomål.docx", "A 30347-2025")</f>
        <v/>
      </c>
      <c r="W316">
        <f>HYPERLINK("https://klasma.github.io/Logging_1885/klagomålsmail/A 30347-2025 FSC-klagomål mail.docx", "A 30347-2025")</f>
        <v/>
      </c>
      <c r="X316">
        <f>HYPERLINK("https://klasma.github.io/Logging_1885/tillsyn/A 30347-2025 tillsynsbegäran.docx", "A 30347-2025")</f>
        <v/>
      </c>
      <c r="Y316">
        <f>HYPERLINK("https://klasma.github.io/Logging_1885/tillsynsmail/A 30347-2025 tillsynsbegäran mail.docx", "A 30347-2025")</f>
        <v/>
      </c>
      <c r="Z316">
        <f>HYPERLINK("https://klasma.github.io/Logging_1885/fåglar/A 30347-2025 prioriterade fågelarter.docx", "A 30347-2025")</f>
        <v/>
      </c>
    </row>
    <row r="317" ht="15" customHeight="1">
      <c r="A317" t="inlineStr">
        <is>
          <t>A 52375-2025</t>
        </is>
      </c>
      <c r="B317" s="1" t="n">
        <v>45953.94430555555</v>
      </c>
      <c r="C317" s="1" t="n">
        <v>46132</v>
      </c>
      <c r="D317" t="inlineStr">
        <is>
          <t>ÖREBRO LÄN</t>
        </is>
      </c>
      <c r="E317" t="inlineStr">
        <is>
          <t>KARLSKOGA</t>
        </is>
      </c>
      <c r="F317" t="inlineStr">
        <is>
          <t>Sveaskog</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HYPERLINK("https://klasma.github.io/Logging_1883/artfynd/A 52375-2025 artfynd.xlsx", "A 52375-2025")</f>
        <v/>
      </c>
      <c r="T317">
        <f>HYPERLINK("https://klasma.github.io/Logging_1883/kartor/A 52375-2025 karta.png", "A 52375-2025")</f>
        <v/>
      </c>
      <c r="V317">
        <f>HYPERLINK("https://klasma.github.io/Logging_1883/klagomål/A 52375-2025 FSC-klagomål.docx", "A 52375-2025")</f>
        <v/>
      </c>
      <c r="W317">
        <f>HYPERLINK("https://klasma.github.io/Logging_1883/klagomålsmail/A 52375-2025 FSC-klagomål mail.docx", "A 52375-2025")</f>
        <v/>
      </c>
      <c r="X317">
        <f>HYPERLINK("https://klasma.github.io/Logging_1883/tillsyn/A 52375-2025 tillsynsbegäran.docx", "A 52375-2025")</f>
        <v/>
      </c>
      <c r="Y317">
        <f>HYPERLINK("https://klasma.github.io/Logging_1883/tillsynsmail/A 52375-2025 tillsynsbegäran mail.docx", "A 52375-2025")</f>
        <v/>
      </c>
    </row>
    <row r="318" ht="15" customHeight="1">
      <c r="A318" t="inlineStr">
        <is>
          <t>A 52382-2025</t>
        </is>
      </c>
      <c r="B318" s="1" t="n">
        <v>45953.9559837963</v>
      </c>
      <c r="C318" s="1" t="n">
        <v>46132</v>
      </c>
      <c r="D318" t="inlineStr">
        <is>
          <t>ÖREBRO LÄN</t>
        </is>
      </c>
      <c r="E318" t="inlineStr">
        <is>
          <t>ÖREBRO</t>
        </is>
      </c>
      <c r="F318" t="inlineStr">
        <is>
          <t>Sveaskog</t>
        </is>
      </c>
      <c r="G318" t="n">
        <v>3.4</v>
      </c>
      <c r="H318" t="n">
        <v>0</v>
      </c>
      <c r="I318" t="n">
        <v>0</v>
      </c>
      <c r="J318" t="n">
        <v>1</v>
      </c>
      <c r="K318" t="n">
        <v>0</v>
      </c>
      <c r="L318" t="n">
        <v>0</v>
      </c>
      <c r="M318" t="n">
        <v>0</v>
      </c>
      <c r="N318" t="n">
        <v>0</v>
      </c>
      <c r="O318" t="n">
        <v>1</v>
      </c>
      <c r="P318" t="n">
        <v>0</v>
      </c>
      <c r="Q318" t="n">
        <v>1</v>
      </c>
      <c r="R318" s="2" t="inlineStr">
        <is>
          <t>Grantaggsvamp</t>
        </is>
      </c>
      <c r="S318">
        <f>HYPERLINK("https://klasma.github.io/Logging_1880/artfynd/A 52382-2025 artfynd.xlsx", "A 52382-2025")</f>
        <v/>
      </c>
      <c r="T318">
        <f>HYPERLINK("https://klasma.github.io/Logging_1880/kartor/A 52382-2025 karta.png", "A 52382-2025")</f>
        <v/>
      </c>
      <c r="V318">
        <f>HYPERLINK("https://klasma.github.io/Logging_1880/klagomål/A 52382-2025 FSC-klagomål.docx", "A 52382-2025")</f>
        <v/>
      </c>
      <c r="W318">
        <f>HYPERLINK("https://klasma.github.io/Logging_1880/klagomålsmail/A 52382-2025 FSC-klagomål mail.docx", "A 52382-2025")</f>
        <v/>
      </c>
      <c r="X318">
        <f>HYPERLINK("https://klasma.github.io/Logging_1880/tillsyn/A 52382-2025 tillsynsbegäran.docx", "A 52382-2025")</f>
        <v/>
      </c>
      <c r="Y318">
        <f>HYPERLINK("https://klasma.github.io/Logging_1880/tillsynsmail/A 52382-2025 tillsynsbegäran mail.docx", "A 52382-2025")</f>
        <v/>
      </c>
    </row>
    <row r="319" ht="15" customHeight="1">
      <c r="A319" t="inlineStr">
        <is>
          <t>A 16554-2024</t>
        </is>
      </c>
      <c r="B319" s="1" t="n">
        <v>45408</v>
      </c>
      <c r="C319" s="1" t="n">
        <v>46132</v>
      </c>
      <c r="D319" t="inlineStr">
        <is>
          <t>ÖREBRO LÄN</t>
        </is>
      </c>
      <c r="E319" t="inlineStr">
        <is>
          <t>NORA</t>
        </is>
      </c>
      <c r="F319" t="inlineStr">
        <is>
          <t>Sveaskog</t>
        </is>
      </c>
      <c r="G319" t="n">
        <v>4</v>
      </c>
      <c r="H319" t="n">
        <v>1</v>
      </c>
      <c r="I319" t="n">
        <v>0</v>
      </c>
      <c r="J319" t="n">
        <v>0</v>
      </c>
      <c r="K319" t="n">
        <v>0</v>
      </c>
      <c r="L319" t="n">
        <v>0</v>
      </c>
      <c r="M319" t="n">
        <v>0</v>
      </c>
      <c r="N319" t="n">
        <v>0</v>
      </c>
      <c r="O319" t="n">
        <v>0</v>
      </c>
      <c r="P319" t="n">
        <v>0</v>
      </c>
      <c r="Q319" t="n">
        <v>1</v>
      </c>
      <c r="R319" s="2" t="inlineStr">
        <is>
          <t>Blåsippa</t>
        </is>
      </c>
      <c r="S319">
        <f>HYPERLINK("https://klasma.github.io/Logging_1884/artfynd/A 16554-2024 artfynd.xlsx", "A 16554-2024")</f>
        <v/>
      </c>
      <c r="T319">
        <f>HYPERLINK("https://klasma.github.io/Logging_1884/kartor/A 16554-2024 karta.png", "A 16554-2024")</f>
        <v/>
      </c>
      <c r="V319">
        <f>HYPERLINK("https://klasma.github.io/Logging_1884/klagomål/A 16554-2024 FSC-klagomål.docx", "A 16554-2024")</f>
        <v/>
      </c>
      <c r="W319">
        <f>HYPERLINK("https://klasma.github.io/Logging_1884/klagomålsmail/A 16554-2024 FSC-klagomål mail.docx", "A 16554-2024")</f>
        <v/>
      </c>
      <c r="X319">
        <f>HYPERLINK("https://klasma.github.io/Logging_1884/tillsyn/A 16554-2024 tillsynsbegäran.docx", "A 16554-2024")</f>
        <v/>
      </c>
      <c r="Y319">
        <f>HYPERLINK("https://klasma.github.io/Logging_1884/tillsynsmail/A 16554-2024 tillsynsbegäran mail.docx", "A 16554-2024")</f>
        <v/>
      </c>
    </row>
    <row r="320" ht="15" customHeight="1">
      <c r="A320" t="inlineStr">
        <is>
          <t>A 42036-2025</t>
        </is>
      </c>
      <c r="B320" s="1" t="n">
        <v>45903.61173611111</v>
      </c>
      <c r="C320" s="1" t="n">
        <v>46132</v>
      </c>
      <c r="D320" t="inlineStr">
        <is>
          <t>ÖREBRO LÄN</t>
        </is>
      </c>
      <c r="E320" t="inlineStr">
        <is>
          <t>NORA</t>
        </is>
      </c>
      <c r="G320" t="n">
        <v>2.8</v>
      </c>
      <c r="H320" t="n">
        <v>0</v>
      </c>
      <c r="I320" t="n">
        <v>0</v>
      </c>
      <c r="J320" t="n">
        <v>1</v>
      </c>
      <c r="K320" t="n">
        <v>0</v>
      </c>
      <c r="L320" t="n">
        <v>0</v>
      </c>
      <c r="M320" t="n">
        <v>0</v>
      </c>
      <c r="N320" t="n">
        <v>0</v>
      </c>
      <c r="O320" t="n">
        <v>1</v>
      </c>
      <c r="P320" t="n">
        <v>0</v>
      </c>
      <c r="Q320" t="n">
        <v>1</v>
      </c>
      <c r="R320" s="2" t="inlineStr">
        <is>
          <t>Slåtterfibbla</t>
        </is>
      </c>
      <c r="S320">
        <f>HYPERLINK("https://klasma.github.io/Logging_1884/artfynd/A 42036-2025 artfynd.xlsx", "A 42036-2025")</f>
        <v/>
      </c>
      <c r="T320">
        <f>HYPERLINK("https://klasma.github.io/Logging_1884/kartor/A 42036-2025 karta.png", "A 42036-2025")</f>
        <v/>
      </c>
      <c r="V320">
        <f>HYPERLINK("https://klasma.github.io/Logging_1884/klagomål/A 42036-2025 FSC-klagomål.docx", "A 42036-2025")</f>
        <v/>
      </c>
      <c r="W320">
        <f>HYPERLINK("https://klasma.github.io/Logging_1884/klagomålsmail/A 42036-2025 FSC-klagomål mail.docx", "A 42036-2025")</f>
        <v/>
      </c>
      <c r="X320">
        <f>HYPERLINK("https://klasma.github.io/Logging_1884/tillsyn/A 42036-2025 tillsynsbegäran.docx", "A 42036-2025")</f>
        <v/>
      </c>
      <c r="Y320">
        <f>HYPERLINK("https://klasma.github.io/Logging_1884/tillsynsmail/A 42036-2025 tillsynsbegäran mail.docx", "A 42036-2025")</f>
        <v/>
      </c>
    </row>
    <row r="321" ht="15" customHeight="1">
      <c r="A321" t="inlineStr">
        <is>
          <t>A 11501-2025</t>
        </is>
      </c>
      <c r="B321" s="1" t="n">
        <v>45726</v>
      </c>
      <c r="C321" s="1" t="n">
        <v>46132</v>
      </c>
      <c r="D321" t="inlineStr">
        <is>
          <t>ÖREBRO LÄN</t>
        </is>
      </c>
      <c r="E321" t="inlineStr">
        <is>
          <t>ÖREBRO</t>
        </is>
      </c>
      <c r="G321" t="n">
        <v>0.8</v>
      </c>
      <c r="H321" t="n">
        <v>1</v>
      </c>
      <c r="I321" t="n">
        <v>0</v>
      </c>
      <c r="J321" t="n">
        <v>0</v>
      </c>
      <c r="K321" t="n">
        <v>0</v>
      </c>
      <c r="L321" t="n">
        <v>0</v>
      </c>
      <c r="M321" t="n">
        <v>0</v>
      </c>
      <c r="N321" t="n">
        <v>0</v>
      </c>
      <c r="O321" t="n">
        <v>0</v>
      </c>
      <c r="P321" t="n">
        <v>0</v>
      </c>
      <c r="Q321" t="n">
        <v>1</v>
      </c>
      <c r="R321" s="2" t="inlineStr">
        <is>
          <t>Kopparödla</t>
        </is>
      </c>
      <c r="S321">
        <f>HYPERLINK("https://klasma.github.io/Logging_1880/artfynd/A 11501-2025 artfynd.xlsx", "A 11501-2025")</f>
        <v/>
      </c>
      <c r="T321">
        <f>HYPERLINK("https://klasma.github.io/Logging_1880/kartor/A 11501-2025 karta.png", "A 11501-2025")</f>
        <v/>
      </c>
      <c r="V321">
        <f>HYPERLINK("https://klasma.github.io/Logging_1880/klagomål/A 11501-2025 FSC-klagomål.docx", "A 11501-2025")</f>
        <v/>
      </c>
      <c r="W321">
        <f>HYPERLINK("https://klasma.github.io/Logging_1880/klagomålsmail/A 11501-2025 FSC-klagomål mail.docx", "A 11501-2025")</f>
        <v/>
      </c>
      <c r="X321">
        <f>HYPERLINK("https://klasma.github.io/Logging_1880/tillsyn/A 11501-2025 tillsynsbegäran.docx", "A 11501-2025")</f>
        <v/>
      </c>
      <c r="Y321">
        <f>HYPERLINK("https://klasma.github.io/Logging_1880/tillsynsmail/A 11501-2025 tillsynsbegäran mail.docx", "A 11501-2025")</f>
        <v/>
      </c>
    </row>
    <row r="322" ht="15" customHeight="1">
      <c r="A322" t="inlineStr">
        <is>
          <t>A 43148-2025</t>
        </is>
      </c>
      <c r="B322" s="1" t="n">
        <v>45910.32248842593</v>
      </c>
      <c r="C322" s="1" t="n">
        <v>46132</v>
      </c>
      <c r="D322" t="inlineStr">
        <is>
          <t>ÖREBRO LÄN</t>
        </is>
      </c>
      <c r="E322" t="inlineStr">
        <is>
          <t>NORA</t>
        </is>
      </c>
      <c r="G322" t="n">
        <v>5.5</v>
      </c>
      <c r="H322" t="n">
        <v>1</v>
      </c>
      <c r="I322" t="n">
        <v>1</v>
      </c>
      <c r="J322" t="n">
        <v>0</v>
      </c>
      <c r="K322" t="n">
        <v>0</v>
      </c>
      <c r="L322" t="n">
        <v>0</v>
      </c>
      <c r="M322" t="n">
        <v>0</v>
      </c>
      <c r="N322" t="n">
        <v>0</v>
      </c>
      <c r="O322" t="n">
        <v>0</v>
      </c>
      <c r="P322" t="n">
        <v>0</v>
      </c>
      <c r="Q322" t="n">
        <v>1</v>
      </c>
      <c r="R322" s="2" t="inlineStr">
        <is>
          <t>Purpurknipprot</t>
        </is>
      </c>
      <c r="S322">
        <f>HYPERLINK("https://klasma.github.io/Logging_1884/artfynd/A 43148-2025 artfynd.xlsx", "A 43148-2025")</f>
        <v/>
      </c>
      <c r="T322">
        <f>HYPERLINK("https://klasma.github.io/Logging_1884/kartor/A 43148-2025 karta.png", "A 43148-2025")</f>
        <v/>
      </c>
      <c r="V322">
        <f>HYPERLINK("https://klasma.github.io/Logging_1884/klagomål/A 43148-2025 FSC-klagomål.docx", "A 43148-2025")</f>
        <v/>
      </c>
      <c r="W322">
        <f>HYPERLINK("https://klasma.github.io/Logging_1884/klagomålsmail/A 43148-2025 FSC-klagomål mail.docx", "A 43148-2025")</f>
        <v/>
      </c>
      <c r="X322">
        <f>HYPERLINK("https://klasma.github.io/Logging_1884/tillsyn/A 43148-2025 tillsynsbegäran.docx", "A 43148-2025")</f>
        <v/>
      </c>
      <c r="Y322">
        <f>HYPERLINK("https://klasma.github.io/Logging_1884/tillsynsmail/A 43148-2025 tillsynsbegäran mail.docx", "A 43148-2025")</f>
        <v/>
      </c>
    </row>
    <row r="323" ht="15" customHeight="1">
      <c r="A323" t="inlineStr">
        <is>
          <t>A 56179-2024</t>
        </is>
      </c>
      <c r="B323" s="1" t="n">
        <v>45623</v>
      </c>
      <c r="C323" s="1" t="n">
        <v>46132</v>
      </c>
      <c r="D323" t="inlineStr">
        <is>
          <t>ÖREBRO LÄN</t>
        </is>
      </c>
      <c r="E323" t="inlineStr">
        <is>
          <t>LJUSNARSBERG</t>
        </is>
      </c>
      <c r="G323" t="n">
        <v>0.9</v>
      </c>
      <c r="H323" t="n">
        <v>0</v>
      </c>
      <c r="I323" t="n">
        <v>1</v>
      </c>
      <c r="J323" t="n">
        <v>0</v>
      </c>
      <c r="K323" t="n">
        <v>0</v>
      </c>
      <c r="L323" t="n">
        <v>0</v>
      </c>
      <c r="M323" t="n">
        <v>0</v>
      </c>
      <c r="N323" t="n">
        <v>0</v>
      </c>
      <c r="O323" t="n">
        <v>0</v>
      </c>
      <c r="P323" t="n">
        <v>0</v>
      </c>
      <c r="Q323" t="n">
        <v>1</v>
      </c>
      <c r="R323" s="2" t="inlineStr">
        <is>
          <t>Vedticka</t>
        </is>
      </c>
      <c r="S323">
        <f>HYPERLINK("https://klasma.github.io/Logging_1864/artfynd/A 56179-2024 artfynd.xlsx", "A 56179-2024")</f>
        <v/>
      </c>
      <c r="T323">
        <f>HYPERLINK("https://klasma.github.io/Logging_1864/kartor/A 56179-2024 karta.png", "A 56179-2024")</f>
        <v/>
      </c>
      <c r="V323">
        <f>HYPERLINK("https://klasma.github.io/Logging_1864/klagomål/A 56179-2024 FSC-klagomål.docx", "A 56179-2024")</f>
        <v/>
      </c>
      <c r="W323">
        <f>HYPERLINK("https://klasma.github.io/Logging_1864/klagomålsmail/A 56179-2024 FSC-klagomål mail.docx", "A 56179-2024")</f>
        <v/>
      </c>
      <c r="X323">
        <f>HYPERLINK("https://klasma.github.io/Logging_1864/tillsyn/A 56179-2024 tillsynsbegäran.docx", "A 56179-2024")</f>
        <v/>
      </c>
      <c r="Y323">
        <f>HYPERLINK("https://klasma.github.io/Logging_1864/tillsynsmail/A 56179-2024 tillsynsbegäran mail.docx", "A 56179-2024")</f>
        <v/>
      </c>
    </row>
    <row r="324" ht="15" customHeight="1">
      <c r="A324" t="inlineStr">
        <is>
          <t>A 26658-2025</t>
        </is>
      </c>
      <c r="B324" s="1" t="n">
        <v>45810.39315972223</v>
      </c>
      <c r="C324" s="1" t="n">
        <v>46132</v>
      </c>
      <c r="D324" t="inlineStr">
        <is>
          <t>ÖREBRO LÄN</t>
        </is>
      </c>
      <c r="E324" t="inlineStr">
        <is>
          <t>NORA</t>
        </is>
      </c>
      <c r="F324" t="inlineStr">
        <is>
          <t>Sveaskog</t>
        </is>
      </c>
      <c r="G324" t="n">
        <v>5.6</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26658-2025 artfynd.xlsx", "A 26658-2025")</f>
        <v/>
      </c>
      <c r="T324">
        <f>HYPERLINK("https://klasma.github.io/Logging_1884/kartor/A 26658-2025 karta.png", "A 26658-2025")</f>
        <v/>
      </c>
      <c r="V324">
        <f>HYPERLINK("https://klasma.github.io/Logging_1884/klagomål/A 26658-2025 FSC-klagomål.docx", "A 26658-2025")</f>
        <v/>
      </c>
      <c r="W324">
        <f>HYPERLINK("https://klasma.github.io/Logging_1884/klagomålsmail/A 26658-2025 FSC-klagomål mail.docx", "A 26658-2025")</f>
        <v/>
      </c>
      <c r="X324">
        <f>HYPERLINK("https://klasma.github.io/Logging_1884/tillsyn/A 26658-2025 tillsynsbegäran.docx", "A 26658-2025")</f>
        <v/>
      </c>
      <c r="Y324">
        <f>HYPERLINK("https://klasma.github.io/Logging_1884/tillsynsmail/A 26658-2025 tillsynsbegäran mail.docx", "A 26658-2025")</f>
        <v/>
      </c>
    </row>
    <row r="325" ht="15" customHeight="1">
      <c r="A325" t="inlineStr">
        <is>
          <t>A 26659-2025</t>
        </is>
      </c>
      <c r="B325" s="1" t="n">
        <v>45810.39408564815</v>
      </c>
      <c r="C325" s="1" t="n">
        <v>46132</v>
      </c>
      <c r="D325" t="inlineStr">
        <is>
          <t>ÖREBRO LÄN</t>
        </is>
      </c>
      <c r="E325" t="inlineStr">
        <is>
          <t>NORA</t>
        </is>
      </c>
      <c r="F325" t="inlineStr">
        <is>
          <t>Sveaskog</t>
        </is>
      </c>
      <c r="G325" t="n">
        <v>7</v>
      </c>
      <c r="H325" t="n">
        <v>1</v>
      </c>
      <c r="I325" t="n">
        <v>0</v>
      </c>
      <c r="J325" t="n">
        <v>0</v>
      </c>
      <c r="K325" t="n">
        <v>0</v>
      </c>
      <c r="L325" t="n">
        <v>0</v>
      </c>
      <c r="M325" t="n">
        <v>0</v>
      </c>
      <c r="N325" t="n">
        <v>0</v>
      </c>
      <c r="O325" t="n">
        <v>0</v>
      </c>
      <c r="P325" t="n">
        <v>0</v>
      </c>
      <c r="Q325" t="n">
        <v>1</v>
      </c>
      <c r="R325" s="2" t="inlineStr">
        <is>
          <t>Fläcknycklar</t>
        </is>
      </c>
      <c r="S325">
        <f>HYPERLINK("https://klasma.github.io/Logging_1884/artfynd/A 26659-2025 artfynd.xlsx", "A 26659-2025")</f>
        <v/>
      </c>
      <c r="T325">
        <f>HYPERLINK("https://klasma.github.io/Logging_1884/kartor/A 26659-2025 karta.png", "A 26659-2025")</f>
        <v/>
      </c>
      <c r="V325">
        <f>HYPERLINK("https://klasma.github.io/Logging_1884/klagomål/A 26659-2025 FSC-klagomål.docx", "A 26659-2025")</f>
        <v/>
      </c>
      <c r="W325">
        <f>HYPERLINK("https://klasma.github.io/Logging_1884/klagomålsmail/A 26659-2025 FSC-klagomål mail.docx", "A 26659-2025")</f>
        <v/>
      </c>
      <c r="X325">
        <f>HYPERLINK("https://klasma.github.io/Logging_1884/tillsyn/A 26659-2025 tillsynsbegäran.docx", "A 26659-2025")</f>
        <v/>
      </c>
      <c r="Y325">
        <f>HYPERLINK("https://klasma.github.io/Logging_1884/tillsynsmail/A 26659-2025 tillsynsbegäran mail.docx", "A 26659-2025")</f>
        <v/>
      </c>
    </row>
    <row r="326" ht="15" customHeight="1">
      <c r="A326" t="inlineStr">
        <is>
          <t>A 43380-2025</t>
        </is>
      </c>
      <c r="B326" s="1" t="n">
        <v>45911.3615162037</v>
      </c>
      <c r="C326" s="1" t="n">
        <v>46132</v>
      </c>
      <c r="D326" t="inlineStr">
        <is>
          <t>ÖREBRO LÄN</t>
        </is>
      </c>
      <c r="E326" t="inlineStr">
        <is>
          <t>HALLSBERG</t>
        </is>
      </c>
      <c r="F326" t="inlineStr">
        <is>
          <t>Sveaskog</t>
        </is>
      </c>
      <c r="G326" t="n">
        <v>9.4</v>
      </c>
      <c r="H326" t="n">
        <v>1</v>
      </c>
      <c r="I326" t="n">
        <v>0</v>
      </c>
      <c r="J326" t="n">
        <v>0</v>
      </c>
      <c r="K326" t="n">
        <v>0</v>
      </c>
      <c r="L326" t="n">
        <v>0</v>
      </c>
      <c r="M326" t="n">
        <v>0</v>
      </c>
      <c r="N326" t="n">
        <v>0</v>
      </c>
      <c r="O326" t="n">
        <v>0</v>
      </c>
      <c r="P326" t="n">
        <v>0</v>
      </c>
      <c r="Q326" t="n">
        <v>1</v>
      </c>
      <c r="R326" s="2" t="inlineStr">
        <is>
          <t>Kungsfågel</t>
        </is>
      </c>
      <c r="S326">
        <f>HYPERLINK("https://klasma.github.io/Logging_1861/artfynd/A 43380-2025 artfynd.xlsx", "A 43380-2025")</f>
        <v/>
      </c>
      <c r="T326">
        <f>HYPERLINK("https://klasma.github.io/Logging_1861/kartor/A 43380-2025 karta.png", "A 43380-2025")</f>
        <v/>
      </c>
      <c r="V326">
        <f>HYPERLINK("https://klasma.github.io/Logging_1861/klagomål/A 43380-2025 FSC-klagomål.docx", "A 43380-2025")</f>
        <v/>
      </c>
      <c r="W326">
        <f>HYPERLINK("https://klasma.github.io/Logging_1861/klagomålsmail/A 43380-2025 FSC-klagomål mail.docx", "A 43380-2025")</f>
        <v/>
      </c>
      <c r="X326">
        <f>HYPERLINK("https://klasma.github.io/Logging_1861/tillsyn/A 43380-2025 tillsynsbegäran.docx", "A 43380-2025")</f>
        <v/>
      </c>
      <c r="Y326">
        <f>HYPERLINK("https://klasma.github.io/Logging_1861/tillsynsmail/A 43380-2025 tillsynsbegäran mail.docx", "A 43380-2025")</f>
        <v/>
      </c>
      <c r="Z326">
        <f>HYPERLINK("https://klasma.github.io/Logging_1861/fåglar/A 43380-2025 prioriterade fågelarter.docx", "A 43380-2025")</f>
        <v/>
      </c>
    </row>
    <row r="327" ht="15" customHeight="1">
      <c r="A327" t="inlineStr">
        <is>
          <t>A 26651-2025</t>
        </is>
      </c>
      <c r="B327" s="1" t="n">
        <v>45810</v>
      </c>
      <c r="C327" s="1" t="n">
        <v>46132</v>
      </c>
      <c r="D327" t="inlineStr">
        <is>
          <t>ÖREBRO LÄN</t>
        </is>
      </c>
      <c r="E327" t="inlineStr">
        <is>
          <t>KARLSKOGA</t>
        </is>
      </c>
      <c r="F327" t="inlineStr">
        <is>
          <t>Sveaskog</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HYPERLINK("https://klasma.github.io/Logging_1883/artfynd/A 26651-2025 artfynd.xlsx", "A 26651-2025")</f>
        <v/>
      </c>
      <c r="T327">
        <f>HYPERLINK("https://klasma.github.io/Logging_1883/kartor/A 26651-2025 karta.png", "A 26651-2025")</f>
        <v/>
      </c>
      <c r="V327">
        <f>HYPERLINK("https://klasma.github.io/Logging_1883/klagomål/A 26651-2025 FSC-klagomål.docx", "A 26651-2025")</f>
        <v/>
      </c>
      <c r="W327">
        <f>HYPERLINK("https://klasma.github.io/Logging_1883/klagomålsmail/A 26651-2025 FSC-klagomål mail.docx", "A 26651-2025")</f>
        <v/>
      </c>
      <c r="X327">
        <f>HYPERLINK("https://klasma.github.io/Logging_1883/tillsyn/A 26651-2025 tillsynsbegäran.docx", "A 26651-2025")</f>
        <v/>
      </c>
      <c r="Y327">
        <f>HYPERLINK("https://klasma.github.io/Logging_1883/tillsynsmail/A 26651-2025 tillsynsbegäran mail.docx", "A 26651-2025")</f>
        <v/>
      </c>
    </row>
    <row r="328" ht="15" customHeight="1">
      <c r="A328" t="inlineStr">
        <is>
          <t>A 24791-2024</t>
        </is>
      </c>
      <c r="B328" s="1" t="n">
        <v>45460</v>
      </c>
      <c r="C328" s="1" t="n">
        <v>46132</v>
      </c>
      <c r="D328" t="inlineStr">
        <is>
          <t>ÖREBRO LÄN</t>
        </is>
      </c>
      <c r="E328" t="inlineStr">
        <is>
          <t>LJUSNARSBERG</t>
        </is>
      </c>
      <c r="G328" t="n">
        <v>3.9</v>
      </c>
      <c r="H328" t="n">
        <v>1</v>
      </c>
      <c r="I328" t="n">
        <v>0</v>
      </c>
      <c r="J328" t="n">
        <v>1</v>
      </c>
      <c r="K328" t="n">
        <v>0</v>
      </c>
      <c r="L328" t="n">
        <v>0</v>
      </c>
      <c r="M328" t="n">
        <v>0</v>
      </c>
      <c r="N328" t="n">
        <v>0</v>
      </c>
      <c r="O328" t="n">
        <v>1</v>
      </c>
      <c r="P328" t="n">
        <v>0</v>
      </c>
      <c r="Q328" t="n">
        <v>1</v>
      </c>
      <c r="R328" s="2" t="inlineStr">
        <is>
          <t>Spillkråka</t>
        </is>
      </c>
      <c r="S328">
        <f>HYPERLINK("https://klasma.github.io/Logging_1864/artfynd/A 24791-2024 artfynd.xlsx", "A 24791-2024")</f>
        <v/>
      </c>
      <c r="T328">
        <f>HYPERLINK("https://klasma.github.io/Logging_1864/kartor/A 24791-2024 karta.png", "A 24791-2024")</f>
        <v/>
      </c>
      <c r="V328">
        <f>HYPERLINK("https://klasma.github.io/Logging_1864/klagomål/A 24791-2024 FSC-klagomål.docx", "A 24791-2024")</f>
        <v/>
      </c>
      <c r="W328">
        <f>HYPERLINK("https://klasma.github.io/Logging_1864/klagomålsmail/A 24791-2024 FSC-klagomål mail.docx", "A 24791-2024")</f>
        <v/>
      </c>
      <c r="X328">
        <f>HYPERLINK("https://klasma.github.io/Logging_1864/tillsyn/A 24791-2024 tillsynsbegäran.docx", "A 24791-2024")</f>
        <v/>
      </c>
      <c r="Y328">
        <f>HYPERLINK("https://klasma.github.io/Logging_1864/tillsynsmail/A 24791-2024 tillsynsbegäran mail.docx", "A 24791-2024")</f>
        <v/>
      </c>
      <c r="Z328">
        <f>HYPERLINK("https://klasma.github.io/Logging_1864/fåglar/A 24791-2024 prioriterade fågelarter.docx", "A 24791-2024")</f>
        <v/>
      </c>
    </row>
    <row r="329" ht="15" customHeight="1">
      <c r="A329" t="inlineStr">
        <is>
          <t>A 54092-2025</t>
        </is>
      </c>
      <c r="B329" s="1" t="n">
        <v>45964.3965625</v>
      </c>
      <c r="C329" s="1" t="n">
        <v>46132</v>
      </c>
      <c r="D329" t="inlineStr">
        <is>
          <t>ÖREBRO LÄN</t>
        </is>
      </c>
      <c r="E329" t="inlineStr">
        <is>
          <t>LINDESBERG</t>
        </is>
      </c>
      <c r="G329" t="n">
        <v>2.4</v>
      </c>
      <c r="H329" t="n">
        <v>0</v>
      </c>
      <c r="I329" t="n">
        <v>1</v>
      </c>
      <c r="J329" t="n">
        <v>0</v>
      </c>
      <c r="K329" t="n">
        <v>0</v>
      </c>
      <c r="L329" t="n">
        <v>0</v>
      </c>
      <c r="M329" t="n">
        <v>0</v>
      </c>
      <c r="N329" t="n">
        <v>0</v>
      </c>
      <c r="O329" t="n">
        <v>0</v>
      </c>
      <c r="P329" t="n">
        <v>0</v>
      </c>
      <c r="Q329" t="n">
        <v>1</v>
      </c>
      <c r="R329" s="2" t="inlineStr">
        <is>
          <t>Hagfingersvamp</t>
        </is>
      </c>
      <c r="S329">
        <f>HYPERLINK("https://klasma.github.io/Logging_1885/artfynd/A 54092-2025 artfynd.xlsx", "A 54092-2025")</f>
        <v/>
      </c>
      <c r="T329">
        <f>HYPERLINK("https://klasma.github.io/Logging_1885/kartor/A 54092-2025 karta.png", "A 54092-2025")</f>
        <v/>
      </c>
      <c r="V329">
        <f>HYPERLINK("https://klasma.github.io/Logging_1885/klagomål/A 54092-2025 FSC-klagomål.docx", "A 54092-2025")</f>
        <v/>
      </c>
      <c r="W329">
        <f>HYPERLINK("https://klasma.github.io/Logging_1885/klagomålsmail/A 54092-2025 FSC-klagomål mail.docx", "A 54092-2025")</f>
        <v/>
      </c>
      <c r="X329">
        <f>HYPERLINK("https://klasma.github.io/Logging_1885/tillsyn/A 54092-2025 tillsynsbegäran.docx", "A 54092-2025")</f>
        <v/>
      </c>
      <c r="Y329">
        <f>HYPERLINK("https://klasma.github.io/Logging_1885/tillsynsmail/A 54092-2025 tillsynsbegäran mail.docx", "A 54092-2025")</f>
        <v/>
      </c>
    </row>
    <row r="330" ht="15" customHeight="1">
      <c r="A330" t="inlineStr">
        <is>
          <t>A 33286-2024</t>
        </is>
      </c>
      <c r="B330" s="1" t="n">
        <v>45518</v>
      </c>
      <c r="C330" s="1" t="n">
        <v>46132</v>
      </c>
      <c r="D330" t="inlineStr">
        <is>
          <t>ÖREBRO LÄN</t>
        </is>
      </c>
      <c r="E330" t="inlineStr">
        <is>
          <t>LINDESBERG</t>
        </is>
      </c>
      <c r="F330" t="inlineStr">
        <is>
          <t>Sveaskog</t>
        </is>
      </c>
      <c r="G330" t="n">
        <v>2.1</v>
      </c>
      <c r="H330" t="n">
        <v>0</v>
      </c>
      <c r="I330" t="n">
        <v>1</v>
      </c>
      <c r="J330" t="n">
        <v>0</v>
      </c>
      <c r="K330" t="n">
        <v>0</v>
      </c>
      <c r="L330" t="n">
        <v>0</v>
      </c>
      <c r="M330" t="n">
        <v>0</v>
      </c>
      <c r="N330" t="n">
        <v>0</v>
      </c>
      <c r="O330" t="n">
        <v>0</v>
      </c>
      <c r="P330" t="n">
        <v>0</v>
      </c>
      <c r="Q330" t="n">
        <v>1</v>
      </c>
      <c r="R330" s="2" t="inlineStr">
        <is>
          <t>Vedticka</t>
        </is>
      </c>
      <c r="S330">
        <f>HYPERLINK("https://klasma.github.io/Logging_1885/artfynd/A 33286-2024 artfynd.xlsx", "A 33286-2024")</f>
        <v/>
      </c>
      <c r="T330">
        <f>HYPERLINK("https://klasma.github.io/Logging_1885/kartor/A 33286-2024 karta.png", "A 33286-2024")</f>
        <v/>
      </c>
      <c r="V330">
        <f>HYPERLINK("https://klasma.github.io/Logging_1885/klagomål/A 33286-2024 FSC-klagomål.docx", "A 33286-2024")</f>
        <v/>
      </c>
      <c r="W330">
        <f>HYPERLINK("https://klasma.github.io/Logging_1885/klagomålsmail/A 33286-2024 FSC-klagomål mail.docx", "A 33286-2024")</f>
        <v/>
      </c>
      <c r="X330">
        <f>HYPERLINK("https://klasma.github.io/Logging_1885/tillsyn/A 33286-2024 tillsynsbegäran.docx", "A 33286-2024")</f>
        <v/>
      </c>
      <c r="Y330">
        <f>HYPERLINK("https://klasma.github.io/Logging_1885/tillsynsmail/A 33286-2024 tillsynsbegäran mail.docx", "A 33286-2024")</f>
        <v/>
      </c>
    </row>
    <row r="331" ht="15" customHeight="1">
      <c r="A331" t="inlineStr">
        <is>
          <t>A 55120-2025</t>
        </is>
      </c>
      <c r="B331" s="1" t="n">
        <v>45968.39071759259</v>
      </c>
      <c r="C331" s="1" t="n">
        <v>46132</v>
      </c>
      <c r="D331" t="inlineStr">
        <is>
          <t>ÖREBRO LÄN</t>
        </is>
      </c>
      <c r="E331" t="inlineStr">
        <is>
          <t>LAXÅ</t>
        </is>
      </c>
      <c r="F331" t="inlineStr">
        <is>
          <t>Sveaskog</t>
        </is>
      </c>
      <c r="G331" t="n">
        <v>1.9</v>
      </c>
      <c r="H331" t="n">
        <v>1</v>
      </c>
      <c r="I331" t="n">
        <v>0</v>
      </c>
      <c r="J331" t="n">
        <v>0</v>
      </c>
      <c r="K331" t="n">
        <v>0</v>
      </c>
      <c r="L331" t="n">
        <v>0</v>
      </c>
      <c r="M331" t="n">
        <v>0</v>
      </c>
      <c r="N331" t="n">
        <v>0</v>
      </c>
      <c r="O331" t="n">
        <v>0</v>
      </c>
      <c r="P331" t="n">
        <v>0</v>
      </c>
      <c r="Q331" t="n">
        <v>1</v>
      </c>
      <c r="R331" s="2" t="inlineStr">
        <is>
          <t>Revlummer</t>
        </is>
      </c>
      <c r="S331">
        <f>HYPERLINK("https://klasma.github.io/Logging_1860/artfynd/A 55120-2025 artfynd.xlsx", "A 55120-2025")</f>
        <v/>
      </c>
      <c r="T331">
        <f>HYPERLINK("https://klasma.github.io/Logging_1860/kartor/A 55120-2025 karta.png", "A 55120-2025")</f>
        <v/>
      </c>
      <c r="V331">
        <f>HYPERLINK("https://klasma.github.io/Logging_1860/klagomål/A 55120-2025 FSC-klagomål.docx", "A 55120-2025")</f>
        <v/>
      </c>
      <c r="W331">
        <f>HYPERLINK("https://klasma.github.io/Logging_1860/klagomålsmail/A 55120-2025 FSC-klagomål mail.docx", "A 55120-2025")</f>
        <v/>
      </c>
      <c r="X331">
        <f>HYPERLINK("https://klasma.github.io/Logging_1860/tillsyn/A 55120-2025 tillsynsbegäran.docx", "A 55120-2025")</f>
        <v/>
      </c>
      <c r="Y331">
        <f>HYPERLINK("https://klasma.github.io/Logging_1860/tillsynsmail/A 55120-2025 tillsynsbegäran mail.docx", "A 55120-2025")</f>
        <v/>
      </c>
    </row>
    <row r="332" ht="15" customHeight="1">
      <c r="A332" t="inlineStr">
        <is>
          <t>A 55261-2025</t>
        </is>
      </c>
      <c r="B332" s="1" t="n">
        <v>45968.64734953704</v>
      </c>
      <c r="C332" s="1" t="n">
        <v>46132</v>
      </c>
      <c r="D332" t="inlineStr">
        <is>
          <t>ÖREBRO LÄN</t>
        </is>
      </c>
      <c r="E332" t="inlineStr">
        <is>
          <t>NORA</t>
        </is>
      </c>
      <c r="F332" t="inlineStr">
        <is>
          <t>Sveaskog</t>
        </is>
      </c>
      <c r="G332" t="n">
        <v>11.4</v>
      </c>
      <c r="H332" t="n">
        <v>0</v>
      </c>
      <c r="I332" t="n">
        <v>0</v>
      </c>
      <c r="J332" t="n">
        <v>1</v>
      </c>
      <c r="K332" t="n">
        <v>0</v>
      </c>
      <c r="L332" t="n">
        <v>0</v>
      </c>
      <c r="M332" t="n">
        <v>0</v>
      </c>
      <c r="N332" t="n">
        <v>0</v>
      </c>
      <c r="O332" t="n">
        <v>1</v>
      </c>
      <c r="P332" t="n">
        <v>0</v>
      </c>
      <c r="Q332" t="n">
        <v>1</v>
      </c>
      <c r="R332" s="2" t="inlineStr">
        <is>
          <t>Motaggsvamp</t>
        </is>
      </c>
      <c r="S332">
        <f>HYPERLINK("https://klasma.github.io/Logging_1884/artfynd/A 55261-2025 artfynd.xlsx", "A 55261-2025")</f>
        <v/>
      </c>
      <c r="T332">
        <f>HYPERLINK("https://klasma.github.io/Logging_1884/kartor/A 55261-2025 karta.png", "A 55261-2025")</f>
        <v/>
      </c>
      <c r="V332">
        <f>HYPERLINK("https://klasma.github.io/Logging_1884/klagomål/A 55261-2025 FSC-klagomål.docx", "A 55261-2025")</f>
        <v/>
      </c>
      <c r="W332">
        <f>HYPERLINK("https://klasma.github.io/Logging_1884/klagomålsmail/A 55261-2025 FSC-klagomål mail.docx", "A 55261-2025")</f>
        <v/>
      </c>
      <c r="X332">
        <f>HYPERLINK("https://klasma.github.io/Logging_1884/tillsyn/A 55261-2025 tillsynsbegäran.docx", "A 55261-2025")</f>
        <v/>
      </c>
      <c r="Y332">
        <f>HYPERLINK("https://klasma.github.io/Logging_1884/tillsynsmail/A 55261-2025 tillsynsbegäran mail.docx", "A 55261-2025")</f>
        <v/>
      </c>
    </row>
    <row r="333" ht="15" customHeight="1">
      <c r="A333" t="inlineStr">
        <is>
          <t>A 44857-2025</t>
        </is>
      </c>
      <c r="B333" s="1" t="n">
        <v>45918.45165509259</v>
      </c>
      <c r="C333" s="1" t="n">
        <v>46132</v>
      </c>
      <c r="D333" t="inlineStr">
        <is>
          <t>ÖREBRO LÄN</t>
        </is>
      </c>
      <c r="E333" t="inlineStr">
        <is>
          <t>LEKEBERG</t>
        </is>
      </c>
      <c r="G333" t="n">
        <v>3.1</v>
      </c>
      <c r="H333" t="n">
        <v>0</v>
      </c>
      <c r="I333" t="n">
        <v>0</v>
      </c>
      <c r="J333" t="n">
        <v>1</v>
      </c>
      <c r="K333" t="n">
        <v>0</v>
      </c>
      <c r="L333" t="n">
        <v>0</v>
      </c>
      <c r="M333" t="n">
        <v>0</v>
      </c>
      <c r="N333" t="n">
        <v>0</v>
      </c>
      <c r="O333" t="n">
        <v>1</v>
      </c>
      <c r="P333" t="n">
        <v>0</v>
      </c>
      <c r="Q333" t="n">
        <v>1</v>
      </c>
      <c r="R333" s="2" t="inlineStr">
        <is>
          <t>Tallticka</t>
        </is>
      </c>
      <c r="S333">
        <f>HYPERLINK("https://klasma.github.io/Logging_1814/artfynd/A 44857-2025 artfynd.xlsx", "A 44857-2025")</f>
        <v/>
      </c>
      <c r="T333">
        <f>HYPERLINK("https://klasma.github.io/Logging_1814/kartor/A 44857-2025 karta.png", "A 44857-2025")</f>
        <v/>
      </c>
      <c r="V333">
        <f>HYPERLINK("https://klasma.github.io/Logging_1814/klagomål/A 44857-2025 FSC-klagomål.docx", "A 44857-2025")</f>
        <v/>
      </c>
      <c r="W333">
        <f>HYPERLINK("https://klasma.github.io/Logging_1814/klagomålsmail/A 44857-2025 FSC-klagomål mail.docx", "A 44857-2025")</f>
        <v/>
      </c>
      <c r="X333">
        <f>HYPERLINK("https://klasma.github.io/Logging_1814/tillsyn/A 44857-2025 tillsynsbegäran.docx", "A 44857-2025")</f>
        <v/>
      </c>
      <c r="Y333">
        <f>HYPERLINK("https://klasma.github.io/Logging_1814/tillsynsmail/A 44857-2025 tillsynsbegäran mail.docx", "A 44857-2025")</f>
        <v/>
      </c>
    </row>
    <row r="334" ht="15" customHeight="1">
      <c r="A334" t="inlineStr">
        <is>
          <t>A 13190-2023</t>
        </is>
      </c>
      <c r="B334" s="1" t="n">
        <v>45002</v>
      </c>
      <c r="C334" s="1" t="n">
        <v>46132</v>
      </c>
      <c r="D334" t="inlineStr">
        <is>
          <t>ÖREBRO LÄN</t>
        </is>
      </c>
      <c r="E334" t="inlineStr">
        <is>
          <t>HALLSBERG</t>
        </is>
      </c>
      <c r="F334" t="inlineStr">
        <is>
          <t>Allmännings- och besparingsskogar</t>
        </is>
      </c>
      <c r="G334" t="n">
        <v>2.7</v>
      </c>
      <c r="H334" t="n">
        <v>1</v>
      </c>
      <c r="I334" t="n">
        <v>0</v>
      </c>
      <c r="J334" t="n">
        <v>0</v>
      </c>
      <c r="K334" t="n">
        <v>0</v>
      </c>
      <c r="L334" t="n">
        <v>0</v>
      </c>
      <c r="M334" t="n">
        <v>0</v>
      </c>
      <c r="N334" t="n">
        <v>0</v>
      </c>
      <c r="O334" t="n">
        <v>0</v>
      </c>
      <c r="P334" t="n">
        <v>0</v>
      </c>
      <c r="Q334" t="n">
        <v>1</v>
      </c>
      <c r="R334" s="2" t="inlineStr">
        <is>
          <t>Järnsparv</t>
        </is>
      </c>
      <c r="S334">
        <f>HYPERLINK("https://klasma.github.io/Logging_1861/artfynd/A 13190-2023 artfynd.xlsx", "A 13190-2023")</f>
        <v/>
      </c>
      <c r="T334">
        <f>HYPERLINK("https://klasma.github.io/Logging_1861/kartor/A 13190-2023 karta.png", "A 13190-2023")</f>
        <v/>
      </c>
      <c r="V334">
        <f>HYPERLINK("https://klasma.github.io/Logging_1861/klagomål/A 13190-2023 FSC-klagomål.docx", "A 13190-2023")</f>
        <v/>
      </c>
      <c r="W334">
        <f>HYPERLINK("https://klasma.github.io/Logging_1861/klagomålsmail/A 13190-2023 FSC-klagomål mail.docx", "A 13190-2023")</f>
        <v/>
      </c>
      <c r="X334">
        <f>HYPERLINK("https://klasma.github.io/Logging_1861/tillsyn/A 13190-2023 tillsynsbegäran.docx", "A 13190-2023")</f>
        <v/>
      </c>
      <c r="Y334">
        <f>HYPERLINK("https://klasma.github.io/Logging_1861/tillsynsmail/A 13190-2023 tillsynsbegäran mail.docx", "A 13190-2023")</f>
        <v/>
      </c>
      <c r="Z334">
        <f>HYPERLINK("https://klasma.github.io/Logging_1861/fåglar/A 13190-2023 prioriterade fågelarter.docx", "A 13190-2023")</f>
        <v/>
      </c>
    </row>
    <row r="335" ht="15" customHeight="1">
      <c r="A335" t="inlineStr">
        <is>
          <t>A 5230-2023</t>
        </is>
      </c>
      <c r="B335" s="1" t="n">
        <v>44959</v>
      </c>
      <c r="C335" s="1" t="n">
        <v>46132</v>
      </c>
      <c r="D335" t="inlineStr">
        <is>
          <t>ÖREBRO LÄN</t>
        </is>
      </c>
      <c r="E335" t="inlineStr">
        <is>
          <t>ASKERSUND</t>
        </is>
      </c>
      <c r="G335" t="n">
        <v>5.7</v>
      </c>
      <c r="H335" t="n">
        <v>0</v>
      </c>
      <c r="I335" t="n">
        <v>0</v>
      </c>
      <c r="J335" t="n">
        <v>1</v>
      </c>
      <c r="K335" t="n">
        <v>0</v>
      </c>
      <c r="L335" t="n">
        <v>0</v>
      </c>
      <c r="M335" t="n">
        <v>0</v>
      </c>
      <c r="N335" t="n">
        <v>0</v>
      </c>
      <c r="O335" t="n">
        <v>1</v>
      </c>
      <c r="P335" t="n">
        <v>0</v>
      </c>
      <c r="Q335" t="n">
        <v>1</v>
      </c>
      <c r="R335" s="2" t="inlineStr">
        <is>
          <t>Igelkott</t>
        </is>
      </c>
      <c r="S335">
        <f>HYPERLINK("https://klasma.github.io/Logging_1882/artfynd/A 5230-2023 artfynd.xlsx", "A 5230-2023")</f>
        <v/>
      </c>
      <c r="T335">
        <f>HYPERLINK("https://klasma.github.io/Logging_1882/kartor/A 5230-2023 karta.png", "A 5230-2023")</f>
        <v/>
      </c>
      <c r="V335">
        <f>HYPERLINK("https://klasma.github.io/Logging_1882/klagomål/A 5230-2023 FSC-klagomål.docx", "A 5230-2023")</f>
        <v/>
      </c>
      <c r="W335">
        <f>HYPERLINK("https://klasma.github.io/Logging_1882/klagomålsmail/A 5230-2023 FSC-klagomål mail.docx", "A 5230-2023")</f>
        <v/>
      </c>
      <c r="X335">
        <f>HYPERLINK("https://klasma.github.io/Logging_1882/tillsyn/A 5230-2023 tillsynsbegäran.docx", "A 5230-2023")</f>
        <v/>
      </c>
      <c r="Y335">
        <f>HYPERLINK("https://klasma.github.io/Logging_1882/tillsynsmail/A 5230-2023 tillsynsbegäran mail.docx", "A 5230-2023")</f>
        <v/>
      </c>
    </row>
    <row r="336" ht="15" customHeight="1">
      <c r="A336" t="inlineStr">
        <is>
          <t>A 45467-2025</t>
        </is>
      </c>
      <c r="B336" s="1" t="n">
        <v>45922.49990740741</v>
      </c>
      <c r="C336" s="1" t="n">
        <v>46132</v>
      </c>
      <c r="D336" t="inlineStr">
        <is>
          <t>ÖREBRO LÄN</t>
        </is>
      </c>
      <c r="E336" t="inlineStr">
        <is>
          <t>LINDESBERG</t>
        </is>
      </c>
      <c r="F336" t="inlineStr">
        <is>
          <t>Sveaskog</t>
        </is>
      </c>
      <c r="G336" t="n">
        <v>2</v>
      </c>
      <c r="H336" t="n">
        <v>0</v>
      </c>
      <c r="I336" t="n">
        <v>0</v>
      </c>
      <c r="J336" t="n">
        <v>1</v>
      </c>
      <c r="K336" t="n">
        <v>0</v>
      </c>
      <c r="L336" t="n">
        <v>0</v>
      </c>
      <c r="M336" t="n">
        <v>0</v>
      </c>
      <c r="N336" t="n">
        <v>0</v>
      </c>
      <c r="O336" t="n">
        <v>1</v>
      </c>
      <c r="P336" t="n">
        <v>0</v>
      </c>
      <c r="Q336" t="n">
        <v>1</v>
      </c>
      <c r="R336" s="2" t="inlineStr">
        <is>
          <t>Svartvit taggsvamp</t>
        </is>
      </c>
      <c r="S336">
        <f>HYPERLINK("https://klasma.github.io/Logging_1885/artfynd/A 45467-2025 artfynd.xlsx", "A 45467-2025")</f>
        <v/>
      </c>
      <c r="T336">
        <f>HYPERLINK("https://klasma.github.io/Logging_1885/kartor/A 45467-2025 karta.png", "A 45467-2025")</f>
        <v/>
      </c>
      <c r="V336">
        <f>HYPERLINK("https://klasma.github.io/Logging_1885/klagomål/A 45467-2025 FSC-klagomål.docx", "A 45467-2025")</f>
        <v/>
      </c>
      <c r="W336">
        <f>HYPERLINK("https://klasma.github.io/Logging_1885/klagomålsmail/A 45467-2025 FSC-klagomål mail.docx", "A 45467-2025")</f>
        <v/>
      </c>
      <c r="X336">
        <f>HYPERLINK("https://klasma.github.io/Logging_1885/tillsyn/A 45467-2025 tillsynsbegäran.docx", "A 45467-2025")</f>
        <v/>
      </c>
      <c r="Y336">
        <f>HYPERLINK("https://klasma.github.io/Logging_1885/tillsynsmail/A 45467-2025 tillsynsbegäran mail.docx", "A 45467-2025")</f>
        <v/>
      </c>
    </row>
    <row r="337" ht="15" customHeight="1">
      <c r="A337" t="inlineStr">
        <is>
          <t>A 55327-2025</t>
        </is>
      </c>
      <c r="B337" s="1" t="n">
        <v>45971.33780092592</v>
      </c>
      <c r="C337" s="1" t="n">
        <v>46132</v>
      </c>
      <c r="D337" t="inlineStr">
        <is>
          <t>ÖREBRO LÄN</t>
        </is>
      </c>
      <c r="E337" t="inlineStr">
        <is>
          <t>HALLSBERG</t>
        </is>
      </c>
      <c r="F337" t="inlineStr">
        <is>
          <t>Sveaskog</t>
        </is>
      </c>
      <c r="G337" t="n">
        <v>4.4</v>
      </c>
      <c r="H337" t="n">
        <v>0</v>
      </c>
      <c r="I337" t="n">
        <v>1</v>
      </c>
      <c r="J337" t="n">
        <v>0</v>
      </c>
      <c r="K337" t="n">
        <v>0</v>
      </c>
      <c r="L337" t="n">
        <v>0</v>
      </c>
      <c r="M337" t="n">
        <v>0</v>
      </c>
      <c r="N337" t="n">
        <v>0</v>
      </c>
      <c r="O337" t="n">
        <v>0</v>
      </c>
      <c r="P337" t="n">
        <v>0</v>
      </c>
      <c r="Q337" t="n">
        <v>1</v>
      </c>
      <c r="R337" s="2" t="inlineStr">
        <is>
          <t>Björksplintborre</t>
        </is>
      </c>
      <c r="S337">
        <f>HYPERLINK("https://klasma.github.io/Logging_1861/artfynd/A 55327-2025 artfynd.xlsx", "A 55327-2025")</f>
        <v/>
      </c>
      <c r="T337">
        <f>HYPERLINK("https://klasma.github.io/Logging_1861/kartor/A 55327-2025 karta.png", "A 55327-2025")</f>
        <v/>
      </c>
      <c r="V337">
        <f>HYPERLINK("https://klasma.github.io/Logging_1861/klagomål/A 55327-2025 FSC-klagomål.docx", "A 55327-2025")</f>
        <v/>
      </c>
      <c r="W337">
        <f>HYPERLINK("https://klasma.github.io/Logging_1861/klagomålsmail/A 55327-2025 FSC-klagomål mail.docx", "A 55327-2025")</f>
        <v/>
      </c>
      <c r="X337">
        <f>HYPERLINK("https://klasma.github.io/Logging_1861/tillsyn/A 55327-2025 tillsynsbegäran.docx", "A 55327-2025")</f>
        <v/>
      </c>
      <c r="Y337">
        <f>HYPERLINK("https://klasma.github.io/Logging_1861/tillsynsmail/A 55327-2025 tillsynsbegäran mail.docx", "A 55327-2025")</f>
        <v/>
      </c>
    </row>
    <row r="338" ht="15" customHeight="1">
      <c r="A338" t="inlineStr">
        <is>
          <t>A 47787-2025</t>
        </is>
      </c>
      <c r="B338" s="1" t="n">
        <v>45931</v>
      </c>
      <c r="C338" s="1" t="n">
        <v>46132</v>
      </c>
      <c r="D338" t="inlineStr">
        <is>
          <t>ÖREBRO LÄN</t>
        </is>
      </c>
      <c r="E338" t="inlineStr">
        <is>
          <t>DEGERFORS</t>
        </is>
      </c>
      <c r="G338" t="n">
        <v>4.1</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47787-2025 artfynd.xlsx", "A 47787-2025")</f>
        <v/>
      </c>
      <c r="T338">
        <f>HYPERLINK("https://klasma.github.io/Logging_1862/kartor/A 47787-2025 karta.png", "A 47787-2025")</f>
        <v/>
      </c>
      <c r="V338">
        <f>HYPERLINK("https://klasma.github.io/Logging_1862/klagomål/A 47787-2025 FSC-klagomål.docx", "A 47787-2025")</f>
        <v/>
      </c>
      <c r="W338">
        <f>HYPERLINK("https://klasma.github.io/Logging_1862/klagomålsmail/A 47787-2025 FSC-klagomål mail.docx", "A 47787-2025")</f>
        <v/>
      </c>
      <c r="X338">
        <f>HYPERLINK("https://klasma.github.io/Logging_1862/tillsyn/A 47787-2025 tillsynsbegäran.docx", "A 47787-2025")</f>
        <v/>
      </c>
      <c r="Y338">
        <f>HYPERLINK("https://klasma.github.io/Logging_1862/tillsynsmail/A 47787-2025 tillsynsbegäran mail.docx", "A 47787-2025")</f>
        <v/>
      </c>
      <c r="Z338">
        <f>HYPERLINK("https://klasma.github.io/Logging_1862/fåglar/A 47787-2025 prioriterade fågelarter.docx", "A 47787-2025")</f>
        <v/>
      </c>
    </row>
    <row r="339" ht="15" customHeight="1">
      <c r="A339" t="inlineStr">
        <is>
          <t>A 28936-2025</t>
        </is>
      </c>
      <c r="B339" s="1" t="n">
        <v>45820.69287037037</v>
      </c>
      <c r="C339" s="1" t="n">
        <v>46132</v>
      </c>
      <c r="D339" t="inlineStr">
        <is>
          <t>ÖREBRO LÄN</t>
        </is>
      </c>
      <c r="E339" t="inlineStr">
        <is>
          <t>ÖREBRO</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HYPERLINK("https://klasma.github.io/Logging_1880/artfynd/A 28936-2025 artfynd.xlsx", "A 28936-2025")</f>
        <v/>
      </c>
      <c r="T339">
        <f>HYPERLINK("https://klasma.github.io/Logging_1880/kartor/A 28936-2025 karta.png", "A 28936-2025")</f>
        <v/>
      </c>
      <c r="V339">
        <f>HYPERLINK("https://klasma.github.io/Logging_1880/klagomål/A 28936-2025 FSC-klagomål.docx", "A 28936-2025")</f>
        <v/>
      </c>
      <c r="W339">
        <f>HYPERLINK("https://klasma.github.io/Logging_1880/klagomålsmail/A 28936-2025 FSC-klagomål mail.docx", "A 28936-2025")</f>
        <v/>
      </c>
      <c r="X339">
        <f>HYPERLINK("https://klasma.github.io/Logging_1880/tillsyn/A 28936-2025 tillsynsbegäran.docx", "A 28936-2025")</f>
        <v/>
      </c>
      <c r="Y339">
        <f>HYPERLINK("https://klasma.github.io/Logging_1880/tillsynsmail/A 28936-2025 tillsynsbegäran mail.docx", "A 28936-2025")</f>
        <v/>
      </c>
      <c r="Z339">
        <f>HYPERLINK("https://klasma.github.io/Logging_1880/fåglar/A 28936-2025 prioriterade fågelarter.docx", "A 28936-2025")</f>
        <v/>
      </c>
    </row>
    <row r="340" ht="15" customHeight="1">
      <c r="A340" t="inlineStr">
        <is>
          <t>A 16642-2024</t>
        </is>
      </c>
      <c r="B340" s="1" t="n">
        <v>45408.61318287037</v>
      </c>
      <c r="C340" s="1" t="n">
        <v>46132</v>
      </c>
      <c r="D340" t="inlineStr">
        <is>
          <t>ÖREBRO LÄN</t>
        </is>
      </c>
      <c r="E340" t="inlineStr">
        <is>
          <t>NORA</t>
        </is>
      </c>
      <c r="F340" t="inlineStr">
        <is>
          <t>Sveaskog</t>
        </is>
      </c>
      <c r="G340" t="n">
        <v>4</v>
      </c>
      <c r="H340" t="n">
        <v>1</v>
      </c>
      <c r="I340" t="n">
        <v>0</v>
      </c>
      <c r="J340" t="n">
        <v>0</v>
      </c>
      <c r="K340" t="n">
        <v>0</v>
      </c>
      <c r="L340" t="n">
        <v>0</v>
      </c>
      <c r="M340" t="n">
        <v>0</v>
      </c>
      <c r="N340" t="n">
        <v>0</v>
      </c>
      <c r="O340" t="n">
        <v>0</v>
      </c>
      <c r="P340" t="n">
        <v>0</v>
      </c>
      <c r="Q340" t="n">
        <v>1</v>
      </c>
      <c r="R340" s="2" t="inlineStr">
        <is>
          <t>Blåsippa</t>
        </is>
      </c>
      <c r="S340">
        <f>HYPERLINK("https://klasma.github.io/Logging_1884/artfynd/A 16642-2024 artfynd.xlsx", "A 16642-2024")</f>
        <v/>
      </c>
      <c r="T340">
        <f>HYPERLINK("https://klasma.github.io/Logging_1884/kartor/A 16642-2024 karta.png", "A 16642-2024")</f>
        <v/>
      </c>
      <c r="V340">
        <f>HYPERLINK("https://klasma.github.io/Logging_1884/klagomål/A 16642-2024 FSC-klagomål.docx", "A 16642-2024")</f>
        <v/>
      </c>
      <c r="W340">
        <f>HYPERLINK("https://klasma.github.io/Logging_1884/klagomålsmail/A 16642-2024 FSC-klagomål mail.docx", "A 16642-2024")</f>
        <v/>
      </c>
      <c r="X340">
        <f>HYPERLINK("https://klasma.github.io/Logging_1884/tillsyn/A 16642-2024 tillsynsbegäran.docx", "A 16642-2024")</f>
        <v/>
      </c>
      <c r="Y340">
        <f>HYPERLINK("https://klasma.github.io/Logging_1884/tillsynsmail/A 16642-2024 tillsynsbegäran mail.docx", "A 16642-2024")</f>
        <v/>
      </c>
    </row>
    <row r="341" ht="15" customHeight="1">
      <c r="A341" t="inlineStr">
        <is>
          <t>A 29366-2025</t>
        </is>
      </c>
      <c r="B341" s="1" t="n">
        <v>45824.57144675926</v>
      </c>
      <c r="C341" s="1" t="n">
        <v>46132</v>
      </c>
      <c r="D341" t="inlineStr">
        <is>
          <t>ÖREBRO LÄN</t>
        </is>
      </c>
      <c r="E341" t="inlineStr">
        <is>
          <t>ASKERSUND</t>
        </is>
      </c>
      <c r="G341" t="n">
        <v>10.9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29366-2025 artfynd.xlsx", "A 29366-2025")</f>
        <v/>
      </c>
      <c r="T341">
        <f>HYPERLINK("https://klasma.github.io/Logging_1882/kartor/A 29366-2025 karta.png", "A 29366-2025")</f>
        <v/>
      </c>
      <c r="V341">
        <f>HYPERLINK("https://klasma.github.io/Logging_1882/klagomål/A 29366-2025 FSC-klagomål.docx", "A 29366-2025")</f>
        <v/>
      </c>
      <c r="W341">
        <f>HYPERLINK("https://klasma.github.io/Logging_1882/klagomålsmail/A 29366-2025 FSC-klagomål mail.docx", "A 29366-2025")</f>
        <v/>
      </c>
      <c r="X341">
        <f>HYPERLINK("https://klasma.github.io/Logging_1882/tillsyn/A 29366-2025 tillsynsbegäran.docx", "A 29366-2025")</f>
        <v/>
      </c>
      <c r="Y341">
        <f>HYPERLINK("https://klasma.github.io/Logging_1882/tillsynsmail/A 29366-2025 tillsynsbegäran mail.docx", "A 29366-2025")</f>
        <v/>
      </c>
    </row>
    <row r="342" ht="15" customHeight="1">
      <c r="A342" t="inlineStr">
        <is>
          <t>A 3729-2023</t>
        </is>
      </c>
      <c r="B342" s="1" t="n">
        <v>44949</v>
      </c>
      <c r="C342" s="1" t="n">
        <v>46132</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12793-2025</t>
        </is>
      </c>
      <c r="B343" s="1" t="n">
        <v>45733.60920138889</v>
      </c>
      <c r="C343" s="1" t="n">
        <v>46132</v>
      </c>
      <c r="D343" t="inlineStr">
        <is>
          <t>ÖREBRO LÄN</t>
        </is>
      </c>
      <c r="E343" t="inlineStr">
        <is>
          <t>ASKERSUND</t>
        </is>
      </c>
      <c r="G343" t="n">
        <v>8.5</v>
      </c>
      <c r="H343" t="n">
        <v>1</v>
      </c>
      <c r="I343" t="n">
        <v>0</v>
      </c>
      <c r="J343" t="n">
        <v>1</v>
      </c>
      <c r="K343" t="n">
        <v>0</v>
      </c>
      <c r="L343" t="n">
        <v>0</v>
      </c>
      <c r="M343" t="n">
        <v>0</v>
      </c>
      <c r="N343" t="n">
        <v>0</v>
      </c>
      <c r="O343" t="n">
        <v>1</v>
      </c>
      <c r="P343" t="n">
        <v>0</v>
      </c>
      <c r="Q343" t="n">
        <v>1</v>
      </c>
      <c r="R343" s="2" t="inlineStr">
        <is>
          <t>Spillkråka</t>
        </is>
      </c>
      <c r="S343">
        <f>HYPERLINK("https://klasma.github.io/Logging_1882/artfynd/A 12793-2025 artfynd.xlsx", "A 12793-2025")</f>
        <v/>
      </c>
      <c r="T343">
        <f>HYPERLINK("https://klasma.github.io/Logging_1882/kartor/A 12793-2025 karta.png", "A 12793-2025")</f>
        <v/>
      </c>
      <c r="V343">
        <f>HYPERLINK("https://klasma.github.io/Logging_1882/klagomål/A 12793-2025 FSC-klagomål.docx", "A 12793-2025")</f>
        <v/>
      </c>
      <c r="W343">
        <f>HYPERLINK("https://klasma.github.io/Logging_1882/klagomålsmail/A 12793-2025 FSC-klagomål mail.docx", "A 12793-2025")</f>
        <v/>
      </c>
      <c r="X343">
        <f>HYPERLINK("https://klasma.github.io/Logging_1882/tillsyn/A 12793-2025 tillsynsbegäran.docx", "A 12793-2025")</f>
        <v/>
      </c>
      <c r="Y343">
        <f>HYPERLINK("https://klasma.github.io/Logging_1882/tillsynsmail/A 12793-2025 tillsynsbegäran mail.docx", "A 12793-2025")</f>
        <v/>
      </c>
      <c r="Z343">
        <f>HYPERLINK("https://klasma.github.io/Logging_1882/fåglar/A 12793-2025 prioriterade fågelarter.docx", "A 12793-2025")</f>
        <v/>
      </c>
    </row>
    <row r="344" ht="15" customHeight="1">
      <c r="A344" t="inlineStr">
        <is>
          <t>A 5244-2025</t>
        </is>
      </c>
      <c r="B344" s="1" t="n">
        <v>45692</v>
      </c>
      <c r="C344" s="1" t="n">
        <v>46132</v>
      </c>
      <c r="D344" t="inlineStr">
        <is>
          <t>ÖREBRO LÄN</t>
        </is>
      </c>
      <c r="E344" t="inlineStr">
        <is>
          <t>HÄLLEFORS</t>
        </is>
      </c>
      <c r="F344" t="inlineStr">
        <is>
          <t>Bergvik skog väst AB</t>
        </is>
      </c>
      <c r="G344" t="n">
        <v>9.199999999999999</v>
      </c>
      <c r="H344" t="n">
        <v>0</v>
      </c>
      <c r="I344" t="n">
        <v>0</v>
      </c>
      <c r="J344" t="n">
        <v>1</v>
      </c>
      <c r="K344" t="n">
        <v>0</v>
      </c>
      <c r="L344" t="n">
        <v>0</v>
      </c>
      <c r="M344" t="n">
        <v>0</v>
      </c>
      <c r="N344" t="n">
        <v>0</v>
      </c>
      <c r="O344" t="n">
        <v>1</v>
      </c>
      <c r="P344" t="n">
        <v>0</v>
      </c>
      <c r="Q344" t="n">
        <v>1</v>
      </c>
      <c r="R344" s="2" t="inlineStr">
        <is>
          <t>Lunglav</t>
        </is>
      </c>
      <c r="S344">
        <f>HYPERLINK("https://klasma.github.io/Logging_1863/artfynd/A 5244-2025 artfynd.xlsx", "A 5244-2025")</f>
        <v/>
      </c>
      <c r="T344">
        <f>HYPERLINK("https://klasma.github.io/Logging_1863/kartor/A 5244-2025 karta.png", "A 5244-2025")</f>
        <v/>
      </c>
      <c r="V344">
        <f>HYPERLINK("https://klasma.github.io/Logging_1863/klagomål/A 5244-2025 FSC-klagomål.docx", "A 5244-2025")</f>
        <v/>
      </c>
      <c r="W344">
        <f>HYPERLINK("https://klasma.github.io/Logging_1863/klagomålsmail/A 5244-2025 FSC-klagomål mail.docx", "A 5244-2025")</f>
        <v/>
      </c>
      <c r="X344">
        <f>HYPERLINK("https://klasma.github.io/Logging_1863/tillsyn/A 5244-2025 tillsynsbegäran.docx", "A 5244-2025")</f>
        <v/>
      </c>
      <c r="Y344">
        <f>HYPERLINK("https://klasma.github.io/Logging_1863/tillsynsmail/A 5244-2025 tillsynsbegäran mail.docx", "A 5244-2025")</f>
        <v/>
      </c>
    </row>
    <row r="345" ht="15" customHeight="1">
      <c r="A345" t="inlineStr">
        <is>
          <t>A 31052-2025</t>
        </is>
      </c>
      <c r="B345" s="1" t="n">
        <v>45832.56153935185</v>
      </c>
      <c r="C345" s="1" t="n">
        <v>46132</v>
      </c>
      <c r="D345" t="inlineStr">
        <is>
          <t>ÖREBRO LÄN</t>
        </is>
      </c>
      <c r="E345" t="inlineStr">
        <is>
          <t>LINDESBERG</t>
        </is>
      </c>
      <c r="F345" t="inlineStr">
        <is>
          <t>Sveaskog</t>
        </is>
      </c>
      <c r="G345" t="n">
        <v>1.1</v>
      </c>
      <c r="H345" t="n">
        <v>1</v>
      </c>
      <c r="I345" t="n">
        <v>0</v>
      </c>
      <c r="J345" t="n">
        <v>0</v>
      </c>
      <c r="K345" t="n">
        <v>0</v>
      </c>
      <c r="L345" t="n">
        <v>0</v>
      </c>
      <c r="M345" t="n">
        <v>0</v>
      </c>
      <c r="N345" t="n">
        <v>0</v>
      </c>
      <c r="O345" t="n">
        <v>0</v>
      </c>
      <c r="P345" t="n">
        <v>0</v>
      </c>
      <c r="Q345" t="n">
        <v>1</v>
      </c>
      <c r="R345" s="2" t="inlineStr">
        <is>
          <t>Fläcknycklar</t>
        </is>
      </c>
      <c r="S345">
        <f>HYPERLINK("https://klasma.github.io/Logging_1885/artfynd/A 31052-2025 artfynd.xlsx", "A 31052-2025")</f>
        <v/>
      </c>
      <c r="T345">
        <f>HYPERLINK("https://klasma.github.io/Logging_1885/kartor/A 31052-2025 karta.png", "A 31052-2025")</f>
        <v/>
      </c>
      <c r="V345">
        <f>HYPERLINK("https://klasma.github.io/Logging_1885/klagomål/A 31052-2025 FSC-klagomål.docx", "A 31052-2025")</f>
        <v/>
      </c>
      <c r="W345">
        <f>HYPERLINK("https://klasma.github.io/Logging_1885/klagomålsmail/A 31052-2025 FSC-klagomål mail.docx", "A 31052-2025")</f>
        <v/>
      </c>
      <c r="X345">
        <f>HYPERLINK("https://klasma.github.io/Logging_1885/tillsyn/A 31052-2025 tillsynsbegäran.docx", "A 31052-2025")</f>
        <v/>
      </c>
      <c r="Y345">
        <f>HYPERLINK("https://klasma.github.io/Logging_1885/tillsynsmail/A 31052-2025 tillsynsbegäran mail.docx", "A 31052-2025")</f>
        <v/>
      </c>
    </row>
    <row r="346" ht="15" customHeight="1">
      <c r="A346" t="inlineStr">
        <is>
          <t>A 11519-2023</t>
        </is>
      </c>
      <c r="B346" s="1" t="n">
        <v>44993.71164351852</v>
      </c>
      <c r="C346" s="1" t="n">
        <v>46132</v>
      </c>
      <c r="D346" t="inlineStr">
        <is>
          <t>ÖREBRO LÄN</t>
        </is>
      </c>
      <c r="E346" t="inlineStr">
        <is>
          <t>ASKERSUND</t>
        </is>
      </c>
      <c r="G346" t="n">
        <v>2</v>
      </c>
      <c r="H346" t="n">
        <v>0</v>
      </c>
      <c r="I346" t="n">
        <v>1</v>
      </c>
      <c r="J346" t="n">
        <v>0</v>
      </c>
      <c r="K346" t="n">
        <v>0</v>
      </c>
      <c r="L346" t="n">
        <v>0</v>
      </c>
      <c r="M346" t="n">
        <v>0</v>
      </c>
      <c r="N346" t="n">
        <v>0</v>
      </c>
      <c r="O346" t="n">
        <v>0</v>
      </c>
      <c r="P346" t="n">
        <v>0</v>
      </c>
      <c r="Q346" t="n">
        <v>1</v>
      </c>
      <c r="R346" s="2" t="inlineStr">
        <is>
          <t>Vågbandad barkbock</t>
        </is>
      </c>
      <c r="S346">
        <f>HYPERLINK("https://klasma.github.io/Logging_1882/artfynd/A 11519-2023 artfynd.xlsx", "A 11519-2023")</f>
        <v/>
      </c>
      <c r="T346">
        <f>HYPERLINK("https://klasma.github.io/Logging_1882/kartor/A 11519-2023 karta.png", "A 11519-2023")</f>
        <v/>
      </c>
      <c r="V346">
        <f>HYPERLINK("https://klasma.github.io/Logging_1882/klagomål/A 11519-2023 FSC-klagomål.docx", "A 11519-2023")</f>
        <v/>
      </c>
      <c r="W346">
        <f>HYPERLINK("https://klasma.github.io/Logging_1882/klagomålsmail/A 11519-2023 FSC-klagomål mail.docx", "A 11519-2023")</f>
        <v/>
      </c>
      <c r="X346">
        <f>HYPERLINK("https://klasma.github.io/Logging_1882/tillsyn/A 11519-2023 tillsynsbegäran.docx", "A 11519-2023")</f>
        <v/>
      </c>
      <c r="Y346">
        <f>HYPERLINK("https://klasma.github.io/Logging_1882/tillsynsmail/A 11519-2023 tillsynsbegäran mail.docx", "A 11519-2023")</f>
        <v/>
      </c>
    </row>
    <row r="347" ht="15" customHeight="1">
      <c r="A347" t="inlineStr">
        <is>
          <t>A 48956-2025</t>
        </is>
      </c>
      <c r="B347" s="1" t="n">
        <v>45937.54982638889</v>
      </c>
      <c r="C347" s="1" t="n">
        <v>46132</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49306-2025</t>
        </is>
      </c>
      <c r="B348" s="1" t="n">
        <v>45938</v>
      </c>
      <c r="C348" s="1" t="n">
        <v>46132</v>
      </c>
      <c r="D348" t="inlineStr">
        <is>
          <t>ÖREBRO LÄN</t>
        </is>
      </c>
      <c r="E348" t="inlineStr">
        <is>
          <t>DEGERFORS</t>
        </is>
      </c>
      <c r="G348" t="n">
        <v>5.8</v>
      </c>
      <c r="H348" t="n">
        <v>0</v>
      </c>
      <c r="I348" t="n">
        <v>1</v>
      </c>
      <c r="J348" t="n">
        <v>0</v>
      </c>
      <c r="K348" t="n">
        <v>0</v>
      </c>
      <c r="L348" t="n">
        <v>0</v>
      </c>
      <c r="M348" t="n">
        <v>0</v>
      </c>
      <c r="N348" t="n">
        <v>0</v>
      </c>
      <c r="O348" t="n">
        <v>0</v>
      </c>
      <c r="P348" t="n">
        <v>0</v>
      </c>
      <c r="Q348" t="n">
        <v>1</v>
      </c>
      <c r="R348" s="2" t="inlineStr">
        <is>
          <t>Svart trolldruva</t>
        </is>
      </c>
      <c r="S348">
        <f>HYPERLINK("https://klasma.github.io/Logging_1862/artfynd/A 49306-2025 artfynd.xlsx", "A 49306-2025")</f>
        <v/>
      </c>
      <c r="T348">
        <f>HYPERLINK("https://klasma.github.io/Logging_1862/kartor/A 49306-2025 karta.png", "A 49306-2025")</f>
        <v/>
      </c>
      <c r="V348">
        <f>HYPERLINK("https://klasma.github.io/Logging_1862/klagomål/A 49306-2025 FSC-klagomål.docx", "A 49306-2025")</f>
        <v/>
      </c>
      <c r="W348">
        <f>HYPERLINK("https://klasma.github.io/Logging_1862/klagomålsmail/A 49306-2025 FSC-klagomål mail.docx", "A 49306-2025")</f>
        <v/>
      </c>
      <c r="X348">
        <f>HYPERLINK("https://klasma.github.io/Logging_1862/tillsyn/A 49306-2025 tillsynsbegäran.docx", "A 49306-2025")</f>
        <v/>
      </c>
      <c r="Y348">
        <f>HYPERLINK("https://klasma.github.io/Logging_1862/tillsynsmail/A 49306-2025 tillsynsbegäran mail.docx", "A 49306-2025")</f>
        <v/>
      </c>
    </row>
    <row r="349" ht="15" customHeight="1">
      <c r="A349" t="inlineStr">
        <is>
          <t>A 32226-2025</t>
        </is>
      </c>
      <c r="B349" s="1" t="n">
        <v>45835.59478009259</v>
      </c>
      <c r="C349" s="1" t="n">
        <v>46132</v>
      </c>
      <c r="D349" t="inlineStr">
        <is>
          <t>ÖREBRO LÄN</t>
        </is>
      </c>
      <c r="E349" t="inlineStr">
        <is>
          <t>ÖREBRO</t>
        </is>
      </c>
      <c r="G349" t="n">
        <v>1.2</v>
      </c>
      <c r="H349" t="n">
        <v>0</v>
      </c>
      <c r="I349" t="n">
        <v>0</v>
      </c>
      <c r="J349" t="n">
        <v>1</v>
      </c>
      <c r="K349" t="n">
        <v>0</v>
      </c>
      <c r="L349" t="n">
        <v>0</v>
      </c>
      <c r="M349" t="n">
        <v>0</v>
      </c>
      <c r="N349" t="n">
        <v>0</v>
      </c>
      <c r="O349" t="n">
        <v>1</v>
      </c>
      <c r="P349" t="n">
        <v>0</v>
      </c>
      <c r="Q349" t="n">
        <v>1</v>
      </c>
      <c r="R349" s="2" t="inlineStr">
        <is>
          <t>Dofttaggsvamp</t>
        </is>
      </c>
      <c r="S349">
        <f>HYPERLINK("https://klasma.github.io/Logging_1880/artfynd/A 32226-2025 artfynd.xlsx", "A 32226-2025")</f>
        <v/>
      </c>
      <c r="T349">
        <f>HYPERLINK("https://klasma.github.io/Logging_1880/kartor/A 32226-2025 karta.png", "A 32226-2025")</f>
        <v/>
      </c>
      <c r="V349">
        <f>HYPERLINK("https://klasma.github.io/Logging_1880/klagomål/A 32226-2025 FSC-klagomål.docx", "A 32226-2025")</f>
        <v/>
      </c>
      <c r="W349">
        <f>HYPERLINK("https://klasma.github.io/Logging_1880/klagomålsmail/A 32226-2025 FSC-klagomål mail.docx", "A 32226-2025")</f>
        <v/>
      </c>
      <c r="X349">
        <f>HYPERLINK("https://klasma.github.io/Logging_1880/tillsyn/A 32226-2025 tillsynsbegäran.docx", "A 32226-2025")</f>
        <v/>
      </c>
      <c r="Y349">
        <f>HYPERLINK("https://klasma.github.io/Logging_1880/tillsynsmail/A 32226-2025 tillsynsbegäran mail.docx", "A 32226-2025")</f>
        <v/>
      </c>
    </row>
    <row r="350" ht="15" customHeight="1">
      <c r="A350" t="inlineStr">
        <is>
          <t>A 32204-2025</t>
        </is>
      </c>
      <c r="B350" s="1" t="n">
        <v>45835.58074074074</v>
      </c>
      <c r="C350" s="1" t="n">
        <v>46132</v>
      </c>
      <c r="D350" t="inlineStr">
        <is>
          <t>ÖREBRO LÄN</t>
        </is>
      </c>
      <c r="E350" t="inlineStr">
        <is>
          <t>ÖREBRO</t>
        </is>
      </c>
      <c r="G350" t="n">
        <v>3.4</v>
      </c>
      <c r="H350" t="n">
        <v>1</v>
      </c>
      <c r="I350" t="n">
        <v>0</v>
      </c>
      <c r="J350" t="n">
        <v>0</v>
      </c>
      <c r="K350" t="n">
        <v>0</v>
      </c>
      <c r="L350" t="n">
        <v>0</v>
      </c>
      <c r="M350" t="n">
        <v>0</v>
      </c>
      <c r="N350" t="n">
        <v>0</v>
      </c>
      <c r="O350" t="n">
        <v>0</v>
      </c>
      <c r="P350" t="n">
        <v>0</v>
      </c>
      <c r="Q350" t="n">
        <v>1</v>
      </c>
      <c r="R350" s="2" t="inlineStr">
        <is>
          <t>Tjäder</t>
        </is>
      </c>
      <c r="S350">
        <f>HYPERLINK("https://klasma.github.io/Logging_1880/artfynd/A 32204-2025 artfynd.xlsx", "A 32204-2025")</f>
        <v/>
      </c>
      <c r="T350">
        <f>HYPERLINK("https://klasma.github.io/Logging_1880/kartor/A 32204-2025 karta.png", "A 32204-2025")</f>
        <v/>
      </c>
      <c r="V350">
        <f>HYPERLINK("https://klasma.github.io/Logging_1880/klagomål/A 32204-2025 FSC-klagomål.docx", "A 32204-2025")</f>
        <v/>
      </c>
      <c r="W350">
        <f>HYPERLINK("https://klasma.github.io/Logging_1880/klagomålsmail/A 32204-2025 FSC-klagomål mail.docx", "A 32204-2025")</f>
        <v/>
      </c>
      <c r="X350">
        <f>HYPERLINK("https://klasma.github.io/Logging_1880/tillsyn/A 32204-2025 tillsynsbegäran.docx", "A 32204-2025")</f>
        <v/>
      </c>
      <c r="Y350">
        <f>HYPERLINK("https://klasma.github.io/Logging_1880/tillsynsmail/A 32204-2025 tillsynsbegäran mail.docx", "A 32204-2025")</f>
        <v/>
      </c>
      <c r="Z350">
        <f>HYPERLINK("https://klasma.github.io/Logging_1880/fåglar/A 32204-2025 prioriterade fågelarter.docx", "A 32204-2025")</f>
        <v/>
      </c>
    </row>
    <row r="351" ht="15" customHeight="1">
      <c r="A351" t="inlineStr">
        <is>
          <t>A 47915-2024</t>
        </is>
      </c>
      <c r="B351" s="1" t="n">
        <v>45589.34315972222</v>
      </c>
      <c r="C351" s="1" t="n">
        <v>46132</v>
      </c>
      <c r="D351" t="inlineStr">
        <is>
          <t>ÖREBRO LÄN</t>
        </is>
      </c>
      <c r="E351" t="inlineStr">
        <is>
          <t>DEGERFORS</t>
        </is>
      </c>
      <c r="F351" t="inlineStr">
        <is>
          <t>Sveaskog</t>
        </is>
      </c>
      <c r="G351" t="n">
        <v>5.8</v>
      </c>
      <c r="H351" t="n">
        <v>1</v>
      </c>
      <c r="I351" t="n">
        <v>0</v>
      </c>
      <c r="J351" t="n">
        <v>0</v>
      </c>
      <c r="K351" t="n">
        <v>0</v>
      </c>
      <c r="L351" t="n">
        <v>0</v>
      </c>
      <c r="M351" t="n">
        <v>0</v>
      </c>
      <c r="N351" t="n">
        <v>0</v>
      </c>
      <c r="O351" t="n">
        <v>0</v>
      </c>
      <c r="P351" t="n">
        <v>0</v>
      </c>
      <c r="Q351" t="n">
        <v>1</v>
      </c>
      <c r="R351" s="2" t="inlineStr">
        <is>
          <t>Mattlummer</t>
        </is>
      </c>
      <c r="S351">
        <f>HYPERLINK("https://klasma.github.io/Logging_1862/artfynd/A 47915-2024 artfynd.xlsx", "A 47915-2024")</f>
        <v/>
      </c>
      <c r="T351">
        <f>HYPERLINK("https://klasma.github.io/Logging_1862/kartor/A 47915-2024 karta.png", "A 47915-2024")</f>
        <v/>
      </c>
      <c r="V351">
        <f>HYPERLINK("https://klasma.github.io/Logging_1862/klagomål/A 47915-2024 FSC-klagomål.docx", "A 47915-2024")</f>
        <v/>
      </c>
      <c r="W351">
        <f>HYPERLINK("https://klasma.github.io/Logging_1862/klagomålsmail/A 47915-2024 FSC-klagomål mail.docx", "A 47915-2024")</f>
        <v/>
      </c>
      <c r="X351">
        <f>HYPERLINK("https://klasma.github.io/Logging_1862/tillsyn/A 47915-2024 tillsynsbegäran.docx", "A 47915-2024")</f>
        <v/>
      </c>
      <c r="Y351">
        <f>HYPERLINK("https://klasma.github.io/Logging_1862/tillsynsmail/A 47915-2024 tillsynsbegäran mail.docx", "A 47915-2024")</f>
        <v/>
      </c>
    </row>
    <row r="352" ht="15" customHeight="1">
      <c r="A352" t="inlineStr">
        <is>
          <t>A 32081-2025</t>
        </is>
      </c>
      <c r="B352" s="1" t="n">
        <v>45835.45203703704</v>
      </c>
      <c r="C352" s="1" t="n">
        <v>46132</v>
      </c>
      <c r="D352" t="inlineStr">
        <is>
          <t>ÖREBRO LÄN</t>
        </is>
      </c>
      <c r="E352" t="inlineStr">
        <is>
          <t>KARLSKOGA</t>
        </is>
      </c>
      <c r="F352" t="inlineStr">
        <is>
          <t>Kyrkan</t>
        </is>
      </c>
      <c r="G352" t="n">
        <v>4.3</v>
      </c>
      <c r="H352" t="n">
        <v>0</v>
      </c>
      <c r="I352" t="n">
        <v>1</v>
      </c>
      <c r="J352" t="n">
        <v>0</v>
      </c>
      <c r="K352" t="n">
        <v>0</v>
      </c>
      <c r="L352" t="n">
        <v>0</v>
      </c>
      <c r="M352" t="n">
        <v>0</v>
      </c>
      <c r="N352" t="n">
        <v>0</v>
      </c>
      <c r="O352" t="n">
        <v>0</v>
      </c>
      <c r="P352" t="n">
        <v>0</v>
      </c>
      <c r="Q352" t="n">
        <v>1</v>
      </c>
      <c r="R352" s="2" t="inlineStr">
        <is>
          <t>Smal svampklubba</t>
        </is>
      </c>
      <c r="S352">
        <f>HYPERLINK("https://klasma.github.io/Logging_1883/artfynd/A 32081-2025 artfynd.xlsx", "A 32081-2025")</f>
        <v/>
      </c>
      <c r="T352">
        <f>HYPERLINK("https://klasma.github.io/Logging_1883/kartor/A 32081-2025 karta.png", "A 32081-2025")</f>
        <v/>
      </c>
      <c r="V352">
        <f>HYPERLINK("https://klasma.github.io/Logging_1883/klagomål/A 32081-2025 FSC-klagomål.docx", "A 32081-2025")</f>
        <v/>
      </c>
      <c r="W352">
        <f>HYPERLINK("https://klasma.github.io/Logging_1883/klagomålsmail/A 32081-2025 FSC-klagomål mail.docx", "A 32081-2025")</f>
        <v/>
      </c>
      <c r="X352">
        <f>HYPERLINK("https://klasma.github.io/Logging_1883/tillsyn/A 32081-2025 tillsynsbegäran.docx", "A 32081-2025")</f>
        <v/>
      </c>
      <c r="Y352">
        <f>HYPERLINK("https://klasma.github.io/Logging_1883/tillsynsmail/A 32081-2025 tillsynsbegäran mail.docx", "A 32081-2025")</f>
        <v/>
      </c>
    </row>
    <row r="353" ht="15" customHeight="1">
      <c r="A353" t="inlineStr">
        <is>
          <t>A 24188-2024</t>
        </is>
      </c>
      <c r="B353" s="1" t="n">
        <v>45456.9100925926</v>
      </c>
      <c r="C353" s="1" t="n">
        <v>46132</v>
      </c>
      <c r="D353" t="inlineStr">
        <is>
          <t>ÖREBRO LÄN</t>
        </is>
      </c>
      <c r="E353" t="inlineStr">
        <is>
          <t>KARLSKOGA</t>
        </is>
      </c>
      <c r="F353" t="inlineStr">
        <is>
          <t>Sveaskog</t>
        </is>
      </c>
      <c r="G353" t="n">
        <v>9</v>
      </c>
      <c r="H353" t="n">
        <v>0</v>
      </c>
      <c r="I353" t="n">
        <v>0</v>
      </c>
      <c r="J353" t="n">
        <v>1</v>
      </c>
      <c r="K353" t="n">
        <v>0</v>
      </c>
      <c r="L353" t="n">
        <v>0</v>
      </c>
      <c r="M353" t="n">
        <v>0</v>
      </c>
      <c r="N353" t="n">
        <v>0</v>
      </c>
      <c r="O353" t="n">
        <v>1</v>
      </c>
      <c r="P353" t="n">
        <v>0</v>
      </c>
      <c r="Q353" t="n">
        <v>1</v>
      </c>
      <c r="R353" s="2" t="inlineStr">
        <is>
          <t>Garnlav</t>
        </is>
      </c>
      <c r="S353">
        <f>HYPERLINK("https://klasma.github.io/Logging_1883/artfynd/A 24188-2024 artfynd.xlsx", "A 24188-2024")</f>
        <v/>
      </c>
      <c r="T353">
        <f>HYPERLINK("https://klasma.github.io/Logging_1883/kartor/A 24188-2024 karta.png", "A 24188-2024")</f>
        <v/>
      </c>
      <c r="V353">
        <f>HYPERLINK("https://klasma.github.io/Logging_1883/klagomål/A 24188-2024 FSC-klagomål.docx", "A 24188-2024")</f>
        <v/>
      </c>
      <c r="W353">
        <f>HYPERLINK("https://klasma.github.io/Logging_1883/klagomålsmail/A 24188-2024 FSC-klagomål mail.docx", "A 24188-2024")</f>
        <v/>
      </c>
      <c r="X353">
        <f>HYPERLINK("https://klasma.github.io/Logging_1883/tillsyn/A 24188-2024 tillsynsbegäran.docx", "A 24188-2024")</f>
        <v/>
      </c>
      <c r="Y353">
        <f>HYPERLINK("https://klasma.github.io/Logging_1883/tillsynsmail/A 24188-2024 tillsynsbegäran mail.docx", "A 24188-2024")</f>
        <v/>
      </c>
    </row>
    <row r="354" ht="15" customHeight="1">
      <c r="A354" t="inlineStr">
        <is>
          <t>A 32498-2025</t>
        </is>
      </c>
      <c r="B354" s="1" t="n">
        <v>45838.4570949074</v>
      </c>
      <c r="C354" s="1" t="n">
        <v>46132</v>
      </c>
      <c r="D354" t="inlineStr">
        <is>
          <t>ÖREBRO LÄN</t>
        </is>
      </c>
      <c r="E354" t="inlineStr">
        <is>
          <t>NORA</t>
        </is>
      </c>
      <c r="F354" t="inlineStr">
        <is>
          <t>Sveaskog</t>
        </is>
      </c>
      <c r="G354" t="n">
        <v>3</v>
      </c>
      <c r="H354" t="n">
        <v>1</v>
      </c>
      <c r="I354" t="n">
        <v>0</v>
      </c>
      <c r="J354" t="n">
        <v>0</v>
      </c>
      <c r="K354" t="n">
        <v>0</v>
      </c>
      <c r="L354" t="n">
        <v>0</v>
      </c>
      <c r="M354" t="n">
        <v>0</v>
      </c>
      <c r="N354" t="n">
        <v>0</v>
      </c>
      <c r="O354" t="n">
        <v>0</v>
      </c>
      <c r="P354" t="n">
        <v>0</v>
      </c>
      <c r="Q354" t="n">
        <v>1</v>
      </c>
      <c r="R354" s="2" t="inlineStr">
        <is>
          <t>Fläcknycklar</t>
        </is>
      </c>
      <c r="S354">
        <f>HYPERLINK("https://klasma.github.io/Logging_1884/artfynd/A 32498-2025 artfynd.xlsx", "A 32498-2025")</f>
        <v/>
      </c>
      <c r="T354">
        <f>HYPERLINK("https://klasma.github.io/Logging_1884/kartor/A 32498-2025 karta.png", "A 32498-2025")</f>
        <v/>
      </c>
      <c r="V354">
        <f>HYPERLINK("https://klasma.github.io/Logging_1884/klagomål/A 32498-2025 FSC-klagomål.docx", "A 32498-2025")</f>
        <v/>
      </c>
      <c r="W354">
        <f>HYPERLINK("https://klasma.github.io/Logging_1884/klagomålsmail/A 32498-2025 FSC-klagomål mail.docx", "A 32498-2025")</f>
        <v/>
      </c>
      <c r="X354">
        <f>HYPERLINK("https://klasma.github.io/Logging_1884/tillsyn/A 32498-2025 tillsynsbegäran.docx", "A 32498-2025")</f>
        <v/>
      </c>
      <c r="Y354">
        <f>HYPERLINK("https://klasma.github.io/Logging_1884/tillsynsmail/A 32498-2025 tillsynsbegäran mail.docx", "A 32498-2025")</f>
        <v/>
      </c>
    </row>
    <row r="355" ht="15" customHeight="1">
      <c r="A355" t="inlineStr">
        <is>
          <t>A 31512-2023</t>
        </is>
      </c>
      <c r="B355" s="1" t="n">
        <v>45115</v>
      </c>
      <c r="C355" s="1" t="n">
        <v>46132</v>
      </c>
      <c r="D355" t="inlineStr">
        <is>
          <t>ÖREBRO LÄN</t>
        </is>
      </c>
      <c r="E355" t="inlineStr">
        <is>
          <t>ASKERSUND</t>
        </is>
      </c>
      <c r="F355" t="inlineStr">
        <is>
          <t>Sveaskog</t>
        </is>
      </c>
      <c r="G355" t="n">
        <v>1.1</v>
      </c>
      <c r="H355" t="n">
        <v>1</v>
      </c>
      <c r="I355" t="n">
        <v>0</v>
      </c>
      <c r="J355" t="n">
        <v>1</v>
      </c>
      <c r="K355" t="n">
        <v>0</v>
      </c>
      <c r="L355" t="n">
        <v>0</v>
      </c>
      <c r="M355" t="n">
        <v>0</v>
      </c>
      <c r="N355" t="n">
        <v>0</v>
      </c>
      <c r="O355" t="n">
        <v>1</v>
      </c>
      <c r="P355" t="n">
        <v>0</v>
      </c>
      <c r="Q355" t="n">
        <v>1</v>
      </c>
      <c r="R355" s="2" t="inlineStr">
        <is>
          <t>Talltita</t>
        </is>
      </c>
      <c r="S355">
        <f>HYPERLINK("https://klasma.github.io/Logging_1882/artfynd/A 31512-2023 artfynd.xlsx", "A 31512-2023")</f>
        <v/>
      </c>
      <c r="T355">
        <f>HYPERLINK("https://klasma.github.io/Logging_1882/kartor/A 31512-2023 karta.png", "A 31512-2023")</f>
        <v/>
      </c>
      <c r="V355">
        <f>HYPERLINK("https://klasma.github.io/Logging_1882/klagomål/A 31512-2023 FSC-klagomål.docx", "A 31512-2023")</f>
        <v/>
      </c>
      <c r="W355">
        <f>HYPERLINK("https://klasma.github.io/Logging_1882/klagomålsmail/A 31512-2023 FSC-klagomål mail.docx", "A 31512-2023")</f>
        <v/>
      </c>
      <c r="X355">
        <f>HYPERLINK("https://klasma.github.io/Logging_1882/tillsyn/A 31512-2023 tillsynsbegäran.docx", "A 31512-2023")</f>
        <v/>
      </c>
      <c r="Y355">
        <f>HYPERLINK("https://klasma.github.io/Logging_1882/tillsynsmail/A 31512-2023 tillsynsbegäran mail.docx", "A 31512-2023")</f>
        <v/>
      </c>
      <c r="Z355">
        <f>HYPERLINK("https://klasma.github.io/Logging_1882/fåglar/A 31512-2023 prioriterade fågelarter.docx", "A 31512-2023")</f>
        <v/>
      </c>
    </row>
    <row r="356" ht="15" customHeight="1">
      <c r="A356" t="inlineStr">
        <is>
          <t>A 28147-2022</t>
        </is>
      </c>
      <c r="B356" s="1" t="n">
        <v>44746</v>
      </c>
      <c r="C356" s="1" t="n">
        <v>46132</v>
      </c>
      <c r="D356" t="inlineStr">
        <is>
          <t>ÖREBRO LÄN</t>
        </is>
      </c>
      <c r="E356" t="inlineStr">
        <is>
          <t>LEKEBERG</t>
        </is>
      </c>
      <c r="G356" t="n">
        <v>1.4</v>
      </c>
      <c r="H356" t="n">
        <v>1</v>
      </c>
      <c r="I356" t="n">
        <v>0</v>
      </c>
      <c r="J356" t="n">
        <v>1</v>
      </c>
      <c r="K356" t="n">
        <v>0</v>
      </c>
      <c r="L356" t="n">
        <v>0</v>
      </c>
      <c r="M356" t="n">
        <v>0</v>
      </c>
      <c r="N356" t="n">
        <v>0</v>
      </c>
      <c r="O356" t="n">
        <v>1</v>
      </c>
      <c r="P356" t="n">
        <v>0</v>
      </c>
      <c r="Q356" t="n">
        <v>1</v>
      </c>
      <c r="R356" s="2" t="inlineStr">
        <is>
          <t>Mindre hackspett</t>
        </is>
      </c>
      <c r="S356">
        <f>HYPERLINK("https://klasma.github.io/Logging_1814/artfynd/A 28147-2022 artfynd.xlsx", "A 28147-2022")</f>
        <v/>
      </c>
      <c r="T356">
        <f>HYPERLINK("https://klasma.github.io/Logging_1814/kartor/A 28147-2022 karta.png", "A 28147-2022")</f>
        <v/>
      </c>
      <c r="V356">
        <f>HYPERLINK("https://klasma.github.io/Logging_1814/klagomål/A 28147-2022 FSC-klagomål.docx", "A 28147-2022")</f>
        <v/>
      </c>
      <c r="W356">
        <f>HYPERLINK("https://klasma.github.io/Logging_1814/klagomålsmail/A 28147-2022 FSC-klagomål mail.docx", "A 28147-2022")</f>
        <v/>
      </c>
      <c r="X356">
        <f>HYPERLINK("https://klasma.github.io/Logging_1814/tillsyn/A 28147-2022 tillsynsbegäran.docx", "A 28147-2022")</f>
        <v/>
      </c>
      <c r="Y356">
        <f>HYPERLINK("https://klasma.github.io/Logging_1814/tillsynsmail/A 28147-2022 tillsynsbegäran mail.docx", "A 28147-2022")</f>
        <v/>
      </c>
      <c r="Z356">
        <f>HYPERLINK("https://klasma.github.io/Logging_1814/fåglar/A 28147-2022 prioriterade fågelarter.docx", "A 28147-2022")</f>
        <v/>
      </c>
    </row>
    <row r="357" ht="15" customHeight="1">
      <c r="A357" t="inlineStr">
        <is>
          <t>A 17018-2023</t>
        </is>
      </c>
      <c r="B357" s="1" t="n">
        <v>45034</v>
      </c>
      <c r="C357" s="1" t="n">
        <v>46132</v>
      </c>
      <c r="D357" t="inlineStr">
        <is>
          <t>ÖREBRO LÄN</t>
        </is>
      </c>
      <c r="E357" t="inlineStr">
        <is>
          <t>HALLSBERG</t>
        </is>
      </c>
      <c r="G357" t="n">
        <v>5.6</v>
      </c>
      <c r="H357" t="n">
        <v>1</v>
      </c>
      <c r="I357" t="n">
        <v>0</v>
      </c>
      <c r="J357" t="n">
        <v>0</v>
      </c>
      <c r="K357" t="n">
        <v>0</v>
      </c>
      <c r="L357" t="n">
        <v>0</v>
      </c>
      <c r="M357" t="n">
        <v>0</v>
      </c>
      <c r="N357" t="n">
        <v>0</v>
      </c>
      <c r="O357" t="n">
        <v>0</v>
      </c>
      <c r="P357" t="n">
        <v>0</v>
      </c>
      <c r="Q357" t="n">
        <v>1</v>
      </c>
      <c r="R357" s="2" t="inlineStr">
        <is>
          <t>Gullviva</t>
        </is>
      </c>
      <c r="S357">
        <f>HYPERLINK("https://klasma.github.io/Logging_1861/artfynd/A 17018-2023 artfynd.xlsx", "A 17018-2023")</f>
        <v/>
      </c>
      <c r="T357">
        <f>HYPERLINK("https://klasma.github.io/Logging_1861/kartor/A 17018-2023 karta.png", "A 17018-2023")</f>
        <v/>
      </c>
      <c r="V357">
        <f>HYPERLINK("https://klasma.github.io/Logging_1861/klagomål/A 17018-2023 FSC-klagomål.docx", "A 17018-2023")</f>
        <v/>
      </c>
      <c r="W357">
        <f>HYPERLINK("https://klasma.github.io/Logging_1861/klagomålsmail/A 17018-2023 FSC-klagomål mail.docx", "A 17018-2023")</f>
        <v/>
      </c>
      <c r="X357">
        <f>HYPERLINK("https://klasma.github.io/Logging_1861/tillsyn/A 17018-2023 tillsynsbegäran.docx", "A 17018-2023")</f>
        <v/>
      </c>
      <c r="Y357">
        <f>HYPERLINK("https://klasma.github.io/Logging_1861/tillsynsmail/A 17018-2023 tillsynsbegäran mail.docx", "A 17018-2023")</f>
        <v/>
      </c>
    </row>
    <row r="358" ht="15" customHeight="1">
      <c r="A358" t="inlineStr">
        <is>
          <t>A 50766-2025</t>
        </is>
      </c>
      <c r="B358" s="1" t="n">
        <v>45946.44423611111</v>
      </c>
      <c r="C358" s="1" t="n">
        <v>46132</v>
      </c>
      <c r="D358" t="inlineStr">
        <is>
          <t>ÖREBRO LÄN</t>
        </is>
      </c>
      <c r="E358" t="inlineStr">
        <is>
          <t>LINDESBERG</t>
        </is>
      </c>
      <c r="F358" t="inlineStr">
        <is>
          <t>Sveaskog</t>
        </is>
      </c>
      <c r="G358" t="n">
        <v>2.4</v>
      </c>
      <c r="H358" t="n">
        <v>0</v>
      </c>
      <c r="I358" t="n">
        <v>0</v>
      </c>
      <c r="J358" t="n">
        <v>0</v>
      </c>
      <c r="K358" t="n">
        <v>1</v>
      </c>
      <c r="L358" t="n">
        <v>0</v>
      </c>
      <c r="M358" t="n">
        <v>0</v>
      </c>
      <c r="N358" t="n">
        <v>0</v>
      </c>
      <c r="O358" t="n">
        <v>1</v>
      </c>
      <c r="P358" t="n">
        <v>1</v>
      </c>
      <c r="Q358" t="n">
        <v>1</v>
      </c>
      <c r="R358" s="2" t="inlineStr">
        <is>
          <t>Rotfingersvamp</t>
        </is>
      </c>
      <c r="S358">
        <f>HYPERLINK("https://klasma.github.io/Logging_1885/artfynd/A 50766-2025 artfynd.xlsx", "A 50766-2025")</f>
        <v/>
      </c>
      <c r="T358">
        <f>HYPERLINK("https://klasma.github.io/Logging_1885/kartor/A 50766-2025 karta.png", "A 50766-2025")</f>
        <v/>
      </c>
      <c r="V358">
        <f>HYPERLINK("https://klasma.github.io/Logging_1885/klagomål/A 50766-2025 FSC-klagomål.docx", "A 50766-2025")</f>
        <v/>
      </c>
      <c r="W358">
        <f>HYPERLINK("https://klasma.github.io/Logging_1885/klagomålsmail/A 50766-2025 FSC-klagomål mail.docx", "A 50766-2025")</f>
        <v/>
      </c>
      <c r="X358">
        <f>HYPERLINK("https://klasma.github.io/Logging_1885/tillsyn/A 50766-2025 tillsynsbegäran.docx", "A 50766-2025")</f>
        <v/>
      </c>
      <c r="Y358">
        <f>HYPERLINK("https://klasma.github.io/Logging_1885/tillsynsmail/A 50766-2025 tillsynsbegäran mail.docx", "A 50766-2025")</f>
        <v/>
      </c>
    </row>
    <row r="359" ht="15" customHeight="1">
      <c r="A359" t="inlineStr">
        <is>
          <t>A 50777-2025</t>
        </is>
      </c>
      <c r="B359" s="1" t="n">
        <v>45946.45171296296</v>
      </c>
      <c r="C359" s="1" t="n">
        <v>46132</v>
      </c>
      <c r="D359" t="inlineStr">
        <is>
          <t>ÖREBRO LÄN</t>
        </is>
      </c>
      <c r="E359" t="inlineStr">
        <is>
          <t>LINDESBERG</t>
        </is>
      </c>
      <c r="F359" t="inlineStr">
        <is>
          <t>Sveaskog</t>
        </is>
      </c>
      <c r="G359" t="n">
        <v>5.3</v>
      </c>
      <c r="H359" t="n">
        <v>0</v>
      </c>
      <c r="I359" t="n">
        <v>1</v>
      </c>
      <c r="J359" t="n">
        <v>0</v>
      </c>
      <c r="K359" t="n">
        <v>0</v>
      </c>
      <c r="L359" t="n">
        <v>0</v>
      </c>
      <c r="M359" t="n">
        <v>0</v>
      </c>
      <c r="N359" t="n">
        <v>0</v>
      </c>
      <c r="O359" t="n">
        <v>0</v>
      </c>
      <c r="P359" t="n">
        <v>0</v>
      </c>
      <c r="Q359" t="n">
        <v>1</v>
      </c>
      <c r="R359" s="2" t="inlineStr">
        <is>
          <t>Zontaggsvamp</t>
        </is>
      </c>
      <c r="S359">
        <f>HYPERLINK("https://klasma.github.io/Logging_1885/artfynd/A 50777-2025 artfynd.xlsx", "A 50777-2025")</f>
        <v/>
      </c>
      <c r="T359">
        <f>HYPERLINK("https://klasma.github.io/Logging_1885/kartor/A 50777-2025 karta.png", "A 50777-2025")</f>
        <v/>
      </c>
      <c r="V359">
        <f>HYPERLINK("https://klasma.github.io/Logging_1885/klagomål/A 50777-2025 FSC-klagomål.docx", "A 50777-2025")</f>
        <v/>
      </c>
      <c r="W359">
        <f>HYPERLINK("https://klasma.github.io/Logging_1885/klagomålsmail/A 50777-2025 FSC-klagomål mail.docx", "A 50777-2025")</f>
        <v/>
      </c>
      <c r="X359">
        <f>HYPERLINK("https://klasma.github.io/Logging_1885/tillsyn/A 50777-2025 tillsynsbegäran.docx", "A 50777-2025")</f>
        <v/>
      </c>
      <c r="Y359">
        <f>HYPERLINK("https://klasma.github.io/Logging_1885/tillsynsmail/A 50777-2025 tillsynsbegäran mail.docx", "A 50777-2025")</f>
        <v/>
      </c>
    </row>
    <row r="360" ht="15" customHeight="1">
      <c r="A360" t="inlineStr">
        <is>
          <t>A 50768-2025</t>
        </is>
      </c>
      <c r="B360" s="1" t="n">
        <v>45946.44790509259</v>
      </c>
      <c r="C360" s="1" t="n">
        <v>46132</v>
      </c>
      <c r="D360" t="inlineStr">
        <is>
          <t>ÖREBRO LÄN</t>
        </is>
      </c>
      <c r="E360" t="inlineStr">
        <is>
          <t>LINDESBERG</t>
        </is>
      </c>
      <c r="F360" t="inlineStr">
        <is>
          <t>Sveaskog</t>
        </is>
      </c>
      <c r="G360" t="n">
        <v>3.1</v>
      </c>
      <c r="H360" t="n">
        <v>1</v>
      </c>
      <c r="I360" t="n">
        <v>1</v>
      </c>
      <c r="J360" t="n">
        <v>0</v>
      </c>
      <c r="K360" t="n">
        <v>0</v>
      </c>
      <c r="L360" t="n">
        <v>0</v>
      </c>
      <c r="M360" t="n">
        <v>0</v>
      </c>
      <c r="N360" t="n">
        <v>0</v>
      </c>
      <c r="O360" t="n">
        <v>0</v>
      </c>
      <c r="P360" t="n">
        <v>0</v>
      </c>
      <c r="Q360" t="n">
        <v>1</v>
      </c>
      <c r="R360" s="2" t="inlineStr">
        <is>
          <t>Plattlummer</t>
        </is>
      </c>
      <c r="S360">
        <f>HYPERLINK("https://klasma.github.io/Logging_1885/artfynd/A 50768-2025 artfynd.xlsx", "A 50768-2025")</f>
        <v/>
      </c>
      <c r="T360">
        <f>HYPERLINK("https://klasma.github.io/Logging_1885/kartor/A 50768-2025 karta.png", "A 50768-2025")</f>
        <v/>
      </c>
      <c r="V360">
        <f>HYPERLINK("https://klasma.github.io/Logging_1885/klagomål/A 50768-2025 FSC-klagomål.docx", "A 50768-2025")</f>
        <v/>
      </c>
      <c r="W360">
        <f>HYPERLINK("https://klasma.github.io/Logging_1885/klagomålsmail/A 50768-2025 FSC-klagomål mail.docx", "A 50768-2025")</f>
        <v/>
      </c>
      <c r="X360">
        <f>HYPERLINK("https://klasma.github.io/Logging_1885/tillsyn/A 50768-2025 tillsynsbegäran.docx", "A 50768-2025")</f>
        <v/>
      </c>
      <c r="Y360">
        <f>HYPERLINK("https://klasma.github.io/Logging_1885/tillsynsmail/A 50768-2025 tillsynsbegäran mail.docx", "A 50768-2025")</f>
        <v/>
      </c>
    </row>
    <row r="361" ht="15" customHeight="1">
      <c r="A361" t="inlineStr">
        <is>
          <t>A 50499-2025</t>
        </is>
      </c>
      <c r="B361" s="1" t="n">
        <v>45945.41712962963</v>
      </c>
      <c r="C361" s="1" t="n">
        <v>46132</v>
      </c>
      <c r="D361" t="inlineStr">
        <is>
          <t>ÖREBRO LÄN</t>
        </is>
      </c>
      <c r="E361" t="inlineStr">
        <is>
          <t>ÖREBRO</t>
        </is>
      </c>
      <c r="G361" t="n">
        <v>6.7</v>
      </c>
      <c r="H361" t="n">
        <v>0</v>
      </c>
      <c r="I361" t="n">
        <v>0</v>
      </c>
      <c r="J361" t="n">
        <v>1</v>
      </c>
      <c r="K361" t="n">
        <v>0</v>
      </c>
      <c r="L361" t="n">
        <v>0</v>
      </c>
      <c r="M361" t="n">
        <v>0</v>
      </c>
      <c r="N361" t="n">
        <v>0</v>
      </c>
      <c r="O361" t="n">
        <v>1</v>
      </c>
      <c r="P361" t="n">
        <v>0</v>
      </c>
      <c r="Q361" t="n">
        <v>1</v>
      </c>
      <c r="R361" s="2" t="inlineStr">
        <is>
          <t>Gullklöver</t>
        </is>
      </c>
      <c r="S361">
        <f>HYPERLINK("https://klasma.github.io/Logging_1880/artfynd/A 50499-2025 artfynd.xlsx", "A 50499-2025")</f>
        <v/>
      </c>
      <c r="T361">
        <f>HYPERLINK("https://klasma.github.io/Logging_1880/kartor/A 50499-2025 karta.png", "A 50499-2025")</f>
        <v/>
      </c>
      <c r="V361">
        <f>HYPERLINK("https://klasma.github.io/Logging_1880/klagomål/A 50499-2025 FSC-klagomål.docx", "A 50499-2025")</f>
        <v/>
      </c>
      <c r="W361">
        <f>HYPERLINK("https://klasma.github.io/Logging_1880/klagomålsmail/A 50499-2025 FSC-klagomål mail.docx", "A 50499-2025")</f>
        <v/>
      </c>
      <c r="X361">
        <f>HYPERLINK("https://klasma.github.io/Logging_1880/tillsyn/A 50499-2025 tillsynsbegäran.docx", "A 50499-2025")</f>
        <v/>
      </c>
      <c r="Y361">
        <f>HYPERLINK("https://klasma.github.io/Logging_1880/tillsynsmail/A 50499-2025 tillsynsbegäran mail.docx", "A 50499-2025")</f>
        <v/>
      </c>
    </row>
    <row r="362" ht="15" customHeight="1">
      <c r="A362" t="inlineStr">
        <is>
          <t>A 34371-2025</t>
        </is>
      </c>
      <c r="B362" s="1" t="n">
        <v>45846.51239583334</v>
      </c>
      <c r="C362" s="1" t="n">
        <v>46132</v>
      </c>
      <c r="D362" t="inlineStr">
        <is>
          <t>ÖREBRO LÄN</t>
        </is>
      </c>
      <c r="E362" t="inlineStr">
        <is>
          <t>LAXÅ</t>
        </is>
      </c>
      <c r="F362" t="inlineStr">
        <is>
          <t>Allmännings- och besparingsskogar</t>
        </is>
      </c>
      <c r="G362" t="n">
        <v>7.8</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34371-2025 artfynd.xlsx", "A 34371-2025")</f>
        <v/>
      </c>
      <c r="T362">
        <f>HYPERLINK("https://klasma.github.io/Logging_1860/kartor/A 34371-2025 karta.png", "A 34371-2025")</f>
        <v/>
      </c>
      <c r="V362">
        <f>HYPERLINK("https://klasma.github.io/Logging_1860/klagomål/A 34371-2025 FSC-klagomål.docx", "A 34371-2025")</f>
        <v/>
      </c>
      <c r="W362">
        <f>HYPERLINK("https://klasma.github.io/Logging_1860/klagomålsmail/A 34371-2025 FSC-klagomål mail.docx", "A 34371-2025")</f>
        <v/>
      </c>
      <c r="X362">
        <f>HYPERLINK("https://klasma.github.io/Logging_1860/tillsyn/A 34371-2025 tillsynsbegäran.docx", "A 34371-2025")</f>
        <v/>
      </c>
      <c r="Y362">
        <f>HYPERLINK("https://klasma.github.io/Logging_1860/tillsynsmail/A 34371-2025 tillsynsbegäran mail.docx", "A 34371-2025")</f>
        <v/>
      </c>
    </row>
    <row r="363" ht="15" customHeight="1">
      <c r="A363" t="inlineStr">
        <is>
          <t>A 51319-2021</t>
        </is>
      </c>
      <c r="B363" s="1" t="n">
        <v>44461</v>
      </c>
      <c r="C363" s="1" t="n">
        <v>46132</v>
      </c>
      <c r="D363" t="inlineStr">
        <is>
          <t>ÖREBRO LÄN</t>
        </is>
      </c>
      <c r="E363" t="inlineStr">
        <is>
          <t>ASKERSUND</t>
        </is>
      </c>
      <c r="F363" t="inlineStr">
        <is>
          <t>Sveaskog</t>
        </is>
      </c>
      <c r="G363" t="n">
        <v>2</v>
      </c>
      <c r="H363" t="n">
        <v>0</v>
      </c>
      <c r="I363" t="n">
        <v>0</v>
      </c>
      <c r="J363" t="n">
        <v>1</v>
      </c>
      <c r="K363" t="n">
        <v>0</v>
      </c>
      <c r="L363" t="n">
        <v>0</v>
      </c>
      <c r="M363" t="n">
        <v>0</v>
      </c>
      <c r="N363" t="n">
        <v>0</v>
      </c>
      <c r="O363" t="n">
        <v>1</v>
      </c>
      <c r="P363" t="n">
        <v>0</v>
      </c>
      <c r="Q363" t="n">
        <v>1</v>
      </c>
      <c r="R363" s="2" t="inlineStr">
        <is>
          <t>Sexfläckig bastardsvärmare</t>
        </is>
      </c>
      <c r="S363">
        <f>HYPERLINK("https://klasma.github.io/Logging_1882/artfynd/A 51319-2021 artfynd.xlsx", "A 51319-2021")</f>
        <v/>
      </c>
      <c r="T363">
        <f>HYPERLINK("https://klasma.github.io/Logging_1882/kartor/A 51319-2021 karta.png", "A 51319-2021")</f>
        <v/>
      </c>
      <c r="V363">
        <f>HYPERLINK("https://klasma.github.io/Logging_1882/klagomål/A 51319-2021 FSC-klagomål.docx", "A 51319-2021")</f>
        <v/>
      </c>
      <c r="W363">
        <f>HYPERLINK("https://klasma.github.io/Logging_1882/klagomålsmail/A 51319-2021 FSC-klagomål mail.docx", "A 51319-2021")</f>
        <v/>
      </c>
      <c r="X363">
        <f>HYPERLINK("https://klasma.github.io/Logging_1882/tillsyn/A 51319-2021 tillsynsbegäran.docx", "A 51319-2021")</f>
        <v/>
      </c>
      <c r="Y363">
        <f>HYPERLINK("https://klasma.github.io/Logging_1882/tillsynsmail/A 51319-2021 tillsynsbegäran mail.docx", "A 51319-2021")</f>
        <v/>
      </c>
    </row>
    <row r="364" ht="15" customHeight="1">
      <c r="A364" t="inlineStr">
        <is>
          <t>A 32105-2023</t>
        </is>
      </c>
      <c r="B364" s="1" t="n">
        <v>45119</v>
      </c>
      <c r="C364" s="1" t="n">
        <v>46132</v>
      </c>
      <c r="D364" t="inlineStr">
        <is>
          <t>ÖREBRO LÄN</t>
        </is>
      </c>
      <c r="E364" t="inlineStr">
        <is>
          <t>ÖREBRO</t>
        </is>
      </c>
      <c r="G364" t="n">
        <v>1.3</v>
      </c>
      <c r="H364" t="n">
        <v>1</v>
      </c>
      <c r="I364" t="n">
        <v>0</v>
      </c>
      <c r="J364" t="n">
        <v>1</v>
      </c>
      <c r="K364" t="n">
        <v>0</v>
      </c>
      <c r="L364" t="n">
        <v>0</v>
      </c>
      <c r="M364" t="n">
        <v>0</v>
      </c>
      <c r="N364" t="n">
        <v>0</v>
      </c>
      <c r="O364" t="n">
        <v>1</v>
      </c>
      <c r="P364" t="n">
        <v>0</v>
      </c>
      <c r="Q364" t="n">
        <v>1</v>
      </c>
      <c r="R364" s="2" t="inlineStr">
        <is>
          <t>Rödvingetrast</t>
        </is>
      </c>
      <c r="S364">
        <f>HYPERLINK("https://klasma.github.io/Logging_1880/artfynd/A 32105-2023 artfynd.xlsx", "A 32105-2023")</f>
        <v/>
      </c>
      <c r="T364">
        <f>HYPERLINK("https://klasma.github.io/Logging_1880/kartor/A 32105-2023 karta.png", "A 32105-2023")</f>
        <v/>
      </c>
      <c r="V364">
        <f>HYPERLINK("https://klasma.github.io/Logging_1880/klagomål/A 32105-2023 FSC-klagomål.docx", "A 32105-2023")</f>
        <v/>
      </c>
      <c r="W364">
        <f>HYPERLINK("https://klasma.github.io/Logging_1880/klagomålsmail/A 32105-2023 FSC-klagomål mail.docx", "A 32105-2023")</f>
        <v/>
      </c>
      <c r="X364">
        <f>HYPERLINK("https://klasma.github.io/Logging_1880/tillsyn/A 32105-2023 tillsynsbegäran.docx", "A 32105-2023")</f>
        <v/>
      </c>
      <c r="Y364">
        <f>HYPERLINK("https://klasma.github.io/Logging_1880/tillsynsmail/A 32105-2023 tillsynsbegäran mail.docx", "A 32105-2023")</f>
        <v/>
      </c>
      <c r="Z364">
        <f>HYPERLINK("https://klasma.github.io/Logging_1880/fåglar/A 32105-2023 prioriterade fågelarter.docx", "A 32105-2023")</f>
        <v/>
      </c>
    </row>
    <row r="365" ht="15" customHeight="1">
      <c r="A365" t="inlineStr">
        <is>
          <t>A 55832-2021</t>
        </is>
      </c>
      <c r="B365" s="1" t="n">
        <v>44476</v>
      </c>
      <c r="C365" s="1" t="n">
        <v>46132</v>
      </c>
      <c r="D365" t="inlineStr">
        <is>
          <t>ÖREBRO LÄN</t>
        </is>
      </c>
      <c r="E365" t="inlineStr">
        <is>
          <t>ASKERSUND</t>
        </is>
      </c>
      <c r="F365" t="inlineStr">
        <is>
          <t>Sveaskog</t>
        </is>
      </c>
      <c r="G365" t="n">
        <v>3.2</v>
      </c>
      <c r="H365" t="n">
        <v>0</v>
      </c>
      <c r="I365" t="n">
        <v>0</v>
      </c>
      <c r="J365" t="n">
        <v>0</v>
      </c>
      <c r="K365" t="n">
        <v>1</v>
      </c>
      <c r="L365" t="n">
        <v>0</v>
      </c>
      <c r="M365" t="n">
        <v>0</v>
      </c>
      <c r="N365" t="n">
        <v>0</v>
      </c>
      <c r="O365" t="n">
        <v>1</v>
      </c>
      <c r="P365" t="n">
        <v>1</v>
      </c>
      <c r="Q365" t="n">
        <v>1</v>
      </c>
      <c r="R365" s="2" t="inlineStr">
        <is>
          <t>Slåttergubbe</t>
        </is>
      </c>
      <c r="S365">
        <f>HYPERLINK("https://klasma.github.io/Logging_1882/artfynd/A 55832-2021 artfynd.xlsx", "A 55832-2021")</f>
        <v/>
      </c>
      <c r="T365">
        <f>HYPERLINK("https://klasma.github.io/Logging_1882/kartor/A 55832-2021 karta.png", "A 55832-2021")</f>
        <v/>
      </c>
      <c r="V365">
        <f>HYPERLINK("https://klasma.github.io/Logging_1882/klagomål/A 55832-2021 FSC-klagomål.docx", "A 55832-2021")</f>
        <v/>
      </c>
      <c r="W365">
        <f>HYPERLINK("https://klasma.github.io/Logging_1882/klagomålsmail/A 55832-2021 FSC-klagomål mail.docx", "A 55832-2021")</f>
        <v/>
      </c>
      <c r="X365">
        <f>HYPERLINK("https://klasma.github.io/Logging_1882/tillsyn/A 55832-2021 tillsynsbegäran.docx", "A 55832-2021")</f>
        <v/>
      </c>
      <c r="Y365">
        <f>HYPERLINK("https://klasma.github.io/Logging_1882/tillsynsmail/A 55832-2021 tillsynsbegäran mail.docx", "A 55832-2021")</f>
        <v/>
      </c>
    </row>
    <row r="366" ht="15" customHeight="1">
      <c r="A366" t="inlineStr">
        <is>
          <t>A 34834-2025</t>
        </is>
      </c>
      <c r="B366" s="1" t="n">
        <v>45849.38751157407</v>
      </c>
      <c r="C366" s="1" t="n">
        <v>46132</v>
      </c>
      <c r="D366" t="inlineStr">
        <is>
          <t>ÖREBRO LÄN</t>
        </is>
      </c>
      <c r="E366" t="inlineStr">
        <is>
          <t>KARLSKOGA</t>
        </is>
      </c>
      <c r="F366" t="inlineStr">
        <is>
          <t>Sveaskog</t>
        </is>
      </c>
      <c r="G366" t="n">
        <v>0.8</v>
      </c>
      <c r="H366" t="n">
        <v>1</v>
      </c>
      <c r="I366" t="n">
        <v>0</v>
      </c>
      <c r="J366" t="n">
        <v>1</v>
      </c>
      <c r="K366" t="n">
        <v>0</v>
      </c>
      <c r="L366" t="n">
        <v>0</v>
      </c>
      <c r="M366" t="n">
        <v>0</v>
      </c>
      <c r="N366" t="n">
        <v>0</v>
      </c>
      <c r="O366" t="n">
        <v>1</v>
      </c>
      <c r="P366" t="n">
        <v>0</v>
      </c>
      <c r="Q366" t="n">
        <v>1</v>
      </c>
      <c r="R366" s="2" t="inlineStr">
        <is>
          <t>Talltita</t>
        </is>
      </c>
      <c r="S366">
        <f>HYPERLINK("https://klasma.github.io/Logging_1883/artfynd/A 34834-2025 artfynd.xlsx", "A 34834-2025")</f>
        <v/>
      </c>
      <c r="T366">
        <f>HYPERLINK("https://klasma.github.io/Logging_1883/kartor/A 34834-2025 karta.png", "A 34834-2025")</f>
        <v/>
      </c>
      <c r="V366">
        <f>HYPERLINK("https://klasma.github.io/Logging_1883/klagomål/A 34834-2025 FSC-klagomål.docx", "A 34834-2025")</f>
        <v/>
      </c>
      <c r="W366">
        <f>HYPERLINK("https://klasma.github.io/Logging_1883/klagomålsmail/A 34834-2025 FSC-klagomål mail.docx", "A 34834-2025")</f>
        <v/>
      </c>
      <c r="X366">
        <f>HYPERLINK("https://klasma.github.io/Logging_1883/tillsyn/A 34834-2025 tillsynsbegäran.docx", "A 34834-2025")</f>
        <v/>
      </c>
      <c r="Y366">
        <f>HYPERLINK("https://klasma.github.io/Logging_1883/tillsynsmail/A 34834-2025 tillsynsbegäran mail.docx", "A 34834-2025")</f>
        <v/>
      </c>
      <c r="Z366">
        <f>HYPERLINK("https://klasma.github.io/Logging_1883/fåglar/A 34834-2025 prioriterade fågelarter.docx", "A 34834-2025")</f>
        <v/>
      </c>
    </row>
    <row r="367" ht="15" customHeight="1">
      <c r="A367" t="inlineStr">
        <is>
          <t>A 36669-2024</t>
        </is>
      </c>
      <c r="B367" s="1" t="n">
        <v>45537.64484953704</v>
      </c>
      <c r="C367" s="1" t="n">
        <v>46132</v>
      </c>
      <c r="D367" t="inlineStr">
        <is>
          <t>ÖREBRO LÄN</t>
        </is>
      </c>
      <c r="E367" t="inlineStr">
        <is>
          <t>LINDESBERG</t>
        </is>
      </c>
      <c r="F367" t="inlineStr">
        <is>
          <t>Sveaskog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HYPERLINK("https://klasma.github.io/Logging_1885/artfynd/A 36669-2024 artfynd.xlsx", "A 36669-2024")</f>
        <v/>
      </c>
      <c r="T367">
        <f>HYPERLINK("https://klasma.github.io/Logging_1885/kartor/A 36669-2024 karta.png", "A 36669-2024")</f>
        <v/>
      </c>
      <c r="V367">
        <f>HYPERLINK("https://klasma.github.io/Logging_1885/klagomål/A 36669-2024 FSC-klagomål.docx", "A 36669-2024")</f>
        <v/>
      </c>
      <c r="W367">
        <f>HYPERLINK("https://klasma.github.io/Logging_1885/klagomålsmail/A 36669-2024 FSC-klagomål mail.docx", "A 36669-2024")</f>
        <v/>
      </c>
      <c r="X367">
        <f>HYPERLINK("https://klasma.github.io/Logging_1885/tillsyn/A 36669-2024 tillsynsbegäran.docx", "A 36669-2024")</f>
        <v/>
      </c>
      <c r="Y367">
        <f>HYPERLINK("https://klasma.github.io/Logging_1885/tillsynsmail/A 36669-2024 tillsynsbegäran mail.docx", "A 36669-2024")</f>
        <v/>
      </c>
    </row>
    <row r="368" ht="15" customHeight="1">
      <c r="A368" t="inlineStr">
        <is>
          <t>A 34826-2025</t>
        </is>
      </c>
      <c r="B368" s="1" t="n">
        <v>45849.38326388889</v>
      </c>
      <c r="C368" s="1" t="n">
        <v>46132</v>
      </c>
      <c r="D368" t="inlineStr">
        <is>
          <t>ÖREBRO LÄN</t>
        </is>
      </c>
      <c r="E368" t="inlineStr">
        <is>
          <t>NORA</t>
        </is>
      </c>
      <c r="F368" t="inlineStr">
        <is>
          <t>Sveaskog</t>
        </is>
      </c>
      <c r="G368" t="n">
        <v>4.6</v>
      </c>
      <c r="H368" t="n">
        <v>1</v>
      </c>
      <c r="I368" t="n">
        <v>0</v>
      </c>
      <c r="J368" t="n">
        <v>0</v>
      </c>
      <c r="K368" t="n">
        <v>0</v>
      </c>
      <c r="L368" t="n">
        <v>0</v>
      </c>
      <c r="M368" t="n">
        <v>0</v>
      </c>
      <c r="N368" t="n">
        <v>0</v>
      </c>
      <c r="O368" t="n">
        <v>0</v>
      </c>
      <c r="P368" t="n">
        <v>0</v>
      </c>
      <c r="Q368" t="n">
        <v>1</v>
      </c>
      <c r="R368" s="2" t="inlineStr">
        <is>
          <t>Fläcknycklar</t>
        </is>
      </c>
      <c r="S368">
        <f>HYPERLINK("https://klasma.github.io/Logging_1884/artfynd/A 34826-2025 artfynd.xlsx", "A 34826-2025")</f>
        <v/>
      </c>
      <c r="T368">
        <f>HYPERLINK("https://klasma.github.io/Logging_1884/kartor/A 34826-2025 karta.png", "A 34826-2025")</f>
        <v/>
      </c>
      <c r="V368">
        <f>HYPERLINK("https://klasma.github.io/Logging_1884/klagomål/A 34826-2025 FSC-klagomål.docx", "A 34826-2025")</f>
        <v/>
      </c>
      <c r="W368">
        <f>HYPERLINK("https://klasma.github.io/Logging_1884/klagomålsmail/A 34826-2025 FSC-klagomål mail.docx", "A 34826-2025")</f>
        <v/>
      </c>
      <c r="X368">
        <f>HYPERLINK("https://klasma.github.io/Logging_1884/tillsyn/A 34826-2025 tillsynsbegäran.docx", "A 34826-2025")</f>
        <v/>
      </c>
      <c r="Y368">
        <f>HYPERLINK("https://klasma.github.io/Logging_1884/tillsynsmail/A 34826-2025 tillsynsbegäran mail.docx", "A 34826-2025")</f>
        <v/>
      </c>
    </row>
    <row r="369" ht="15" customHeight="1">
      <c r="A369" t="inlineStr">
        <is>
          <t>A 57362-2025</t>
        </is>
      </c>
      <c r="B369" s="1" t="n">
        <v>45980.37108796297</v>
      </c>
      <c r="C369" s="1" t="n">
        <v>46132</v>
      </c>
      <c r="D369" t="inlineStr">
        <is>
          <t>ÖREBRO LÄN</t>
        </is>
      </c>
      <c r="E369" t="inlineStr">
        <is>
          <t>LINDESBERG</t>
        </is>
      </c>
      <c r="F369" t="inlineStr">
        <is>
          <t>Sveaskog</t>
        </is>
      </c>
      <c r="G369" t="n">
        <v>1.2</v>
      </c>
      <c r="H369" t="n">
        <v>0</v>
      </c>
      <c r="I369" t="n">
        <v>1</v>
      </c>
      <c r="J369" t="n">
        <v>0</v>
      </c>
      <c r="K369" t="n">
        <v>0</v>
      </c>
      <c r="L369" t="n">
        <v>0</v>
      </c>
      <c r="M369" t="n">
        <v>0</v>
      </c>
      <c r="N369" t="n">
        <v>0</v>
      </c>
      <c r="O369" t="n">
        <v>0</v>
      </c>
      <c r="P369" t="n">
        <v>0</v>
      </c>
      <c r="Q369" t="n">
        <v>1</v>
      </c>
      <c r="R369" s="2" t="inlineStr">
        <is>
          <t>Svart trolldruva</t>
        </is>
      </c>
      <c r="S369">
        <f>HYPERLINK("https://klasma.github.io/Logging_1885/artfynd/A 57362-2025 artfynd.xlsx", "A 57362-2025")</f>
        <v/>
      </c>
      <c r="T369">
        <f>HYPERLINK("https://klasma.github.io/Logging_1885/kartor/A 57362-2025 karta.png", "A 57362-2025")</f>
        <v/>
      </c>
      <c r="V369">
        <f>HYPERLINK("https://klasma.github.io/Logging_1885/klagomål/A 57362-2025 FSC-klagomål.docx", "A 57362-2025")</f>
        <v/>
      </c>
      <c r="W369">
        <f>HYPERLINK("https://klasma.github.io/Logging_1885/klagomålsmail/A 57362-2025 FSC-klagomål mail.docx", "A 57362-2025")</f>
        <v/>
      </c>
      <c r="X369">
        <f>HYPERLINK("https://klasma.github.io/Logging_1885/tillsyn/A 57362-2025 tillsynsbegäran.docx", "A 57362-2025")</f>
        <v/>
      </c>
      <c r="Y369">
        <f>HYPERLINK("https://klasma.github.io/Logging_1885/tillsynsmail/A 57362-2025 tillsynsbegäran mail.docx", "A 57362-2025")</f>
        <v/>
      </c>
    </row>
    <row r="370" ht="15" customHeight="1">
      <c r="A370" t="inlineStr">
        <is>
          <t>A 33136-2025</t>
        </is>
      </c>
      <c r="B370" s="1" t="n">
        <v>45840</v>
      </c>
      <c r="C370" s="1" t="n">
        <v>46132</v>
      </c>
      <c r="D370" t="inlineStr">
        <is>
          <t>ÖREBRO LÄN</t>
        </is>
      </c>
      <c r="E370" t="inlineStr">
        <is>
          <t>NORA</t>
        </is>
      </c>
      <c r="F370" t="inlineStr">
        <is>
          <t>Sveaskog</t>
        </is>
      </c>
      <c r="G370" t="n">
        <v>4.2</v>
      </c>
      <c r="H370" t="n">
        <v>0</v>
      </c>
      <c r="I370" t="n">
        <v>0</v>
      </c>
      <c r="J370" t="n">
        <v>1</v>
      </c>
      <c r="K370" t="n">
        <v>0</v>
      </c>
      <c r="L370" t="n">
        <v>0</v>
      </c>
      <c r="M370" t="n">
        <v>0</v>
      </c>
      <c r="N370" t="n">
        <v>0</v>
      </c>
      <c r="O370" t="n">
        <v>1</v>
      </c>
      <c r="P370" t="n">
        <v>0</v>
      </c>
      <c r="Q370" t="n">
        <v>1</v>
      </c>
      <c r="R370" s="2" t="inlineStr">
        <is>
          <t>Tallticka</t>
        </is>
      </c>
      <c r="S370">
        <f>HYPERLINK("https://klasma.github.io/Logging_1884/artfynd/A 33136-2025 artfynd.xlsx", "A 33136-2025")</f>
        <v/>
      </c>
      <c r="T370">
        <f>HYPERLINK("https://klasma.github.io/Logging_1884/kartor/A 33136-2025 karta.png", "A 33136-2025")</f>
        <v/>
      </c>
      <c r="V370">
        <f>HYPERLINK("https://klasma.github.io/Logging_1884/klagomål/A 33136-2025 FSC-klagomål.docx", "A 33136-2025")</f>
        <v/>
      </c>
      <c r="W370">
        <f>HYPERLINK("https://klasma.github.io/Logging_1884/klagomålsmail/A 33136-2025 FSC-klagomål mail.docx", "A 33136-2025")</f>
        <v/>
      </c>
      <c r="X370">
        <f>HYPERLINK("https://klasma.github.io/Logging_1884/tillsyn/A 33136-2025 tillsynsbegäran.docx", "A 33136-2025")</f>
        <v/>
      </c>
      <c r="Y370">
        <f>HYPERLINK("https://klasma.github.io/Logging_1884/tillsynsmail/A 33136-2025 tillsynsbegäran mail.docx", "A 33136-2025")</f>
        <v/>
      </c>
    </row>
    <row r="371" ht="15" customHeight="1">
      <c r="A371" t="inlineStr">
        <is>
          <t>A 57355-2025</t>
        </is>
      </c>
      <c r="B371" s="1" t="n">
        <v>45980.3659375</v>
      </c>
      <c r="C371" s="1" t="n">
        <v>46132</v>
      </c>
      <c r="D371" t="inlineStr">
        <is>
          <t>ÖREBRO LÄN</t>
        </is>
      </c>
      <c r="E371" t="inlineStr">
        <is>
          <t>LINDESBERG</t>
        </is>
      </c>
      <c r="F371" t="inlineStr">
        <is>
          <t>Sveaskog</t>
        </is>
      </c>
      <c r="G371" t="n">
        <v>2.7</v>
      </c>
      <c r="H371" t="n">
        <v>0</v>
      </c>
      <c r="I371" t="n">
        <v>0</v>
      </c>
      <c r="J371" t="n">
        <v>1</v>
      </c>
      <c r="K371" t="n">
        <v>0</v>
      </c>
      <c r="L371" t="n">
        <v>0</v>
      </c>
      <c r="M371" t="n">
        <v>0</v>
      </c>
      <c r="N371" t="n">
        <v>0</v>
      </c>
      <c r="O371" t="n">
        <v>1</v>
      </c>
      <c r="P371" t="n">
        <v>0</v>
      </c>
      <c r="Q371" t="n">
        <v>1</v>
      </c>
      <c r="R371" s="2" t="inlineStr">
        <is>
          <t>Orange taggsvamp</t>
        </is>
      </c>
      <c r="S371">
        <f>HYPERLINK("https://klasma.github.io/Logging_1885/artfynd/A 57355-2025 artfynd.xlsx", "A 57355-2025")</f>
        <v/>
      </c>
      <c r="T371">
        <f>HYPERLINK("https://klasma.github.io/Logging_1885/kartor/A 57355-2025 karta.png", "A 57355-2025")</f>
        <v/>
      </c>
      <c r="V371">
        <f>HYPERLINK("https://klasma.github.io/Logging_1885/klagomål/A 57355-2025 FSC-klagomål.docx", "A 57355-2025")</f>
        <v/>
      </c>
      <c r="W371">
        <f>HYPERLINK("https://klasma.github.io/Logging_1885/klagomålsmail/A 57355-2025 FSC-klagomål mail.docx", "A 57355-2025")</f>
        <v/>
      </c>
      <c r="X371">
        <f>HYPERLINK("https://klasma.github.io/Logging_1885/tillsyn/A 57355-2025 tillsynsbegäran.docx", "A 57355-2025")</f>
        <v/>
      </c>
      <c r="Y371">
        <f>HYPERLINK("https://klasma.github.io/Logging_1885/tillsynsmail/A 57355-2025 tillsynsbegäran mail.docx", "A 57355-2025")</f>
        <v/>
      </c>
    </row>
    <row r="372" ht="15" customHeight="1">
      <c r="A372" t="inlineStr">
        <is>
          <t>A 22962-2021</t>
        </is>
      </c>
      <c r="B372" s="1" t="n">
        <v>44328</v>
      </c>
      <c r="C372" s="1" t="n">
        <v>46132</v>
      </c>
      <c r="D372" t="inlineStr">
        <is>
          <t>ÖREBRO LÄN</t>
        </is>
      </c>
      <c r="E372" t="inlineStr">
        <is>
          <t>HALLSBERG</t>
        </is>
      </c>
      <c r="G372" t="n">
        <v>4.4</v>
      </c>
      <c r="H372" t="n">
        <v>0</v>
      </c>
      <c r="I372" t="n">
        <v>1</v>
      </c>
      <c r="J372" t="n">
        <v>0</v>
      </c>
      <c r="K372" t="n">
        <v>0</v>
      </c>
      <c r="L372" t="n">
        <v>0</v>
      </c>
      <c r="M372" t="n">
        <v>0</v>
      </c>
      <c r="N372" t="n">
        <v>0</v>
      </c>
      <c r="O372" t="n">
        <v>0</v>
      </c>
      <c r="P372" t="n">
        <v>0</v>
      </c>
      <c r="Q372" t="n">
        <v>1</v>
      </c>
      <c r="R372" s="2" t="inlineStr">
        <is>
          <t>Tibast</t>
        </is>
      </c>
      <c r="S372">
        <f>HYPERLINK("https://klasma.github.io/Logging_1861/artfynd/A 22962-2021 artfynd.xlsx", "A 22962-2021")</f>
        <v/>
      </c>
      <c r="T372">
        <f>HYPERLINK("https://klasma.github.io/Logging_1861/kartor/A 22962-2021 karta.png", "A 22962-2021")</f>
        <v/>
      </c>
      <c r="V372">
        <f>HYPERLINK("https://klasma.github.io/Logging_1861/klagomål/A 22962-2021 FSC-klagomål.docx", "A 22962-2021")</f>
        <v/>
      </c>
      <c r="W372">
        <f>HYPERLINK("https://klasma.github.io/Logging_1861/klagomålsmail/A 22962-2021 FSC-klagomål mail.docx", "A 22962-2021")</f>
        <v/>
      </c>
      <c r="X372">
        <f>HYPERLINK("https://klasma.github.io/Logging_1861/tillsyn/A 22962-2021 tillsynsbegäran.docx", "A 22962-2021")</f>
        <v/>
      </c>
      <c r="Y372">
        <f>HYPERLINK("https://klasma.github.io/Logging_1861/tillsynsmail/A 22962-2021 tillsynsbegäran mail.docx", "A 22962-2021")</f>
        <v/>
      </c>
    </row>
    <row r="373" ht="15" customHeight="1">
      <c r="A373" t="inlineStr">
        <is>
          <t>A 57978-2025</t>
        </is>
      </c>
      <c r="B373" s="1" t="n">
        <v>45982.39730324074</v>
      </c>
      <c r="C373" s="1" t="n">
        <v>46132</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57427-2024</t>
        </is>
      </c>
      <c r="B374" s="1" t="n">
        <v>45629</v>
      </c>
      <c r="C374" s="1" t="n">
        <v>46132</v>
      </c>
      <c r="D374" t="inlineStr">
        <is>
          <t>ÖREBRO LÄN</t>
        </is>
      </c>
      <c r="E374" t="inlineStr">
        <is>
          <t>ASKERSUND</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HYPERLINK("https://klasma.github.io/Logging_1882/artfynd/A 57427-2024 artfynd.xlsx", "A 57427-2024")</f>
        <v/>
      </c>
      <c r="T374">
        <f>HYPERLINK("https://klasma.github.io/Logging_1882/kartor/A 57427-2024 karta.png", "A 57427-2024")</f>
        <v/>
      </c>
      <c r="V374">
        <f>HYPERLINK("https://klasma.github.io/Logging_1882/klagomål/A 57427-2024 FSC-klagomål.docx", "A 57427-2024")</f>
        <v/>
      </c>
      <c r="W374">
        <f>HYPERLINK("https://klasma.github.io/Logging_1882/klagomålsmail/A 57427-2024 FSC-klagomål mail.docx", "A 57427-2024")</f>
        <v/>
      </c>
      <c r="X374">
        <f>HYPERLINK("https://klasma.github.io/Logging_1882/tillsyn/A 57427-2024 tillsynsbegäran.docx", "A 57427-2024")</f>
        <v/>
      </c>
      <c r="Y374">
        <f>HYPERLINK("https://klasma.github.io/Logging_1882/tillsynsmail/A 57427-2024 tillsynsbegäran mail.docx", "A 57427-2024")</f>
        <v/>
      </c>
    </row>
    <row r="375" ht="15" customHeight="1">
      <c r="A375" t="inlineStr">
        <is>
          <t>A 57761-2025</t>
        </is>
      </c>
      <c r="B375" s="1" t="n">
        <v>45981.55387731481</v>
      </c>
      <c r="C375" s="1" t="n">
        <v>46132</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57764-2025</t>
        </is>
      </c>
      <c r="B376" s="1" t="n">
        <v>45981.55697916666</v>
      </c>
      <c r="C376" s="1" t="n">
        <v>46132</v>
      </c>
      <c r="D376" t="inlineStr">
        <is>
          <t>ÖREBRO LÄN</t>
        </is>
      </c>
      <c r="E376" t="inlineStr">
        <is>
          <t>HALLSBERG</t>
        </is>
      </c>
      <c r="G376" t="n">
        <v>26.3</v>
      </c>
      <c r="H376" t="n">
        <v>0</v>
      </c>
      <c r="I376" t="n">
        <v>1</v>
      </c>
      <c r="J376" t="n">
        <v>0</v>
      </c>
      <c r="K376" t="n">
        <v>0</v>
      </c>
      <c r="L376" t="n">
        <v>0</v>
      </c>
      <c r="M376" t="n">
        <v>0</v>
      </c>
      <c r="N376" t="n">
        <v>0</v>
      </c>
      <c r="O376" t="n">
        <v>0</v>
      </c>
      <c r="P376" t="n">
        <v>0</v>
      </c>
      <c r="Q376" t="n">
        <v>1</v>
      </c>
      <c r="R376" s="2" t="inlineStr">
        <is>
          <t>Tibast</t>
        </is>
      </c>
      <c r="S376">
        <f>HYPERLINK("https://klasma.github.io/Logging_1861/artfynd/A 57764-2025 artfynd.xlsx", "A 57764-2025")</f>
        <v/>
      </c>
      <c r="T376">
        <f>HYPERLINK("https://klasma.github.io/Logging_1861/kartor/A 57764-2025 karta.png", "A 57764-2025")</f>
        <v/>
      </c>
      <c r="V376">
        <f>HYPERLINK("https://klasma.github.io/Logging_1861/klagomål/A 57764-2025 FSC-klagomål.docx", "A 57764-2025")</f>
        <v/>
      </c>
      <c r="W376">
        <f>HYPERLINK("https://klasma.github.io/Logging_1861/klagomålsmail/A 57764-2025 FSC-klagomål mail.docx", "A 57764-2025")</f>
        <v/>
      </c>
      <c r="X376">
        <f>HYPERLINK("https://klasma.github.io/Logging_1861/tillsyn/A 57764-2025 tillsynsbegäran.docx", "A 57764-2025")</f>
        <v/>
      </c>
      <c r="Y376">
        <f>HYPERLINK("https://klasma.github.io/Logging_1861/tillsynsmail/A 57764-2025 tillsynsbegäran mail.docx", "A 57764-2025")</f>
        <v/>
      </c>
    </row>
    <row r="377" ht="15" customHeight="1">
      <c r="A377" t="inlineStr">
        <is>
          <t>A 36694-2025</t>
        </is>
      </c>
      <c r="B377" s="1" t="n">
        <v>45873.43710648148</v>
      </c>
      <c r="C377" s="1" t="n">
        <v>46132</v>
      </c>
      <c r="D377" t="inlineStr">
        <is>
          <t>ÖREBRO LÄN</t>
        </is>
      </c>
      <c r="E377" t="inlineStr">
        <is>
          <t>LAXÅ</t>
        </is>
      </c>
      <c r="F377" t="inlineStr">
        <is>
          <t>Sveaskog</t>
        </is>
      </c>
      <c r="G377" t="n">
        <v>5.4</v>
      </c>
      <c r="H377" t="n">
        <v>1</v>
      </c>
      <c r="I377" t="n">
        <v>0</v>
      </c>
      <c r="J377" t="n">
        <v>0</v>
      </c>
      <c r="K377" t="n">
        <v>0</v>
      </c>
      <c r="L377" t="n">
        <v>0</v>
      </c>
      <c r="M377" t="n">
        <v>0</v>
      </c>
      <c r="N377" t="n">
        <v>0</v>
      </c>
      <c r="O377" t="n">
        <v>0</v>
      </c>
      <c r="P377" t="n">
        <v>0</v>
      </c>
      <c r="Q377" t="n">
        <v>1</v>
      </c>
      <c r="R377" s="2" t="inlineStr">
        <is>
          <t>Tjäder</t>
        </is>
      </c>
      <c r="S377">
        <f>HYPERLINK("https://klasma.github.io/Logging_1860/artfynd/A 36694-2025 artfynd.xlsx", "A 36694-2025")</f>
        <v/>
      </c>
      <c r="T377">
        <f>HYPERLINK("https://klasma.github.io/Logging_1860/kartor/A 36694-2025 karta.png", "A 36694-2025")</f>
        <v/>
      </c>
      <c r="V377">
        <f>HYPERLINK("https://klasma.github.io/Logging_1860/klagomål/A 36694-2025 FSC-klagomål.docx", "A 36694-2025")</f>
        <v/>
      </c>
      <c r="W377">
        <f>HYPERLINK("https://klasma.github.io/Logging_1860/klagomålsmail/A 36694-2025 FSC-klagomål mail.docx", "A 36694-2025")</f>
        <v/>
      </c>
      <c r="X377">
        <f>HYPERLINK("https://klasma.github.io/Logging_1860/tillsyn/A 36694-2025 tillsynsbegäran.docx", "A 36694-2025")</f>
        <v/>
      </c>
      <c r="Y377">
        <f>HYPERLINK("https://klasma.github.io/Logging_1860/tillsynsmail/A 36694-2025 tillsynsbegäran mail.docx", "A 36694-2025")</f>
        <v/>
      </c>
      <c r="Z377">
        <f>HYPERLINK("https://klasma.github.io/Logging_1860/fåglar/A 36694-2025 prioriterade fågelarter.docx", "A 36694-2025")</f>
        <v/>
      </c>
    </row>
    <row r="378" ht="15" customHeight="1">
      <c r="A378" t="inlineStr">
        <is>
          <t>A 57757-2025</t>
        </is>
      </c>
      <c r="B378" s="1" t="n">
        <v>45981.55150462963</v>
      </c>
      <c r="C378" s="1" t="n">
        <v>46132</v>
      </c>
      <c r="D378" t="inlineStr">
        <is>
          <t>ÖREBRO LÄN</t>
        </is>
      </c>
      <c r="E378" t="inlineStr">
        <is>
          <t>LAXÅ</t>
        </is>
      </c>
      <c r="F378" t="inlineStr">
        <is>
          <t>Sveaskog</t>
        </is>
      </c>
      <c r="G378" t="n">
        <v>5.2</v>
      </c>
      <c r="H378" t="n">
        <v>1</v>
      </c>
      <c r="I378" t="n">
        <v>0</v>
      </c>
      <c r="J378" t="n">
        <v>0</v>
      </c>
      <c r="K378" t="n">
        <v>0</v>
      </c>
      <c r="L378" t="n">
        <v>0</v>
      </c>
      <c r="M378" t="n">
        <v>0</v>
      </c>
      <c r="N378" t="n">
        <v>0</v>
      </c>
      <c r="O378" t="n">
        <v>0</v>
      </c>
      <c r="P378" t="n">
        <v>0</v>
      </c>
      <c r="Q378" t="n">
        <v>1</v>
      </c>
      <c r="R378" s="2" t="inlineStr">
        <is>
          <t>Mattlummer</t>
        </is>
      </c>
      <c r="S378">
        <f>HYPERLINK("https://klasma.github.io/Logging_1860/artfynd/A 57757-2025 artfynd.xlsx", "A 57757-2025")</f>
        <v/>
      </c>
      <c r="T378">
        <f>HYPERLINK("https://klasma.github.io/Logging_1860/kartor/A 57757-2025 karta.png", "A 57757-2025")</f>
        <v/>
      </c>
      <c r="V378">
        <f>HYPERLINK("https://klasma.github.io/Logging_1860/klagomål/A 57757-2025 FSC-klagomål.docx", "A 57757-2025")</f>
        <v/>
      </c>
      <c r="W378">
        <f>HYPERLINK("https://klasma.github.io/Logging_1860/klagomålsmail/A 57757-2025 FSC-klagomål mail.docx", "A 57757-2025")</f>
        <v/>
      </c>
      <c r="X378">
        <f>HYPERLINK("https://klasma.github.io/Logging_1860/tillsyn/A 57757-2025 tillsynsbegäran.docx", "A 57757-2025")</f>
        <v/>
      </c>
      <c r="Y378">
        <f>HYPERLINK("https://klasma.github.io/Logging_1860/tillsynsmail/A 57757-2025 tillsynsbegäran mail.docx", "A 57757-2025")</f>
        <v/>
      </c>
    </row>
    <row r="379" ht="15" customHeight="1">
      <c r="A379" t="inlineStr">
        <is>
          <t>A 58430-2025</t>
        </is>
      </c>
      <c r="B379" s="1" t="n">
        <v>45985.60377314815</v>
      </c>
      <c r="C379" s="1" t="n">
        <v>46132</v>
      </c>
      <c r="D379" t="inlineStr">
        <is>
          <t>ÖREBRO LÄN</t>
        </is>
      </c>
      <c r="E379" t="inlineStr">
        <is>
          <t>LEKEBERG</t>
        </is>
      </c>
      <c r="G379" t="n">
        <v>0.5</v>
      </c>
      <c r="H379" t="n">
        <v>1</v>
      </c>
      <c r="I379" t="n">
        <v>0</v>
      </c>
      <c r="J379" t="n">
        <v>0</v>
      </c>
      <c r="K379" t="n">
        <v>0</v>
      </c>
      <c r="L379" t="n">
        <v>0</v>
      </c>
      <c r="M379" t="n">
        <v>0</v>
      </c>
      <c r="N379" t="n">
        <v>0</v>
      </c>
      <c r="O379" t="n">
        <v>0</v>
      </c>
      <c r="P379" t="n">
        <v>0</v>
      </c>
      <c r="Q379" t="n">
        <v>1</v>
      </c>
      <c r="R379" s="2" t="inlineStr">
        <is>
          <t>Blåsippa</t>
        </is>
      </c>
      <c r="S379">
        <f>HYPERLINK("https://klasma.github.io/Logging_1814/artfynd/A 58430-2025 artfynd.xlsx", "A 58430-2025")</f>
        <v/>
      </c>
      <c r="T379">
        <f>HYPERLINK("https://klasma.github.io/Logging_1814/kartor/A 58430-2025 karta.png", "A 58430-2025")</f>
        <v/>
      </c>
      <c r="V379">
        <f>HYPERLINK("https://klasma.github.io/Logging_1814/klagomål/A 58430-2025 FSC-klagomål.docx", "A 58430-2025")</f>
        <v/>
      </c>
      <c r="W379">
        <f>HYPERLINK("https://klasma.github.io/Logging_1814/klagomålsmail/A 58430-2025 FSC-klagomål mail.docx", "A 58430-2025")</f>
        <v/>
      </c>
      <c r="X379">
        <f>HYPERLINK("https://klasma.github.io/Logging_1814/tillsyn/A 58430-2025 tillsynsbegäran.docx", "A 58430-2025")</f>
        <v/>
      </c>
      <c r="Y379">
        <f>HYPERLINK("https://klasma.github.io/Logging_1814/tillsynsmail/A 58430-2025 tillsynsbegäran mail.docx", "A 58430-2025")</f>
        <v/>
      </c>
    </row>
    <row r="380" ht="15" customHeight="1">
      <c r="A380" t="inlineStr">
        <is>
          <t>A 37691-2025</t>
        </is>
      </c>
      <c r="B380" s="1" t="n">
        <v>45880.56877314814</v>
      </c>
      <c r="C380" s="1" t="n">
        <v>46132</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37704-2025</t>
        </is>
      </c>
      <c r="B381" s="1" t="n">
        <v>45880.59251157408</v>
      </c>
      <c r="C381" s="1" t="n">
        <v>46132</v>
      </c>
      <c r="D381" t="inlineStr">
        <is>
          <t>ÖREBRO LÄN</t>
        </is>
      </c>
      <c r="E381" t="inlineStr">
        <is>
          <t>HALLSBERG</t>
        </is>
      </c>
      <c r="F381" t="inlineStr">
        <is>
          <t>Sveaskog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HYPERLINK("https://klasma.github.io/Logging_1861/artfynd/A 37704-2025 artfynd.xlsx", "A 37704-2025")</f>
        <v/>
      </c>
      <c r="T381">
        <f>HYPERLINK("https://klasma.github.io/Logging_1861/kartor/A 37704-2025 karta.png", "A 37704-2025")</f>
        <v/>
      </c>
      <c r="V381">
        <f>HYPERLINK("https://klasma.github.io/Logging_1861/klagomål/A 37704-2025 FSC-klagomål.docx", "A 37704-2025")</f>
        <v/>
      </c>
      <c r="W381">
        <f>HYPERLINK("https://klasma.github.io/Logging_1861/klagomålsmail/A 37704-2025 FSC-klagomål mail.docx", "A 37704-2025")</f>
        <v/>
      </c>
      <c r="X381">
        <f>HYPERLINK("https://klasma.github.io/Logging_1861/tillsyn/A 37704-2025 tillsynsbegäran.docx", "A 37704-2025")</f>
        <v/>
      </c>
      <c r="Y381">
        <f>HYPERLINK("https://klasma.github.io/Logging_1861/tillsynsmail/A 37704-2025 tillsynsbegäran mail.docx", "A 37704-2025")</f>
        <v/>
      </c>
    </row>
    <row r="382" ht="15" customHeight="1">
      <c r="A382" t="inlineStr">
        <is>
          <t>A 58838-2025</t>
        </is>
      </c>
      <c r="B382" s="1" t="n">
        <v>45987.35973379629</v>
      </c>
      <c r="C382" s="1" t="n">
        <v>46132</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37834-2025</t>
        </is>
      </c>
      <c r="B383" s="1" t="n">
        <v>45881.42446759259</v>
      </c>
      <c r="C383" s="1" t="n">
        <v>46132</v>
      </c>
      <c r="D383" t="inlineStr">
        <is>
          <t>ÖREBRO LÄN</t>
        </is>
      </c>
      <c r="E383" t="inlineStr">
        <is>
          <t>LINDESBERG</t>
        </is>
      </c>
      <c r="G383" t="n">
        <v>3.1</v>
      </c>
      <c r="H383" t="n">
        <v>0</v>
      </c>
      <c r="I383" t="n">
        <v>0</v>
      </c>
      <c r="J383" t="n">
        <v>1</v>
      </c>
      <c r="K383" t="n">
        <v>0</v>
      </c>
      <c r="L383" t="n">
        <v>0</v>
      </c>
      <c r="M383" t="n">
        <v>0</v>
      </c>
      <c r="N383" t="n">
        <v>0</v>
      </c>
      <c r="O383" t="n">
        <v>1</v>
      </c>
      <c r="P383" t="n">
        <v>0</v>
      </c>
      <c r="Q383" t="n">
        <v>1</v>
      </c>
      <c r="R383" s="2" t="inlineStr">
        <is>
          <t>Svart taggsvamp agg.</t>
        </is>
      </c>
      <c r="S383">
        <f>HYPERLINK("https://klasma.github.io/Logging_1885/artfynd/A 37834-2025 artfynd.xlsx", "A 37834-2025")</f>
        <v/>
      </c>
      <c r="T383">
        <f>HYPERLINK("https://klasma.github.io/Logging_1885/kartor/A 37834-2025 karta.png", "A 37834-2025")</f>
        <v/>
      </c>
      <c r="V383">
        <f>HYPERLINK("https://klasma.github.io/Logging_1885/klagomål/A 37834-2025 FSC-klagomål.docx", "A 37834-2025")</f>
        <v/>
      </c>
      <c r="W383">
        <f>HYPERLINK("https://klasma.github.io/Logging_1885/klagomålsmail/A 37834-2025 FSC-klagomål mail.docx", "A 37834-2025")</f>
        <v/>
      </c>
      <c r="X383">
        <f>HYPERLINK("https://klasma.github.io/Logging_1885/tillsyn/A 37834-2025 tillsynsbegäran.docx", "A 37834-2025")</f>
        <v/>
      </c>
      <c r="Y383">
        <f>HYPERLINK("https://klasma.github.io/Logging_1885/tillsynsmail/A 37834-2025 tillsynsbegäran mail.docx", "A 37834-2025")</f>
        <v/>
      </c>
    </row>
    <row r="384" ht="15" customHeight="1">
      <c r="A384" t="inlineStr">
        <is>
          <t>A 59512-2025</t>
        </is>
      </c>
      <c r="B384" s="1" t="n">
        <v>45989.64748842592</v>
      </c>
      <c r="C384" s="1" t="n">
        <v>46132</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59511-2025</t>
        </is>
      </c>
      <c r="B385" s="1" t="n">
        <v>45989.64694444444</v>
      </c>
      <c r="C385" s="1" t="n">
        <v>46132</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10622-2023</t>
        </is>
      </c>
      <c r="B386" s="1" t="n">
        <v>44988</v>
      </c>
      <c r="C386" s="1" t="n">
        <v>46132</v>
      </c>
      <c r="D386" t="inlineStr">
        <is>
          <t>ÖREBRO LÄN</t>
        </is>
      </c>
      <c r="E386" t="inlineStr">
        <is>
          <t>LAXÅ</t>
        </is>
      </c>
      <c r="F386" t="inlineStr">
        <is>
          <t>Sveaskog</t>
        </is>
      </c>
      <c r="G386" t="n">
        <v>1.7</v>
      </c>
      <c r="H386" t="n">
        <v>0</v>
      </c>
      <c r="I386" t="n">
        <v>0</v>
      </c>
      <c r="J386" t="n">
        <v>1</v>
      </c>
      <c r="K386" t="n">
        <v>0</v>
      </c>
      <c r="L386" t="n">
        <v>0</v>
      </c>
      <c r="M386" t="n">
        <v>0</v>
      </c>
      <c r="N386" t="n">
        <v>0</v>
      </c>
      <c r="O386" t="n">
        <v>1</v>
      </c>
      <c r="P386" t="n">
        <v>0</v>
      </c>
      <c r="Q386" t="n">
        <v>1</v>
      </c>
      <c r="R386" s="2" t="inlineStr">
        <is>
          <t>Gullklöver</t>
        </is>
      </c>
      <c r="S386">
        <f>HYPERLINK("https://klasma.github.io/Logging_1860/artfynd/A 10622-2023 artfynd.xlsx", "A 10622-2023")</f>
        <v/>
      </c>
      <c r="T386">
        <f>HYPERLINK("https://klasma.github.io/Logging_1860/kartor/A 10622-2023 karta.png", "A 10622-2023")</f>
        <v/>
      </c>
      <c r="V386">
        <f>HYPERLINK("https://klasma.github.io/Logging_1860/klagomål/A 10622-2023 FSC-klagomål.docx", "A 10622-2023")</f>
        <v/>
      </c>
      <c r="W386">
        <f>HYPERLINK("https://klasma.github.io/Logging_1860/klagomålsmail/A 10622-2023 FSC-klagomål mail.docx", "A 10622-2023")</f>
        <v/>
      </c>
      <c r="X386">
        <f>HYPERLINK("https://klasma.github.io/Logging_1860/tillsyn/A 10622-2023 tillsynsbegäran.docx", "A 10622-2023")</f>
        <v/>
      </c>
      <c r="Y386">
        <f>HYPERLINK("https://klasma.github.io/Logging_1860/tillsynsmail/A 10622-2023 tillsynsbegäran mail.docx", "A 10622-2023")</f>
        <v/>
      </c>
    </row>
    <row r="387" ht="15" customHeight="1">
      <c r="A387" t="inlineStr">
        <is>
          <t>A 28140-2021</t>
        </is>
      </c>
      <c r="B387" s="1" t="n">
        <v>44355</v>
      </c>
      <c r="C387" s="1" t="n">
        <v>46132</v>
      </c>
      <c r="D387" t="inlineStr">
        <is>
          <t>ÖREBRO LÄN</t>
        </is>
      </c>
      <c r="E387" t="inlineStr">
        <is>
          <t>HALLSBERG</t>
        </is>
      </c>
      <c r="F387" t="inlineStr">
        <is>
          <t>Sveaskog</t>
        </is>
      </c>
      <c r="G387" t="n">
        <v>1.5</v>
      </c>
      <c r="H387" t="n">
        <v>0</v>
      </c>
      <c r="I387" t="n">
        <v>0</v>
      </c>
      <c r="J387" t="n">
        <v>1</v>
      </c>
      <c r="K387" t="n">
        <v>0</v>
      </c>
      <c r="L387" t="n">
        <v>0</v>
      </c>
      <c r="M387" t="n">
        <v>0</v>
      </c>
      <c r="N387" t="n">
        <v>0</v>
      </c>
      <c r="O387" t="n">
        <v>1</v>
      </c>
      <c r="P387" t="n">
        <v>0</v>
      </c>
      <c r="Q387" t="n">
        <v>1</v>
      </c>
      <c r="R387" s="2" t="inlineStr">
        <is>
          <t>Skogsklocka</t>
        </is>
      </c>
      <c r="S387">
        <f>HYPERLINK("https://klasma.github.io/Logging_1861/artfynd/A 28140-2021 artfynd.xlsx", "A 28140-2021")</f>
        <v/>
      </c>
      <c r="T387">
        <f>HYPERLINK("https://klasma.github.io/Logging_1861/kartor/A 28140-2021 karta.png", "A 28140-2021")</f>
        <v/>
      </c>
      <c r="V387">
        <f>HYPERLINK("https://klasma.github.io/Logging_1861/klagomål/A 28140-2021 FSC-klagomål.docx", "A 28140-2021")</f>
        <v/>
      </c>
      <c r="W387">
        <f>HYPERLINK("https://klasma.github.io/Logging_1861/klagomålsmail/A 28140-2021 FSC-klagomål mail.docx", "A 28140-2021")</f>
        <v/>
      </c>
      <c r="X387">
        <f>HYPERLINK("https://klasma.github.io/Logging_1861/tillsyn/A 28140-2021 tillsynsbegäran.docx", "A 28140-2021")</f>
        <v/>
      </c>
      <c r="Y387">
        <f>HYPERLINK("https://klasma.github.io/Logging_1861/tillsynsmail/A 28140-2021 tillsynsbegäran mail.docx", "A 28140-2021")</f>
        <v/>
      </c>
    </row>
    <row r="388" ht="15" customHeight="1">
      <c r="A388" t="inlineStr">
        <is>
          <t>A 61140-2025</t>
        </is>
      </c>
      <c r="B388" s="1" t="n">
        <v>46000.515625</v>
      </c>
      <c r="C388" s="1" t="n">
        <v>46132</v>
      </c>
      <c r="D388" t="inlineStr">
        <is>
          <t>ÖREBRO LÄN</t>
        </is>
      </c>
      <c r="E388" t="inlineStr">
        <is>
          <t>HÄLLEFORS</t>
        </is>
      </c>
      <c r="F388" t="inlineStr">
        <is>
          <t>Bergvik skog väst AB</t>
        </is>
      </c>
      <c r="G388" t="n">
        <v>19.9</v>
      </c>
      <c r="H388" t="n">
        <v>1</v>
      </c>
      <c r="I388" t="n">
        <v>0</v>
      </c>
      <c r="J388" t="n">
        <v>1</v>
      </c>
      <c r="K388" t="n">
        <v>0</v>
      </c>
      <c r="L388" t="n">
        <v>0</v>
      </c>
      <c r="M388" t="n">
        <v>0</v>
      </c>
      <c r="N388" t="n">
        <v>0</v>
      </c>
      <c r="O388" t="n">
        <v>1</v>
      </c>
      <c r="P388" t="n">
        <v>0</v>
      </c>
      <c r="Q388" t="n">
        <v>1</v>
      </c>
      <c r="R388" s="2" t="inlineStr">
        <is>
          <t>Havsörn</t>
        </is>
      </c>
      <c r="S388">
        <f>HYPERLINK("https://klasma.github.io/Logging_1863/artfynd/A 61140-2025 artfynd.xlsx", "A 61140-2025")</f>
        <v/>
      </c>
      <c r="T388">
        <f>HYPERLINK("https://klasma.github.io/Logging_1863/kartor/A 61140-2025 karta.png", "A 61140-2025")</f>
        <v/>
      </c>
      <c r="V388">
        <f>HYPERLINK("https://klasma.github.io/Logging_1863/klagomål/A 61140-2025 FSC-klagomål.docx", "A 61140-2025")</f>
        <v/>
      </c>
      <c r="W388">
        <f>HYPERLINK("https://klasma.github.io/Logging_1863/klagomålsmail/A 61140-2025 FSC-klagomål mail.docx", "A 61140-2025")</f>
        <v/>
      </c>
      <c r="X388">
        <f>HYPERLINK("https://klasma.github.io/Logging_1863/tillsyn/A 61140-2025 tillsynsbegäran.docx", "A 61140-2025")</f>
        <v/>
      </c>
      <c r="Y388">
        <f>HYPERLINK("https://klasma.github.io/Logging_1863/tillsynsmail/A 61140-2025 tillsynsbegäran mail.docx", "A 61140-2025")</f>
        <v/>
      </c>
      <c r="Z388">
        <f>HYPERLINK("https://klasma.github.io/Logging_1863/fåglar/A 61140-2025 prioriterade fågelarter.docx", "A 61140-2025")</f>
        <v/>
      </c>
    </row>
    <row r="389" ht="15" customHeight="1">
      <c r="A389" t="inlineStr">
        <is>
          <t>A 20032-2023</t>
        </is>
      </c>
      <c r="B389" s="1" t="n">
        <v>45054</v>
      </c>
      <c r="C389" s="1" t="n">
        <v>46132</v>
      </c>
      <c r="D389" t="inlineStr">
        <is>
          <t>ÖREBRO LÄN</t>
        </is>
      </c>
      <c r="E389" t="inlineStr">
        <is>
          <t>ÖREBRO</t>
        </is>
      </c>
      <c r="G389" t="n">
        <v>2.6</v>
      </c>
      <c r="H389" t="n">
        <v>1</v>
      </c>
      <c r="I389" t="n">
        <v>0</v>
      </c>
      <c r="J389" t="n">
        <v>0</v>
      </c>
      <c r="K389" t="n">
        <v>0</v>
      </c>
      <c r="L389" t="n">
        <v>0</v>
      </c>
      <c r="M389" t="n">
        <v>0</v>
      </c>
      <c r="N389" t="n">
        <v>0</v>
      </c>
      <c r="O389" t="n">
        <v>0</v>
      </c>
      <c r="P389" t="n">
        <v>0</v>
      </c>
      <c r="Q389" t="n">
        <v>1</v>
      </c>
      <c r="R389" s="2" t="inlineStr">
        <is>
          <t>Fiskgjuse</t>
        </is>
      </c>
      <c r="S389">
        <f>HYPERLINK("https://klasma.github.io/Logging_1880/artfynd/A 20032-2023 artfynd.xlsx", "A 20032-2023")</f>
        <v/>
      </c>
      <c r="T389">
        <f>HYPERLINK("https://klasma.github.io/Logging_1880/kartor/A 20032-2023 karta.png", "A 20032-2023")</f>
        <v/>
      </c>
      <c r="V389">
        <f>HYPERLINK("https://klasma.github.io/Logging_1880/klagomål/A 20032-2023 FSC-klagomål.docx", "A 20032-2023")</f>
        <v/>
      </c>
      <c r="W389">
        <f>HYPERLINK("https://klasma.github.io/Logging_1880/klagomålsmail/A 20032-2023 FSC-klagomål mail.docx", "A 20032-2023")</f>
        <v/>
      </c>
      <c r="X389">
        <f>HYPERLINK("https://klasma.github.io/Logging_1880/tillsyn/A 20032-2023 tillsynsbegäran.docx", "A 20032-2023")</f>
        <v/>
      </c>
      <c r="Y389">
        <f>HYPERLINK("https://klasma.github.io/Logging_1880/tillsynsmail/A 20032-2023 tillsynsbegäran mail.docx", "A 20032-2023")</f>
        <v/>
      </c>
      <c r="Z389">
        <f>HYPERLINK("https://klasma.github.io/Logging_1880/fåglar/A 20032-2023 prioriterade fågelarter.docx", "A 20032-2023")</f>
        <v/>
      </c>
    </row>
    <row r="390" ht="15" customHeight="1">
      <c r="A390" t="inlineStr">
        <is>
          <t>A 13183-2023</t>
        </is>
      </c>
      <c r="B390" s="1" t="n">
        <v>45002</v>
      </c>
      <c r="C390" s="1" t="n">
        <v>46132</v>
      </c>
      <c r="D390" t="inlineStr">
        <is>
          <t>ÖREBRO LÄN</t>
        </is>
      </c>
      <c r="E390" t="inlineStr">
        <is>
          <t>HALLSBERG</t>
        </is>
      </c>
      <c r="F390" t="inlineStr">
        <is>
          <t>Allmännings- och besparingsskogar</t>
        </is>
      </c>
      <c r="G390" t="n">
        <v>3.2</v>
      </c>
      <c r="H390" t="n">
        <v>0</v>
      </c>
      <c r="I390" t="n">
        <v>1</v>
      </c>
      <c r="J390" t="n">
        <v>0</v>
      </c>
      <c r="K390" t="n">
        <v>0</v>
      </c>
      <c r="L390" t="n">
        <v>0</v>
      </c>
      <c r="M390" t="n">
        <v>0</v>
      </c>
      <c r="N390" t="n">
        <v>0</v>
      </c>
      <c r="O390" t="n">
        <v>0</v>
      </c>
      <c r="P390" t="n">
        <v>0</v>
      </c>
      <c r="Q390" t="n">
        <v>1</v>
      </c>
      <c r="R390" s="2" t="inlineStr">
        <is>
          <t>Ögonpyrola</t>
        </is>
      </c>
      <c r="S390">
        <f>HYPERLINK("https://klasma.github.io/Logging_1861/artfynd/A 13183-2023 artfynd.xlsx", "A 13183-2023")</f>
        <v/>
      </c>
      <c r="T390">
        <f>HYPERLINK("https://klasma.github.io/Logging_1861/kartor/A 13183-2023 karta.png", "A 13183-2023")</f>
        <v/>
      </c>
      <c r="V390">
        <f>HYPERLINK("https://klasma.github.io/Logging_1861/klagomål/A 13183-2023 FSC-klagomål.docx", "A 13183-2023")</f>
        <v/>
      </c>
      <c r="W390">
        <f>HYPERLINK("https://klasma.github.io/Logging_1861/klagomålsmail/A 13183-2023 FSC-klagomål mail.docx", "A 13183-2023")</f>
        <v/>
      </c>
      <c r="X390">
        <f>HYPERLINK("https://klasma.github.io/Logging_1861/tillsyn/A 13183-2023 tillsynsbegäran.docx", "A 13183-2023")</f>
        <v/>
      </c>
      <c r="Y390">
        <f>HYPERLINK("https://klasma.github.io/Logging_1861/tillsynsmail/A 13183-2023 tillsynsbegäran mail.docx", "A 13183-2023")</f>
        <v/>
      </c>
    </row>
    <row r="391" ht="15" customHeight="1">
      <c r="A391" t="inlineStr">
        <is>
          <t>A 61528-2025</t>
        </is>
      </c>
      <c r="B391" s="1" t="n">
        <v>46001.70148148148</v>
      </c>
      <c r="C391" s="1" t="n">
        <v>46132</v>
      </c>
      <c r="D391" t="inlineStr">
        <is>
          <t>ÖREBRO LÄN</t>
        </is>
      </c>
      <c r="E391" t="inlineStr">
        <is>
          <t>LAXÅ</t>
        </is>
      </c>
      <c r="F391" t="inlineStr">
        <is>
          <t>Allmännings- och besparingsskogar</t>
        </is>
      </c>
      <c r="G391" t="n">
        <v>3.9</v>
      </c>
      <c r="H391" t="n">
        <v>1</v>
      </c>
      <c r="I391" t="n">
        <v>0</v>
      </c>
      <c r="J391" t="n">
        <v>1</v>
      </c>
      <c r="K391" t="n">
        <v>0</v>
      </c>
      <c r="L391" t="n">
        <v>0</v>
      </c>
      <c r="M391" t="n">
        <v>0</v>
      </c>
      <c r="N391" t="n">
        <v>0</v>
      </c>
      <c r="O391" t="n">
        <v>1</v>
      </c>
      <c r="P391" t="n">
        <v>0</v>
      </c>
      <c r="Q391" t="n">
        <v>1</v>
      </c>
      <c r="R391" s="2" t="inlineStr">
        <is>
          <t>Spillkråka</t>
        </is>
      </c>
      <c r="S391">
        <f>HYPERLINK("https://klasma.github.io/Logging_1860/artfynd/A 61528-2025 artfynd.xlsx", "A 61528-2025")</f>
        <v/>
      </c>
      <c r="T391">
        <f>HYPERLINK("https://klasma.github.io/Logging_1860/kartor/A 61528-2025 karta.png", "A 61528-2025")</f>
        <v/>
      </c>
      <c r="V391">
        <f>HYPERLINK("https://klasma.github.io/Logging_1860/klagomål/A 61528-2025 FSC-klagomål.docx", "A 61528-2025")</f>
        <v/>
      </c>
      <c r="W391">
        <f>HYPERLINK("https://klasma.github.io/Logging_1860/klagomålsmail/A 61528-2025 FSC-klagomål mail.docx", "A 61528-2025")</f>
        <v/>
      </c>
      <c r="X391">
        <f>HYPERLINK("https://klasma.github.io/Logging_1860/tillsyn/A 61528-2025 tillsynsbegäran.docx", "A 61528-2025")</f>
        <v/>
      </c>
      <c r="Y391">
        <f>HYPERLINK("https://klasma.github.io/Logging_1860/tillsynsmail/A 61528-2025 tillsynsbegäran mail.docx", "A 61528-2025")</f>
        <v/>
      </c>
      <c r="Z391">
        <f>HYPERLINK("https://klasma.github.io/Logging_1860/fåglar/A 61528-2025 prioriterade fågelarter.docx", "A 61528-2025")</f>
        <v/>
      </c>
    </row>
    <row r="392" ht="15" customHeight="1">
      <c r="A392" t="inlineStr">
        <is>
          <t>A 1515-2024</t>
        </is>
      </c>
      <c r="B392" s="1" t="n">
        <v>45305</v>
      </c>
      <c r="C392" s="1" t="n">
        <v>46132</v>
      </c>
      <c r="D392" t="inlineStr">
        <is>
          <t>ÖREBRO LÄN</t>
        </is>
      </c>
      <c r="E392" t="inlineStr">
        <is>
          <t>LEKEBERG</t>
        </is>
      </c>
      <c r="G392" t="n">
        <v>3.7</v>
      </c>
      <c r="H392" t="n">
        <v>1</v>
      </c>
      <c r="I392" t="n">
        <v>0</v>
      </c>
      <c r="J392" t="n">
        <v>1</v>
      </c>
      <c r="K392" t="n">
        <v>0</v>
      </c>
      <c r="L392" t="n">
        <v>0</v>
      </c>
      <c r="M392" t="n">
        <v>0</v>
      </c>
      <c r="N392" t="n">
        <v>0</v>
      </c>
      <c r="O392" t="n">
        <v>1</v>
      </c>
      <c r="P392" t="n">
        <v>0</v>
      </c>
      <c r="Q392" t="n">
        <v>1</v>
      </c>
      <c r="R392" s="2" t="inlineStr">
        <is>
          <t>Spillkråka</t>
        </is>
      </c>
      <c r="S392">
        <f>HYPERLINK("https://klasma.github.io/Logging_1814/artfynd/A 1515-2024 artfynd.xlsx", "A 1515-2024")</f>
        <v/>
      </c>
      <c r="T392">
        <f>HYPERLINK("https://klasma.github.io/Logging_1814/kartor/A 1515-2024 karta.png", "A 1515-2024")</f>
        <v/>
      </c>
      <c r="V392">
        <f>HYPERLINK("https://klasma.github.io/Logging_1814/klagomål/A 1515-2024 FSC-klagomål.docx", "A 1515-2024")</f>
        <v/>
      </c>
      <c r="W392">
        <f>HYPERLINK("https://klasma.github.io/Logging_1814/klagomålsmail/A 1515-2024 FSC-klagomål mail.docx", "A 1515-2024")</f>
        <v/>
      </c>
      <c r="X392">
        <f>HYPERLINK("https://klasma.github.io/Logging_1814/tillsyn/A 1515-2024 tillsynsbegäran.docx", "A 1515-2024")</f>
        <v/>
      </c>
      <c r="Y392">
        <f>HYPERLINK("https://klasma.github.io/Logging_1814/tillsynsmail/A 1515-2024 tillsynsbegäran mail.docx", "A 1515-2024")</f>
        <v/>
      </c>
      <c r="Z392">
        <f>HYPERLINK("https://klasma.github.io/Logging_1814/fåglar/A 1515-2024 prioriterade fågelarter.docx", "A 1515-2024")</f>
        <v/>
      </c>
    </row>
    <row r="393" ht="15" customHeight="1">
      <c r="A393" t="inlineStr">
        <is>
          <t>A 34285-2024</t>
        </is>
      </c>
      <c r="B393" s="1" t="n">
        <v>45524</v>
      </c>
      <c r="C393" s="1" t="n">
        <v>46132</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18617-2025</t>
        </is>
      </c>
      <c r="B394" s="1" t="n">
        <v>45763.51037037037</v>
      </c>
      <c r="C394" s="1" t="n">
        <v>46132</v>
      </c>
      <c r="D394" t="inlineStr">
        <is>
          <t>ÖREBRO LÄN</t>
        </is>
      </c>
      <c r="E394" t="inlineStr">
        <is>
          <t>HÄLLEFORS</t>
        </is>
      </c>
      <c r="F394" t="inlineStr">
        <is>
          <t>Bergvik skog väst AB</t>
        </is>
      </c>
      <c r="G394" t="n">
        <v>3.5</v>
      </c>
      <c r="H394" t="n">
        <v>1</v>
      </c>
      <c r="I394" t="n">
        <v>0</v>
      </c>
      <c r="J394" t="n">
        <v>0</v>
      </c>
      <c r="K394" t="n">
        <v>0</v>
      </c>
      <c r="L394" t="n">
        <v>0</v>
      </c>
      <c r="M394" t="n">
        <v>0</v>
      </c>
      <c r="N394" t="n">
        <v>0</v>
      </c>
      <c r="O394" t="n">
        <v>0</v>
      </c>
      <c r="P394" t="n">
        <v>0</v>
      </c>
      <c r="Q394" t="n">
        <v>1</v>
      </c>
      <c r="R394" s="2" t="inlineStr">
        <is>
          <t>Blåsippa</t>
        </is>
      </c>
      <c r="S394">
        <f>HYPERLINK("https://klasma.github.io/Logging_1863/artfynd/A 18617-2025 artfynd.xlsx", "A 18617-2025")</f>
        <v/>
      </c>
      <c r="T394">
        <f>HYPERLINK("https://klasma.github.io/Logging_1863/kartor/A 18617-2025 karta.png", "A 18617-2025")</f>
        <v/>
      </c>
      <c r="V394">
        <f>HYPERLINK("https://klasma.github.io/Logging_1863/klagomål/A 18617-2025 FSC-klagomål.docx", "A 18617-2025")</f>
        <v/>
      </c>
      <c r="W394">
        <f>HYPERLINK("https://klasma.github.io/Logging_1863/klagomålsmail/A 18617-2025 FSC-klagomål mail.docx", "A 18617-2025")</f>
        <v/>
      </c>
      <c r="X394">
        <f>HYPERLINK("https://klasma.github.io/Logging_1863/tillsyn/A 18617-2025 tillsynsbegäran.docx", "A 18617-2025")</f>
        <v/>
      </c>
      <c r="Y394">
        <f>HYPERLINK("https://klasma.github.io/Logging_1863/tillsynsmail/A 18617-2025 tillsynsbegäran mail.docx", "A 18617-2025")</f>
        <v/>
      </c>
    </row>
    <row r="395" ht="15" customHeight="1">
      <c r="A395" t="inlineStr">
        <is>
          <t>A 38910-2023</t>
        </is>
      </c>
      <c r="B395" s="1" t="n">
        <v>45163</v>
      </c>
      <c r="C395" s="1" t="n">
        <v>46132</v>
      </c>
      <c r="D395" t="inlineStr">
        <is>
          <t>ÖREBRO LÄN</t>
        </is>
      </c>
      <c r="E395" t="inlineStr">
        <is>
          <t>DEGERFORS</t>
        </is>
      </c>
      <c r="F395" t="inlineStr">
        <is>
          <t>Sveaskog</t>
        </is>
      </c>
      <c r="G395" t="n">
        <v>2.8</v>
      </c>
      <c r="H395" t="n">
        <v>1</v>
      </c>
      <c r="I395" t="n">
        <v>0</v>
      </c>
      <c r="J395" t="n">
        <v>0</v>
      </c>
      <c r="K395" t="n">
        <v>0</v>
      </c>
      <c r="L395" t="n">
        <v>0</v>
      </c>
      <c r="M395" t="n">
        <v>0</v>
      </c>
      <c r="N395" t="n">
        <v>0</v>
      </c>
      <c r="O395" t="n">
        <v>0</v>
      </c>
      <c r="P395" t="n">
        <v>0</v>
      </c>
      <c r="Q395" t="n">
        <v>1</v>
      </c>
      <c r="R395" s="2" t="inlineStr">
        <is>
          <t>Tjäder</t>
        </is>
      </c>
      <c r="S395">
        <f>HYPERLINK("https://klasma.github.io/Logging_1862/artfynd/A 38910-2023 artfynd.xlsx", "A 38910-2023")</f>
        <v/>
      </c>
      <c r="T395">
        <f>HYPERLINK("https://klasma.github.io/Logging_1862/kartor/A 38910-2023 karta.png", "A 38910-2023")</f>
        <v/>
      </c>
      <c r="V395">
        <f>HYPERLINK("https://klasma.github.io/Logging_1862/klagomål/A 38910-2023 FSC-klagomål.docx", "A 38910-2023")</f>
        <v/>
      </c>
      <c r="W395">
        <f>HYPERLINK("https://klasma.github.io/Logging_1862/klagomålsmail/A 38910-2023 FSC-klagomål mail.docx", "A 38910-2023")</f>
        <v/>
      </c>
      <c r="X395">
        <f>HYPERLINK("https://klasma.github.io/Logging_1862/tillsyn/A 38910-2023 tillsynsbegäran.docx", "A 38910-2023")</f>
        <v/>
      </c>
      <c r="Y395">
        <f>HYPERLINK("https://klasma.github.io/Logging_1862/tillsynsmail/A 38910-2023 tillsynsbegäran mail.docx", "A 38910-2023")</f>
        <v/>
      </c>
      <c r="Z395">
        <f>HYPERLINK("https://klasma.github.io/Logging_1862/fåglar/A 38910-2023 prioriterade fågelarter.docx", "A 38910-2023")</f>
        <v/>
      </c>
    </row>
    <row r="396" ht="15" customHeight="1">
      <c r="A396" t="inlineStr">
        <is>
          <t>A 54713-2023</t>
        </is>
      </c>
      <c r="B396" s="1" t="n">
        <v>45236</v>
      </c>
      <c r="C396" s="1" t="n">
        <v>46132</v>
      </c>
      <c r="D396" t="inlineStr">
        <is>
          <t>ÖREBRO LÄN</t>
        </is>
      </c>
      <c r="E396" t="inlineStr">
        <is>
          <t>LAXÅ</t>
        </is>
      </c>
      <c r="F396" t="inlineStr">
        <is>
          <t>Sveaskog</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HYPERLINK("https://klasma.github.io/Logging_1860/artfynd/A 54713-2023 artfynd.xlsx", "A 54713-2023")</f>
        <v/>
      </c>
      <c r="T396">
        <f>HYPERLINK("https://klasma.github.io/Logging_1860/kartor/A 54713-2023 karta.png", "A 54713-2023")</f>
        <v/>
      </c>
      <c r="V396">
        <f>HYPERLINK("https://klasma.github.io/Logging_1860/klagomål/A 54713-2023 FSC-klagomål.docx", "A 54713-2023")</f>
        <v/>
      </c>
      <c r="W396">
        <f>HYPERLINK("https://klasma.github.io/Logging_1860/klagomålsmail/A 54713-2023 FSC-klagomål mail.docx", "A 54713-2023")</f>
        <v/>
      </c>
      <c r="X396">
        <f>HYPERLINK("https://klasma.github.io/Logging_1860/tillsyn/A 54713-2023 tillsynsbegäran.docx", "A 54713-2023")</f>
        <v/>
      </c>
      <c r="Y396">
        <f>HYPERLINK("https://klasma.github.io/Logging_1860/tillsynsmail/A 54713-2023 tillsynsbegäran mail.docx", "A 54713-2023")</f>
        <v/>
      </c>
      <c r="Z396">
        <f>HYPERLINK("https://klasma.github.io/Logging_1860/fåglar/A 54713-2023 prioriterade fågelarter.docx", "A 54713-2023")</f>
        <v/>
      </c>
    </row>
    <row r="397" ht="15" customHeight="1">
      <c r="A397" t="inlineStr">
        <is>
          <t>A 40870-2024</t>
        </is>
      </c>
      <c r="B397" s="1" t="n">
        <v>45558.59421296296</v>
      </c>
      <c r="C397" s="1" t="n">
        <v>46132</v>
      </c>
      <c r="D397" t="inlineStr">
        <is>
          <t>ÖREBRO LÄN</t>
        </is>
      </c>
      <c r="E397" t="inlineStr">
        <is>
          <t>DEGERFORS</t>
        </is>
      </c>
      <c r="F397" t="inlineStr">
        <is>
          <t>Sveaskog</t>
        </is>
      </c>
      <c r="G397" t="n">
        <v>1.9</v>
      </c>
      <c r="H397" t="n">
        <v>1</v>
      </c>
      <c r="I397" t="n">
        <v>0</v>
      </c>
      <c r="J397" t="n">
        <v>1</v>
      </c>
      <c r="K397" t="n">
        <v>0</v>
      </c>
      <c r="L397" t="n">
        <v>0</v>
      </c>
      <c r="M397" t="n">
        <v>0</v>
      </c>
      <c r="N397" t="n">
        <v>0</v>
      </c>
      <c r="O397" t="n">
        <v>1</v>
      </c>
      <c r="P397" t="n">
        <v>0</v>
      </c>
      <c r="Q397" t="n">
        <v>1</v>
      </c>
      <c r="R397" s="2" t="inlineStr">
        <is>
          <t>Spillkråka</t>
        </is>
      </c>
      <c r="S397">
        <f>HYPERLINK("https://klasma.github.io/Logging_1862/artfynd/A 40870-2024 artfynd.xlsx", "A 40870-2024")</f>
        <v/>
      </c>
      <c r="T397">
        <f>HYPERLINK("https://klasma.github.io/Logging_1862/kartor/A 40870-2024 karta.png", "A 40870-2024")</f>
        <v/>
      </c>
      <c r="V397">
        <f>HYPERLINK("https://klasma.github.io/Logging_1862/klagomål/A 40870-2024 FSC-klagomål.docx", "A 40870-2024")</f>
        <v/>
      </c>
      <c r="W397">
        <f>HYPERLINK("https://klasma.github.io/Logging_1862/klagomålsmail/A 40870-2024 FSC-klagomål mail.docx", "A 40870-2024")</f>
        <v/>
      </c>
      <c r="X397">
        <f>HYPERLINK("https://klasma.github.io/Logging_1862/tillsyn/A 40870-2024 tillsynsbegäran.docx", "A 40870-2024")</f>
        <v/>
      </c>
      <c r="Y397">
        <f>HYPERLINK("https://klasma.github.io/Logging_1862/tillsynsmail/A 40870-2024 tillsynsbegäran mail.docx", "A 40870-2024")</f>
        <v/>
      </c>
      <c r="Z397">
        <f>HYPERLINK("https://klasma.github.io/Logging_1862/fåglar/A 40870-2024 prioriterade fågelarter.docx", "A 40870-2024")</f>
        <v/>
      </c>
    </row>
    <row r="398" ht="15" customHeight="1">
      <c r="A398" t="inlineStr">
        <is>
          <t>A 54715-2023</t>
        </is>
      </c>
      <c r="B398" s="1" t="n">
        <v>45236</v>
      </c>
      <c r="C398" s="1" t="n">
        <v>46132</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54715-2023 artfynd.xlsx", "A 54715-2023")</f>
        <v/>
      </c>
      <c r="T398">
        <f>HYPERLINK("https://klasma.github.io/Logging_1860/kartor/A 54715-2023 karta.png", "A 54715-2023")</f>
        <v/>
      </c>
      <c r="V398">
        <f>HYPERLINK("https://klasma.github.io/Logging_1860/klagomål/A 54715-2023 FSC-klagomål.docx", "A 54715-2023")</f>
        <v/>
      </c>
      <c r="W398">
        <f>HYPERLINK("https://klasma.github.io/Logging_1860/klagomålsmail/A 54715-2023 FSC-klagomål mail.docx", "A 54715-2023")</f>
        <v/>
      </c>
      <c r="X398">
        <f>HYPERLINK("https://klasma.github.io/Logging_1860/tillsyn/A 54715-2023 tillsynsbegäran.docx", "A 54715-2023")</f>
        <v/>
      </c>
      <c r="Y398">
        <f>HYPERLINK("https://klasma.github.io/Logging_1860/tillsynsmail/A 54715-2023 tillsynsbegäran mail.docx", "A 54715-2023")</f>
        <v/>
      </c>
      <c r="Z398">
        <f>HYPERLINK("https://klasma.github.io/Logging_1860/fåglar/A 54715-2023 prioriterade fågelarter.docx", "A 54715-2023")</f>
        <v/>
      </c>
    </row>
    <row r="399" ht="15" customHeight="1">
      <c r="A399" t="inlineStr">
        <is>
          <t>A 16063-2023</t>
        </is>
      </c>
      <c r="B399" s="1" t="n">
        <v>45027</v>
      </c>
      <c r="C399" s="1" t="n">
        <v>46132</v>
      </c>
      <c r="D399" t="inlineStr">
        <is>
          <t>ÖREBRO LÄN</t>
        </is>
      </c>
      <c r="E399" t="inlineStr">
        <is>
          <t>NORA</t>
        </is>
      </c>
      <c r="G399" t="n">
        <v>7.3</v>
      </c>
      <c r="H399" t="n">
        <v>0</v>
      </c>
      <c r="I399" t="n">
        <v>0</v>
      </c>
      <c r="J399" t="n">
        <v>1</v>
      </c>
      <c r="K399" t="n">
        <v>0</v>
      </c>
      <c r="L399" t="n">
        <v>0</v>
      </c>
      <c r="M399" t="n">
        <v>0</v>
      </c>
      <c r="N399" t="n">
        <v>0</v>
      </c>
      <c r="O399" t="n">
        <v>1</v>
      </c>
      <c r="P399" t="n">
        <v>0</v>
      </c>
      <c r="Q399" t="n">
        <v>1</v>
      </c>
      <c r="R399" s="2" t="inlineStr">
        <is>
          <t>Violettkantad guldvinge</t>
        </is>
      </c>
      <c r="S399">
        <f>HYPERLINK("https://klasma.github.io/Logging_1884/artfynd/A 16063-2023 artfynd.xlsx", "A 16063-2023")</f>
        <v/>
      </c>
      <c r="T399">
        <f>HYPERLINK("https://klasma.github.io/Logging_1884/kartor/A 16063-2023 karta.png", "A 16063-2023")</f>
        <v/>
      </c>
      <c r="V399">
        <f>HYPERLINK("https://klasma.github.io/Logging_1884/klagomål/A 16063-2023 FSC-klagomål.docx", "A 16063-2023")</f>
        <v/>
      </c>
      <c r="W399">
        <f>HYPERLINK("https://klasma.github.io/Logging_1884/klagomålsmail/A 16063-2023 FSC-klagomål mail.docx", "A 16063-2023")</f>
        <v/>
      </c>
      <c r="X399">
        <f>HYPERLINK("https://klasma.github.io/Logging_1884/tillsyn/A 16063-2023 tillsynsbegäran.docx", "A 16063-2023")</f>
        <v/>
      </c>
      <c r="Y399">
        <f>HYPERLINK("https://klasma.github.io/Logging_1884/tillsynsmail/A 16063-2023 tillsynsbegäran mail.docx", "A 16063-2023")</f>
        <v/>
      </c>
    </row>
    <row r="400" ht="15" customHeight="1">
      <c r="A400" t="inlineStr">
        <is>
          <t>A 13408-2025</t>
        </is>
      </c>
      <c r="B400" s="1" t="n">
        <v>45735.86130787037</v>
      </c>
      <c r="C400" s="1" t="n">
        <v>46132</v>
      </c>
      <c r="D400" t="inlineStr">
        <is>
          <t>ÖREBRO LÄN</t>
        </is>
      </c>
      <c r="E400" t="inlineStr">
        <is>
          <t>ASKERSUND</t>
        </is>
      </c>
      <c r="G400" t="n">
        <v>13.3</v>
      </c>
      <c r="H400" t="n">
        <v>1</v>
      </c>
      <c r="I400" t="n">
        <v>0</v>
      </c>
      <c r="J400" t="n">
        <v>0</v>
      </c>
      <c r="K400" t="n">
        <v>0</v>
      </c>
      <c r="L400" t="n">
        <v>0</v>
      </c>
      <c r="M400" t="n">
        <v>0</v>
      </c>
      <c r="N400" t="n">
        <v>0</v>
      </c>
      <c r="O400" t="n">
        <v>0</v>
      </c>
      <c r="P400" t="n">
        <v>0</v>
      </c>
      <c r="Q400" t="n">
        <v>1</v>
      </c>
      <c r="R400" s="2" t="inlineStr">
        <is>
          <t>Hasselmus</t>
        </is>
      </c>
      <c r="S400">
        <f>HYPERLINK("https://klasma.github.io/Logging_1882/artfynd/A 13408-2025 artfynd.xlsx", "A 13408-2025")</f>
        <v/>
      </c>
      <c r="T400">
        <f>HYPERLINK("https://klasma.github.io/Logging_1882/kartor/A 13408-2025 karta.png", "A 13408-2025")</f>
        <v/>
      </c>
      <c r="V400">
        <f>HYPERLINK("https://klasma.github.io/Logging_1882/klagomål/A 13408-2025 FSC-klagomål.docx", "A 13408-2025")</f>
        <v/>
      </c>
      <c r="W400">
        <f>HYPERLINK("https://klasma.github.io/Logging_1882/klagomålsmail/A 13408-2025 FSC-klagomål mail.docx", "A 13408-2025")</f>
        <v/>
      </c>
      <c r="X400">
        <f>HYPERLINK("https://klasma.github.io/Logging_1882/tillsyn/A 13408-2025 tillsynsbegäran.docx", "A 13408-2025")</f>
        <v/>
      </c>
      <c r="Y400">
        <f>HYPERLINK("https://klasma.github.io/Logging_1882/tillsynsmail/A 13408-2025 tillsynsbegäran mail.docx", "A 13408-2025")</f>
        <v/>
      </c>
    </row>
    <row r="401" ht="15" customHeight="1">
      <c r="A401" t="inlineStr">
        <is>
          <t>A 12720-2024</t>
        </is>
      </c>
      <c r="B401" s="1" t="n">
        <v>45384</v>
      </c>
      <c r="C401" s="1" t="n">
        <v>46132</v>
      </c>
      <c r="D401" t="inlineStr">
        <is>
          <t>ÖREBRO LÄN</t>
        </is>
      </c>
      <c r="E401" t="inlineStr">
        <is>
          <t>DEGERFORS</t>
        </is>
      </c>
      <c r="F401" t="inlineStr">
        <is>
          <t>Sveaskog</t>
        </is>
      </c>
      <c r="G401" t="n">
        <v>5.1</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12720-2024 artfynd.xlsx", "A 12720-2024")</f>
        <v/>
      </c>
      <c r="T401">
        <f>HYPERLINK("https://klasma.github.io/Logging_1862/kartor/A 12720-2024 karta.png", "A 12720-2024")</f>
        <v/>
      </c>
      <c r="V401">
        <f>HYPERLINK("https://klasma.github.io/Logging_1862/klagomål/A 12720-2024 FSC-klagomål.docx", "A 12720-2024")</f>
        <v/>
      </c>
      <c r="W401">
        <f>HYPERLINK("https://klasma.github.io/Logging_1862/klagomålsmail/A 12720-2024 FSC-klagomål mail.docx", "A 12720-2024")</f>
        <v/>
      </c>
      <c r="X401">
        <f>HYPERLINK("https://klasma.github.io/Logging_1862/tillsyn/A 12720-2024 tillsynsbegäran.docx", "A 12720-2024")</f>
        <v/>
      </c>
      <c r="Y401">
        <f>HYPERLINK("https://klasma.github.io/Logging_1862/tillsynsmail/A 12720-2024 tillsynsbegäran mail.docx", "A 12720-2024")</f>
        <v/>
      </c>
      <c r="Z401">
        <f>HYPERLINK("https://klasma.github.io/Logging_1862/fåglar/A 12720-2024 prioriterade fågelarter.docx", "A 12720-2024")</f>
        <v/>
      </c>
    </row>
    <row r="402" ht="15" customHeight="1">
      <c r="A402" t="inlineStr">
        <is>
          <t>A 41241-2024</t>
        </is>
      </c>
      <c r="B402" s="1" t="n">
        <v>45559</v>
      </c>
      <c r="C402" s="1" t="n">
        <v>46132</v>
      </c>
      <c r="D402" t="inlineStr">
        <is>
          <t>ÖREBRO LÄN</t>
        </is>
      </c>
      <c r="E402" t="inlineStr">
        <is>
          <t>LEKEBERG</t>
        </is>
      </c>
      <c r="G402" t="n">
        <v>3</v>
      </c>
      <c r="H402" t="n">
        <v>0</v>
      </c>
      <c r="I402" t="n">
        <v>0</v>
      </c>
      <c r="J402" t="n">
        <v>1</v>
      </c>
      <c r="K402" t="n">
        <v>0</v>
      </c>
      <c r="L402" t="n">
        <v>0</v>
      </c>
      <c r="M402" t="n">
        <v>0</v>
      </c>
      <c r="N402" t="n">
        <v>0</v>
      </c>
      <c r="O402" t="n">
        <v>1</v>
      </c>
      <c r="P402" t="n">
        <v>0</v>
      </c>
      <c r="Q402" t="n">
        <v>1</v>
      </c>
      <c r="R402" s="2" t="inlineStr">
        <is>
          <t>Rökfingersvamp</t>
        </is>
      </c>
      <c r="S402">
        <f>HYPERLINK("https://klasma.github.io/Logging_1814/artfynd/A 41241-2024 artfynd.xlsx", "A 41241-2024")</f>
        <v/>
      </c>
      <c r="T402">
        <f>HYPERLINK("https://klasma.github.io/Logging_1814/kartor/A 41241-2024 karta.png", "A 41241-2024")</f>
        <v/>
      </c>
      <c r="V402">
        <f>HYPERLINK("https://klasma.github.io/Logging_1814/klagomål/A 41241-2024 FSC-klagomål.docx", "A 41241-2024")</f>
        <v/>
      </c>
      <c r="W402">
        <f>HYPERLINK("https://klasma.github.io/Logging_1814/klagomålsmail/A 41241-2024 FSC-klagomål mail.docx", "A 41241-2024")</f>
        <v/>
      </c>
      <c r="X402">
        <f>HYPERLINK("https://klasma.github.io/Logging_1814/tillsyn/A 41241-2024 tillsynsbegäran.docx", "A 41241-2024")</f>
        <v/>
      </c>
      <c r="Y402">
        <f>HYPERLINK("https://klasma.github.io/Logging_1814/tillsynsmail/A 41241-2024 tillsynsbegäran mail.docx", "A 41241-2024")</f>
        <v/>
      </c>
    </row>
    <row r="403" ht="15" customHeight="1">
      <c r="A403" t="inlineStr">
        <is>
          <t>A 63185-2025</t>
        </is>
      </c>
      <c r="B403" s="1" t="n">
        <v>46010.43457175926</v>
      </c>
      <c r="C403" s="1" t="n">
        <v>46132</v>
      </c>
      <c r="D403" t="inlineStr">
        <is>
          <t>ÖREBRO LÄN</t>
        </is>
      </c>
      <c r="E403" t="inlineStr">
        <is>
          <t>KARLSKOGA</t>
        </is>
      </c>
      <c r="F403" t="inlineStr">
        <is>
          <t>Sveaskog</t>
        </is>
      </c>
      <c r="G403" t="n">
        <v>8.4</v>
      </c>
      <c r="H403" t="n">
        <v>1</v>
      </c>
      <c r="I403" t="n">
        <v>0</v>
      </c>
      <c r="J403" t="n">
        <v>1</v>
      </c>
      <c r="K403" t="n">
        <v>0</v>
      </c>
      <c r="L403" t="n">
        <v>0</v>
      </c>
      <c r="M403" t="n">
        <v>0</v>
      </c>
      <c r="N403" t="n">
        <v>0</v>
      </c>
      <c r="O403" t="n">
        <v>1</v>
      </c>
      <c r="P403" t="n">
        <v>0</v>
      </c>
      <c r="Q403" t="n">
        <v>1</v>
      </c>
      <c r="R403" s="2" t="inlineStr">
        <is>
          <t>Talltita</t>
        </is>
      </c>
      <c r="S403">
        <f>HYPERLINK("https://klasma.github.io/Logging_1883/artfynd/A 63185-2025 artfynd.xlsx", "A 63185-2025")</f>
        <v/>
      </c>
      <c r="T403">
        <f>HYPERLINK("https://klasma.github.io/Logging_1883/kartor/A 63185-2025 karta.png", "A 63185-2025")</f>
        <v/>
      </c>
      <c r="V403">
        <f>HYPERLINK("https://klasma.github.io/Logging_1883/klagomål/A 63185-2025 FSC-klagomål.docx", "A 63185-2025")</f>
        <v/>
      </c>
      <c r="W403">
        <f>HYPERLINK("https://klasma.github.io/Logging_1883/klagomålsmail/A 63185-2025 FSC-klagomål mail.docx", "A 63185-2025")</f>
        <v/>
      </c>
      <c r="X403">
        <f>HYPERLINK("https://klasma.github.io/Logging_1883/tillsyn/A 63185-2025 tillsynsbegäran.docx", "A 63185-2025")</f>
        <v/>
      </c>
      <c r="Y403">
        <f>HYPERLINK("https://klasma.github.io/Logging_1883/tillsynsmail/A 63185-2025 tillsynsbegäran mail.docx", "A 63185-2025")</f>
        <v/>
      </c>
      <c r="Z403">
        <f>HYPERLINK("https://klasma.github.io/Logging_1883/fåglar/A 63185-2025 prioriterade fågelarter.docx", "A 63185-2025")</f>
        <v/>
      </c>
    </row>
    <row r="404" ht="15" customHeight="1">
      <c r="A404" t="inlineStr">
        <is>
          <t>A 38601-2024</t>
        </is>
      </c>
      <c r="B404" s="1" t="n">
        <v>45546.67635416667</v>
      </c>
      <c r="C404" s="1" t="n">
        <v>46132</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27093-2023</t>
        </is>
      </c>
      <c r="B405" s="1" t="n">
        <v>45096</v>
      </c>
      <c r="C405" s="1" t="n">
        <v>46132</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63199-2025</t>
        </is>
      </c>
      <c r="B406" s="1" t="n">
        <v>46010.46091435185</v>
      </c>
      <c r="C406" s="1" t="n">
        <v>46132</v>
      </c>
      <c r="D406" t="inlineStr">
        <is>
          <t>ÖREBRO LÄN</t>
        </is>
      </c>
      <c r="E406" t="inlineStr">
        <is>
          <t>ÖREBRO</t>
        </is>
      </c>
      <c r="F406" t="inlineStr">
        <is>
          <t>Sveaskog</t>
        </is>
      </c>
      <c r="G406" t="n">
        <v>0.9</v>
      </c>
      <c r="H406" t="n">
        <v>1</v>
      </c>
      <c r="I406" t="n">
        <v>0</v>
      </c>
      <c r="J406" t="n">
        <v>0</v>
      </c>
      <c r="K406" t="n">
        <v>0</v>
      </c>
      <c r="L406" t="n">
        <v>0</v>
      </c>
      <c r="M406" t="n">
        <v>0</v>
      </c>
      <c r="N406" t="n">
        <v>0</v>
      </c>
      <c r="O406" t="n">
        <v>0</v>
      </c>
      <c r="P406" t="n">
        <v>0</v>
      </c>
      <c r="Q406" t="n">
        <v>1</v>
      </c>
      <c r="R406" s="2" t="inlineStr">
        <is>
          <t>Gullviva</t>
        </is>
      </c>
      <c r="S406">
        <f>HYPERLINK("https://klasma.github.io/Logging_1880/artfynd/A 63199-2025 artfynd.xlsx", "A 63199-2025")</f>
        <v/>
      </c>
      <c r="T406">
        <f>HYPERLINK("https://klasma.github.io/Logging_1880/kartor/A 63199-2025 karta.png", "A 63199-2025")</f>
        <v/>
      </c>
      <c r="V406">
        <f>HYPERLINK("https://klasma.github.io/Logging_1880/klagomål/A 63199-2025 FSC-klagomål.docx", "A 63199-2025")</f>
        <v/>
      </c>
      <c r="W406">
        <f>HYPERLINK("https://klasma.github.io/Logging_1880/klagomålsmail/A 63199-2025 FSC-klagomål mail.docx", "A 63199-2025")</f>
        <v/>
      </c>
      <c r="X406">
        <f>HYPERLINK("https://klasma.github.io/Logging_1880/tillsyn/A 63199-2025 tillsynsbegäran.docx", "A 63199-2025")</f>
        <v/>
      </c>
      <c r="Y406">
        <f>HYPERLINK("https://klasma.github.io/Logging_1880/tillsynsmail/A 63199-2025 tillsynsbegäran mail.docx", "A 63199-2025")</f>
        <v/>
      </c>
    </row>
    <row r="407" ht="15" customHeight="1">
      <c r="A407" t="inlineStr">
        <is>
          <t>A 22604-2024</t>
        </is>
      </c>
      <c r="B407" s="1" t="n">
        <v>45447</v>
      </c>
      <c r="C407" s="1" t="n">
        <v>46132</v>
      </c>
      <c r="D407" t="inlineStr">
        <is>
          <t>ÖREBRO LÄN</t>
        </is>
      </c>
      <c r="E407" t="inlineStr">
        <is>
          <t>ÖREBRO</t>
        </is>
      </c>
      <c r="G407" t="n">
        <v>4.4</v>
      </c>
      <c r="H407" t="n">
        <v>0</v>
      </c>
      <c r="I407" t="n">
        <v>0</v>
      </c>
      <c r="J407" t="n">
        <v>1</v>
      </c>
      <c r="K407" t="n">
        <v>0</v>
      </c>
      <c r="L407" t="n">
        <v>0</v>
      </c>
      <c r="M407" t="n">
        <v>0</v>
      </c>
      <c r="N407" t="n">
        <v>0</v>
      </c>
      <c r="O407" t="n">
        <v>1</v>
      </c>
      <c r="P407" t="n">
        <v>0</v>
      </c>
      <c r="Q407" t="n">
        <v>1</v>
      </c>
      <c r="R407" s="2" t="inlineStr">
        <is>
          <t>Månlåsbräken</t>
        </is>
      </c>
      <c r="S407">
        <f>HYPERLINK("https://klasma.github.io/Logging_1880/artfynd/A 22604-2024 artfynd.xlsx", "A 22604-2024")</f>
        <v/>
      </c>
      <c r="T407">
        <f>HYPERLINK("https://klasma.github.io/Logging_1880/kartor/A 22604-2024 karta.png", "A 22604-2024")</f>
        <v/>
      </c>
      <c r="V407">
        <f>HYPERLINK("https://klasma.github.io/Logging_1880/klagomål/A 22604-2024 FSC-klagomål.docx", "A 22604-2024")</f>
        <v/>
      </c>
      <c r="W407">
        <f>HYPERLINK("https://klasma.github.io/Logging_1880/klagomålsmail/A 22604-2024 FSC-klagomål mail.docx", "A 22604-2024")</f>
        <v/>
      </c>
      <c r="X407">
        <f>HYPERLINK("https://klasma.github.io/Logging_1880/tillsyn/A 22604-2024 tillsynsbegäran.docx", "A 22604-2024")</f>
        <v/>
      </c>
      <c r="Y407">
        <f>HYPERLINK("https://klasma.github.io/Logging_1880/tillsynsmail/A 22604-2024 tillsynsbegäran mail.docx", "A 22604-2024")</f>
        <v/>
      </c>
    </row>
    <row r="408" ht="15" customHeight="1">
      <c r="A408" t="inlineStr">
        <is>
          <t>A 2561-2024</t>
        </is>
      </c>
      <c r="B408" s="1" t="n">
        <v>45313</v>
      </c>
      <c r="C408" s="1" t="n">
        <v>46132</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14064-2024</t>
        </is>
      </c>
      <c r="B409" s="1" t="n">
        <v>45392.56644675926</v>
      </c>
      <c r="C409" s="1" t="n">
        <v>46132</v>
      </c>
      <c r="D409" t="inlineStr">
        <is>
          <t>ÖREBRO LÄN</t>
        </is>
      </c>
      <c r="E409" t="inlineStr">
        <is>
          <t>HALLSBERG</t>
        </is>
      </c>
      <c r="G409" t="n">
        <v>4</v>
      </c>
      <c r="H409" t="n">
        <v>1</v>
      </c>
      <c r="I409" t="n">
        <v>0</v>
      </c>
      <c r="J409" t="n">
        <v>0</v>
      </c>
      <c r="K409" t="n">
        <v>0</v>
      </c>
      <c r="L409" t="n">
        <v>0</v>
      </c>
      <c r="M409" t="n">
        <v>0</v>
      </c>
      <c r="N409" t="n">
        <v>0</v>
      </c>
      <c r="O409" t="n">
        <v>0</v>
      </c>
      <c r="P409" t="n">
        <v>0</v>
      </c>
      <c r="Q409" t="n">
        <v>1</v>
      </c>
      <c r="R409" s="2" t="inlineStr">
        <is>
          <t>Blåsippa</t>
        </is>
      </c>
      <c r="S409">
        <f>HYPERLINK("https://klasma.github.io/Logging_1861/artfynd/A 14064-2024 artfynd.xlsx", "A 14064-2024")</f>
        <v/>
      </c>
      <c r="T409">
        <f>HYPERLINK("https://klasma.github.io/Logging_1861/kartor/A 14064-2024 karta.png", "A 14064-2024")</f>
        <v/>
      </c>
      <c r="V409">
        <f>HYPERLINK("https://klasma.github.io/Logging_1861/klagomål/A 14064-2024 FSC-klagomål.docx", "A 14064-2024")</f>
        <v/>
      </c>
      <c r="W409">
        <f>HYPERLINK("https://klasma.github.io/Logging_1861/klagomålsmail/A 14064-2024 FSC-klagomål mail.docx", "A 14064-2024")</f>
        <v/>
      </c>
      <c r="X409">
        <f>HYPERLINK("https://klasma.github.io/Logging_1861/tillsyn/A 14064-2024 tillsynsbegäran.docx", "A 14064-2024")</f>
        <v/>
      </c>
      <c r="Y409">
        <f>HYPERLINK("https://klasma.github.io/Logging_1861/tillsynsmail/A 14064-2024 tillsynsbegäran mail.docx", "A 14064-2024")</f>
        <v/>
      </c>
    </row>
    <row r="410" ht="15" customHeight="1">
      <c r="A410" t="inlineStr">
        <is>
          <t>A 1250-2026</t>
        </is>
      </c>
      <c r="B410" s="1" t="n">
        <v>46031.43295138889</v>
      </c>
      <c r="C410" s="1" t="n">
        <v>46132</v>
      </c>
      <c r="D410" t="inlineStr">
        <is>
          <t>ÖREBRO LÄN</t>
        </is>
      </c>
      <c r="E410" t="inlineStr">
        <is>
          <t>HALLSBERG</t>
        </is>
      </c>
      <c r="F410" t="inlineStr">
        <is>
          <t>Sveaskog</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HYPERLINK("https://klasma.github.io/Logging_1861/artfynd/A 1250-2026 artfynd.xlsx", "A 1250-2026")</f>
        <v/>
      </c>
      <c r="T410">
        <f>HYPERLINK("https://klasma.github.io/Logging_1861/kartor/A 1250-2026 karta.png", "A 1250-2026")</f>
        <v/>
      </c>
      <c r="V410">
        <f>HYPERLINK("https://klasma.github.io/Logging_1861/klagomål/A 1250-2026 FSC-klagomål.docx", "A 1250-2026")</f>
        <v/>
      </c>
      <c r="W410">
        <f>HYPERLINK("https://klasma.github.io/Logging_1861/klagomålsmail/A 1250-2026 FSC-klagomål mail.docx", "A 1250-2026")</f>
        <v/>
      </c>
      <c r="X410">
        <f>HYPERLINK("https://klasma.github.io/Logging_1861/tillsyn/A 1250-2026 tillsynsbegäran.docx", "A 1250-2026")</f>
        <v/>
      </c>
      <c r="Y410">
        <f>HYPERLINK("https://klasma.github.io/Logging_1861/tillsynsmail/A 1250-2026 tillsynsbegäran mail.docx", "A 1250-2026")</f>
        <v/>
      </c>
      <c r="Z410">
        <f>HYPERLINK("https://klasma.github.io/Logging_1861/fåglar/A 1250-2026 prioriterade fågelarter.docx", "A 1250-2026")</f>
        <v/>
      </c>
    </row>
    <row r="411" ht="15" customHeight="1">
      <c r="A411" t="inlineStr">
        <is>
          <t>A 2205-2026</t>
        </is>
      </c>
      <c r="B411" s="1" t="n">
        <v>46036.48075231481</v>
      </c>
      <c r="C411" s="1" t="n">
        <v>46132</v>
      </c>
      <c r="D411" t="inlineStr">
        <is>
          <t>ÖREBRO LÄN</t>
        </is>
      </c>
      <c r="E411" t="inlineStr">
        <is>
          <t>ASKERSUND</t>
        </is>
      </c>
      <c r="F411" t="inlineStr">
        <is>
          <t>Sveaskog</t>
        </is>
      </c>
      <c r="G411" t="n">
        <v>3.7</v>
      </c>
      <c r="H411" t="n">
        <v>0</v>
      </c>
      <c r="I411" t="n">
        <v>0</v>
      </c>
      <c r="J411" t="n">
        <v>1</v>
      </c>
      <c r="K411" t="n">
        <v>0</v>
      </c>
      <c r="L411" t="n">
        <v>0</v>
      </c>
      <c r="M411" t="n">
        <v>0</v>
      </c>
      <c r="N411" t="n">
        <v>0</v>
      </c>
      <c r="O411" t="n">
        <v>1</v>
      </c>
      <c r="P411" t="n">
        <v>0</v>
      </c>
      <c r="Q411" t="n">
        <v>1</v>
      </c>
      <c r="R411" s="2" t="inlineStr">
        <is>
          <t>Backstarr</t>
        </is>
      </c>
      <c r="S411">
        <f>HYPERLINK("https://klasma.github.io/Logging_1882/artfynd/A 2205-2026 artfynd.xlsx", "A 2205-2026")</f>
        <v/>
      </c>
      <c r="T411">
        <f>HYPERLINK("https://klasma.github.io/Logging_1882/kartor/A 2205-2026 karta.png", "A 2205-2026")</f>
        <v/>
      </c>
      <c r="V411">
        <f>HYPERLINK("https://klasma.github.io/Logging_1882/klagomål/A 2205-2026 FSC-klagomål.docx", "A 2205-2026")</f>
        <v/>
      </c>
      <c r="W411">
        <f>HYPERLINK("https://klasma.github.io/Logging_1882/klagomålsmail/A 2205-2026 FSC-klagomål mail.docx", "A 2205-2026")</f>
        <v/>
      </c>
      <c r="X411">
        <f>HYPERLINK("https://klasma.github.io/Logging_1882/tillsyn/A 2205-2026 tillsynsbegäran.docx", "A 2205-2026")</f>
        <v/>
      </c>
      <c r="Y411">
        <f>HYPERLINK("https://klasma.github.io/Logging_1882/tillsynsmail/A 2205-2026 tillsynsbegäran mail.docx", "A 2205-2026")</f>
        <v/>
      </c>
    </row>
    <row r="412" ht="15" customHeight="1">
      <c r="A412" t="inlineStr">
        <is>
          <t>A 59516-2025</t>
        </is>
      </c>
      <c r="B412" s="1" t="n">
        <v>45989.65396990741</v>
      </c>
      <c r="C412" s="1" t="n">
        <v>46132</v>
      </c>
      <c r="D412" t="inlineStr">
        <is>
          <t>ÖREBRO LÄN</t>
        </is>
      </c>
      <c r="E412" t="inlineStr">
        <is>
          <t>ÖREBRO</t>
        </is>
      </c>
      <c r="F412" t="inlineStr">
        <is>
          <t>Sveaskog</t>
        </is>
      </c>
      <c r="G412" t="n">
        <v>1.9</v>
      </c>
      <c r="H412" t="n">
        <v>0</v>
      </c>
      <c r="I412" t="n">
        <v>1</v>
      </c>
      <c r="J412" t="n">
        <v>0</v>
      </c>
      <c r="K412" t="n">
        <v>0</v>
      </c>
      <c r="L412" t="n">
        <v>0</v>
      </c>
      <c r="M412" t="n">
        <v>0</v>
      </c>
      <c r="N412" t="n">
        <v>0</v>
      </c>
      <c r="O412" t="n">
        <v>0</v>
      </c>
      <c r="P412" t="n">
        <v>0</v>
      </c>
      <c r="Q412" t="n">
        <v>1</v>
      </c>
      <c r="R412" s="2" t="inlineStr">
        <is>
          <t>Tibast</t>
        </is>
      </c>
      <c r="S412">
        <f>HYPERLINK("https://klasma.github.io/Logging_1880/artfynd/A 59516-2025 artfynd.xlsx", "A 59516-2025")</f>
        <v/>
      </c>
      <c r="T412">
        <f>HYPERLINK("https://klasma.github.io/Logging_1880/kartor/A 59516-2025 karta.png", "A 59516-2025")</f>
        <v/>
      </c>
      <c r="V412">
        <f>HYPERLINK("https://klasma.github.io/Logging_1880/klagomål/A 59516-2025 FSC-klagomål.docx", "A 59516-2025")</f>
        <v/>
      </c>
      <c r="W412">
        <f>HYPERLINK("https://klasma.github.io/Logging_1880/klagomålsmail/A 59516-2025 FSC-klagomål mail.docx", "A 59516-2025")</f>
        <v/>
      </c>
      <c r="X412">
        <f>HYPERLINK("https://klasma.github.io/Logging_1880/tillsyn/A 59516-2025 tillsynsbegäran.docx", "A 59516-2025")</f>
        <v/>
      </c>
      <c r="Y412">
        <f>HYPERLINK("https://klasma.github.io/Logging_1880/tillsynsmail/A 59516-2025 tillsynsbegäran mail.docx", "A 59516-2025")</f>
        <v/>
      </c>
    </row>
    <row r="413" ht="15" customHeight="1">
      <c r="A413" t="inlineStr">
        <is>
          <t>A 2829-2026</t>
        </is>
      </c>
      <c r="B413" s="1" t="n">
        <v>46038.45296296296</v>
      </c>
      <c r="C413" s="1" t="n">
        <v>46132</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28787-2023</t>
        </is>
      </c>
      <c r="B414" s="1" t="n">
        <v>45104.3483912037</v>
      </c>
      <c r="C414" s="1" t="n">
        <v>46132</v>
      </c>
      <c r="D414" t="inlineStr">
        <is>
          <t>ÖREBRO LÄN</t>
        </is>
      </c>
      <c r="E414" t="inlineStr">
        <is>
          <t>LINDESBERG</t>
        </is>
      </c>
      <c r="F414" t="inlineStr">
        <is>
          <t>Sveaskog</t>
        </is>
      </c>
      <c r="G414" t="n">
        <v>0.5</v>
      </c>
      <c r="H414" t="n">
        <v>1</v>
      </c>
      <c r="I414" t="n">
        <v>0</v>
      </c>
      <c r="J414" t="n">
        <v>0</v>
      </c>
      <c r="K414" t="n">
        <v>0</v>
      </c>
      <c r="L414" t="n">
        <v>0</v>
      </c>
      <c r="M414" t="n">
        <v>0</v>
      </c>
      <c r="N414" t="n">
        <v>0</v>
      </c>
      <c r="O414" t="n">
        <v>0</v>
      </c>
      <c r="P414" t="n">
        <v>0</v>
      </c>
      <c r="Q414" t="n">
        <v>1</v>
      </c>
      <c r="R414" s="2" t="inlineStr">
        <is>
          <t>Fläcknycklar</t>
        </is>
      </c>
      <c r="S414">
        <f>HYPERLINK("https://klasma.github.io/Logging_1885/artfynd/A 28787-2023 artfynd.xlsx", "A 28787-2023")</f>
        <v/>
      </c>
      <c r="T414">
        <f>HYPERLINK("https://klasma.github.io/Logging_1885/kartor/A 28787-2023 karta.png", "A 28787-2023")</f>
        <v/>
      </c>
      <c r="V414">
        <f>HYPERLINK("https://klasma.github.io/Logging_1885/klagomål/A 28787-2023 FSC-klagomål.docx", "A 28787-2023")</f>
        <v/>
      </c>
      <c r="W414">
        <f>HYPERLINK("https://klasma.github.io/Logging_1885/klagomålsmail/A 28787-2023 FSC-klagomål mail.docx", "A 28787-2023")</f>
        <v/>
      </c>
      <c r="X414">
        <f>HYPERLINK("https://klasma.github.io/Logging_1885/tillsyn/A 28787-2023 tillsynsbegäran.docx", "A 28787-2023")</f>
        <v/>
      </c>
      <c r="Y414">
        <f>HYPERLINK("https://klasma.github.io/Logging_1885/tillsynsmail/A 28787-2023 tillsynsbegäran mail.docx", "A 28787-2023")</f>
        <v/>
      </c>
    </row>
    <row r="415" ht="15" customHeight="1">
      <c r="A415" t="inlineStr">
        <is>
          <t>A 3006-2026</t>
        </is>
      </c>
      <c r="B415" s="1" t="n">
        <v>46038.65719907408</v>
      </c>
      <c r="C415" s="1" t="n">
        <v>46132</v>
      </c>
      <c r="D415" t="inlineStr">
        <is>
          <t>ÖREBRO LÄN</t>
        </is>
      </c>
      <c r="E415" t="inlineStr">
        <is>
          <t>ÖREBRO</t>
        </is>
      </c>
      <c r="F415" t="inlineStr">
        <is>
          <t>Övriga Aktiebolag</t>
        </is>
      </c>
      <c r="G415" t="n">
        <v>1</v>
      </c>
      <c r="H415" t="n">
        <v>1</v>
      </c>
      <c r="I415" t="n">
        <v>0</v>
      </c>
      <c r="J415" t="n">
        <v>1</v>
      </c>
      <c r="K415" t="n">
        <v>0</v>
      </c>
      <c r="L415" t="n">
        <v>0</v>
      </c>
      <c r="M415" t="n">
        <v>0</v>
      </c>
      <c r="N415" t="n">
        <v>0</v>
      </c>
      <c r="O415" t="n">
        <v>1</v>
      </c>
      <c r="P415" t="n">
        <v>0</v>
      </c>
      <c r="Q415" t="n">
        <v>1</v>
      </c>
      <c r="R415" s="2" t="inlineStr">
        <is>
          <t>Gulsparv</t>
        </is>
      </c>
      <c r="S415">
        <f>HYPERLINK("https://klasma.github.io/Logging_1880/artfynd/A 3006-2026 artfynd.xlsx", "A 3006-2026")</f>
        <v/>
      </c>
      <c r="T415">
        <f>HYPERLINK("https://klasma.github.io/Logging_1880/kartor/A 3006-2026 karta.png", "A 3006-2026")</f>
        <v/>
      </c>
      <c r="V415">
        <f>HYPERLINK("https://klasma.github.io/Logging_1880/klagomål/A 3006-2026 FSC-klagomål.docx", "A 3006-2026")</f>
        <v/>
      </c>
      <c r="W415">
        <f>HYPERLINK("https://klasma.github.io/Logging_1880/klagomålsmail/A 3006-2026 FSC-klagomål mail.docx", "A 3006-2026")</f>
        <v/>
      </c>
      <c r="X415">
        <f>HYPERLINK("https://klasma.github.io/Logging_1880/tillsyn/A 3006-2026 tillsynsbegäran.docx", "A 3006-2026")</f>
        <v/>
      </c>
      <c r="Y415">
        <f>HYPERLINK("https://klasma.github.io/Logging_1880/tillsynsmail/A 3006-2026 tillsynsbegäran mail.docx", "A 3006-2026")</f>
        <v/>
      </c>
      <c r="Z415">
        <f>HYPERLINK("https://klasma.github.io/Logging_1880/fåglar/A 3006-2026 prioriterade fågelarter.docx", "A 3006-2026")</f>
        <v/>
      </c>
    </row>
    <row r="416" ht="15" customHeight="1">
      <c r="A416" t="inlineStr">
        <is>
          <t>A 1121-2026</t>
        </is>
      </c>
      <c r="B416" s="1" t="n">
        <v>46030</v>
      </c>
      <c r="C416" s="1" t="n">
        <v>46132</v>
      </c>
      <c r="D416" t="inlineStr">
        <is>
          <t>ÖREBRO LÄN</t>
        </is>
      </c>
      <c r="E416" t="inlineStr">
        <is>
          <t>ASKERSUND</t>
        </is>
      </c>
      <c r="G416" t="n">
        <v>8.4</v>
      </c>
      <c r="H416" t="n">
        <v>0</v>
      </c>
      <c r="I416" t="n">
        <v>0</v>
      </c>
      <c r="J416" t="n">
        <v>1</v>
      </c>
      <c r="K416" t="n">
        <v>0</v>
      </c>
      <c r="L416" t="n">
        <v>0</v>
      </c>
      <c r="M416" t="n">
        <v>0</v>
      </c>
      <c r="N416" t="n">
        <v>0</v>
      </c>
      <c r="O416" t="n">
        <v>1</v>
      </c>
      <c r="P416" t="n">
        <v>0</v>
      </c>
      <c r="Q416" t="n">
        <v>1</v>
      </c>
      <c r="R416" s="2" t="inlineStr">
        <is>
          <t>Svinrot</t>
        </is>
      </c>
      <c r="S416">
        <f>HYPERLINK("https://klasma.github.io/Logging_1882/artfynd/A 1121-2026 artfynd.xlsx", "A 1121-2026")</f>
        <v/>
      </c>
      <c r="T416">
        <f>HYPERLINK("https://klasma.github.io/Logging_1882/kartor/A 1121-2026 karta.png", "A 1121-2026")</f>
        <v/>
      </c>
      <c r="V416">
        <f>HYPERLINK("https://klasma.github.io/Logging_1882/klagomål/A 1121-2026 FSC-klagomål.docx", "A 1121-2026")</f>
        <v/>
      </c>
      <c r="W416">
        <f>HYPERLINK("https://klasma.github.io/Logging_1882/klagomålsmail/A 1121-2026 FSC-klagomål mail.docx", "A 1121-2026")</f>
        <v/>
      </c>
      <c r="X416">
        <f>HYPERLINK("https://klasma.github.io/Logging_1882/tillsyn/A 1121-2026 tillsynsbegäran.docx", "A 1121-2026")</f>
        <v/>
      </c>
      <c r="Y416">
        <f>HYPERLINK("https://klasma.github.io/Logging_1882/tillsynsmail/A 1121-2026 tillsynsbegäran mail.docx", "A 1121-2026")</f>
        <v/>
      </c>
    </row>
    <row r="417" ht="15" customHeight="1">
      <c r="A417" t="inlineStr">
        <is>
          <t>A 27900-2024</t>
        </is>
      </c>
      <c r="B417" s="1" t="n">
        <v>45475.92849537037</v>
      </c>
      <c r="C417" s="1" t="n">
        <v>46132</v>
      </c>
      <c r="D417" t="inlineStr">
        <is>
          <t>ÖREBRO LÄN</t>
        </is>
      </c>
      <c r="E417" t="inlineStr">
        <is>
          <t>LINDESBERG</t>
        </is>
      </c>
      <c r="F417" t="inlineStr">
        <is>
          <t>Sveaskog</t>
        </is>
      </c>
      <c r="G417" t="n">
        <v>4.1</v>
      </c>
      <c r="H417" t="n">
        <v>1</v>
      </c>
      <c r="I417" t="n">
        <v>0</v>
      </c>
      <c r="J417" t="n">
        <v>0</v>
      </c>
      <c r="K417" t="n">
        <v>0</v>
      </c>
      <c r="L417" t="n">
        <v>0</v>
      </c>
      <c r="M417" t="n">
        <v>0</v>
      </c>
      <c r="N417" t="n">
        <v>0</v>
      </c>
      <c r="O417" t="n">
        <v>0</v>
      </c>
      <c r="P417" t="n">
        <v>0</v>
      </c>
      <c r="Q417" t="n">
        <v>1</v>
      </c>
      <c r="R417" s="2" t="inlineStr">
        <is>
          <t>Fläcknycklar</t>
        </is>
      </c>
      <c r="S417">
        <f>HYPERLINK("https://klasma.github.io/Logging_1885/artfynd/A 27900-2024 artfynd.xlsx", "A 27900-2024")</f>
        <v/>
      </c>
      <c r="T417">
        <f>HYPERLINK("https://klasma.github.io/Logging_1885/kartor/A 27900-2024 karta.png", "A 27900-2024")</f>
        <v/>
      </c>
      <c r="V417">
        <f>HYPERLINK("https://klasma.github.io/Logging_1885/klagomål/A 27900-2024 FSC-klagomål.docx", "A 27900-2024")</f>
        <v/>
      </c>
      <c r="W417">
        <f>HYPERLINK("https://klasma.github.io/Logging_1885/klagomålsmail/A 27900-2024 FSC-klagomål mail.docx", "A 27900-2024")</f>
        <v/>
      </c>
      <c r="X417">
        <f>HYPERLINK("https://klasma.github.io/Logging_1885/tillsyn/A 27900-2024 tillsynsbegäran.docx", "A 27900-2024")</f>
        <v/>
      </c>
      <c r="Y417">
        <f>HYPERLINK("https://klasma.github.io/Logging_1885/tillsynsmail/A 27900-2024 tillsynsbegäran mail.docx", "A 27900-2024")</f>
        <v/>
      </c>
    </row>
    <row r="418" ht="15" customHeight="1">
      <c r="A418" t="inlineStr">
        <is>
          <t>A 30725-2023</t>
        </is>
      </c>
      <c r="B418" s="1" t="n">
        <v>45112.61451388889</v>
      </c>
      <c r="C418" s="1" t="n">
        <v>46132</v>
      </c>
      <c r="D418" t="inlineStr">
        <is>
          <t>ÖREBRO LÄN</t>
        </is>
      </c>
      <c r="E418" t="inlineStr">
        <is>
          <t>ÖREBRO</t>
        </is>
      </c>
      <c r="G418" t="n">
        <v>1.8</v>
      </c>
      <c r="H418" t="n">
        <v>1</v>
      </c>
      <c r="I418" t="n">
        <v>0</v>
      </c>
      <c r="J418" t="n">
        <v>1</v>
      </c>
      <c r="K418" t="n">
        <v>0</v>
      </c>
      <c r="L418" t="n">
        <v>0</v>
      </c>
      <c r="M418" t="n">
        <v>0</v>
      </c>
      <c r="N418" t="n">
        <v>0</v>
      </c>
      <c r="O418" t="n">
        <v>1</v>
      </c>
      <c r="P418" t="n">
        <v>0</v>
      </c>
      <c r="Q418" t="n">
        <v>1</v>
      </c>
      <c r="R418" s="2" t="inlineStr">
        <is>
          <t>Gulsparv</t>
        </is>
      </c>
      <c r="S418">
        <f>HYPERLINK("https://klasma.github.io/Logging_1880/artfynd/A 30725-2023 artfynd.xlsx", "A 30725-2023")</f>
        <v/>
      </c>
      <c r="T418">
        <f>HYPERLINK("https://klasma.github.io/Logging_1880/kartor/A 30725-2023 karta.png", "A 30725-2023")</f>
        <v/>
      </c>
      <c r="V418">
        <f>HYPERLINK("https://klasma.github.io/Logging_1880/klagomål/A 30725-2023 FSC-klagomål.docx", "A 30725-2023")</f>
        <v/>
      </c>
      <c r="W418">
        <f>HYPERLINK("https://klasma.github.io/Logging_1880/klagomålsmail/A 30725-2023 FSC-klagomål mail.docx", "A 30725-2023")</f>
        <v/>
      </c>
      <c r="X418">
        <f>HYPERLINK("https://klasma.github.io/Logging_1880/tillsyn/A 30725-2023 tillsynsbegäran.docx", "A 30725-2023")</f>
        <v/>
      </c>
      <c r="Y418">
        <f>HYPERLINK("https://klasma.github.io/Logging_1880/tillsynsmail/A 30725-2023 tillsynsbegäran mail.docx", "A 30725-2023")</f>
        <v/>
      </c>
      <c r="Z418">
        <f>HYPERLINK("https://klasma.github.io/Logging_1880/fåglar/A 30725-2023 prioriterade fågelarter.docx", "A 30725-2023")</f>
        <v/>
      </c>
    </row>
    <row r="419" ht="15" customHeight="1">
      <c r="A419" t="inlineStr">
        <is>
          <t>A 28598-2024</t>
        </is>
      </c>
      <c r="B419" s="1" t="n">
        <v>45478.42475694444</v>
      </c>
      <c r="C419" s="1" t="n">
        <v>46132</v>
      </c>
      <c r="D419" t="inlineStr">
        <is>
          <t>ÖREBRO LÄN</t>
        </is>
      </c>
      <c r="E419" t="inlineStr">
        <is>
          <t>HÄLLEFORS</t>
        </is>
      </c>
      <c r="F419" t="inlineStr">
        <is>
          <t>Bergvik skog väst AB</t>
        </is>
      </c>
      <c r="G419" t="n">
        <v>11.3</v>
      </c>
      <c r="H419" t="n">
        <v>0</v>
      </c>
      <c r="I419" t="n">
        <v>0</v>
      </c>
      <c r="J419" t="n">
        <v>1</v>
      </c>
      <c r="K419" t="n">
        <v>0</v>
      </c>
      <c r="L419" t="n">
        <v>0</v>
      </c>
      <c r="M419" t="n">
        <v>0</v>
      </c>
      <c r="N419" t="n">
        <v>0</v>
      </c>
      <c r="O419" t="n">
        <v>1</v>
      </c>
      <c r="P419" t="n">
        <v>0</v>
      </c>
      <c r="Q419" t="n">
        <v>1</v>
      </c>
      <c r="R419" s="2" t="inlineStr">
        <is>
          <t>Brunklöver</t>
        </is>
      </c>
      <c r="S419">
        <f>HYPERLINK("https://klasma.github.io/Logging_1863/artfynd/A 28598-2024 artfynd.xlsx", "A 28598-2024")</f>
        <v/>
      </c>
      <c r="T419">
        <f>HYPERLINK("https://klasma.github.io/Logging_1863/kartor/A 28598-2024 karta.png", "A 28598-2024")</f>
        <v/>
      </c>
      <c r="V419">
        <f>HYPERLINK("https://klasma.github.io/Logging_1863/klagomål/A 28598-2024 FSC-klagomål.docx", "A 28598-2024")</f>
        <v/>
      </c>
      <c r="W419">
        <f>HYPERLINK("https://klasma.github.io/Logging_1863/klagomålsmail/A 28598-2024 FSC-klagomål mail.docx", "A 28598-2024")</f>
        <v/>
      </c>
      <c r="X419">
        <f>HYPERLINK("https://klasma.github.io/Logging_1863/tillsyn/A 28598-2024 tillsynsbegäran.docx", "A 28598-2024")</f>
        <v/>
      </c>
      <c r="Y419">
        <f>HYPERLINK("https://klasma.github.io/Logging_1863/tillsynsmail/A 28598-2024 tillsynsbegäran mail.docx", "A 28598-2024")</f>
        <v/>
      </c>
    </row>
    <row r="420" ht="15" customHeight="1">
      <c r="A420" t="inlineStr">
        <is>
          <t>A 5097-2023</t>
        </is>
      </c>
      <c r="B420" s="1" t="n">
        <v>44958</v>
      </c>
      <c r="C420" s="1" t="n">
        <v>46132</v>
      </c>
      <c r="D420" t="inlineStr">
        <is>
          <t>ÖREBRO LÄN</t>
        </is>
      </c>
      <c r="E420" t="inlineStr">
        <is>
          <t>ÖREBRO</t>
        </is>
      </c>
      <c r="G420" t="n">
        <v>3.6</v>
      </c>
      <c r="H420" t="n">
        <v>1</v>
      </c>
      <c r="I420" t="n">
        <v>0</v>
      </c>
      <c r="J420" t="n">
        <v>0</v>
      </c>
      <c r="K420" t="n">
        <v>0</v>
      </c>
      <c r="L420" t="n">
        <v>0</v>
      </c>
      <c r="M420" t="n">
        <v>0</v>
      </c>
      <c r="N420" t="n">
        <v>0</v>
      </c>
      <c r="O420" t="n">
        <v>0</v>
      </c>
      <c r="P420" t="n">
        <v>0</v>
      </c>
      <c r="Q420" t="n">
        <v>1</v>
      </c>
      <c r="R420" s="2" t="inlineStr">
        <is>
          <t>Grönvit nattviol</t>
        </is>
      </c>
      <c r="S420">
        <f>HYPERLINK("https://klasma.github.io/Logging_1880/artfynd/A 5097-2023 artfynd.xlsx", "A 5097-2023")</f>
        <v/>
      </c>
      <c r="T420">
        <f>HYPERLINK("https://klasma.github.io/Logging_1880/kartor/A 5097-2023 karta.png", "A 5097-2023")</f>
        <v/>
      </c>
      <c r="V420">
        <f>HYPERLINK("https://klasma.github.io/Logging_1880/klagomål/A 5097-2023 FSC-klagomål.docx", "A 5097-2023")</f>
        <v/>
      </c>
      <c r="W420">
        <f>HYPERLINK("https://klasma.github.io/Logging_1880/klagomålsmail/A 5097-2023 FSC-klagomål mail.docx", "A 5097-2023")</f>
        <v/>
      </c>
      <c r="X420">
        <f>HYPERLINK("https://klasma.github.io/Logging_1880/tillsyn/A 5097-2023 tillsynsbegäran.docx", "A 5097-2023")</f>
        <v/>
      </c>
      <c r="Y420">
        <f>HYPERLINK("https://klasma.github.io/Logging_1880/tillsynsmail/A 5097-2023 tillsynsbegäran mail.docx", "A 5097-2023")</f>
        <v/>
      </c>
    </row>
    <row r="421" ht="15" customHeight="1">
      <c r="A421" t="inlineStr">
        <is>
          <t>A 12550-2026</t>
        </is>
      </c>
      <c r="B421" s="1" t="n">
        <v>46090.63508101852</v>
      </c>
      <c r="C421" s="1" t="n">
        <v>46132</v>
      </c>
      <c r="D421" t="inlineStr">
        <is>
          <t>ÖREBRO LÄN</t>
        </is>
      </c>
      <c r="E421" t="inlineStr">
        <is>
          <t>LEKEBERG</t>
        </is>
      </c>
      <c r="F421" t="inlineStr">
        <is>
          <t>Sveaskog</t>
        </is>
      </c>
      <c r="G421" t="n">
        <v>3.3</v>
      </c>
      <c r="H421" t="n">
        <v>1</v>
      </c>
      <c r="I421" t="n">
        <v>0</v>
      </c>
      <c r="J421" t="n">
        <v>0</v>
      </c>
      <c r="K421" t="n">
        <v>0</v>
      </c>
      <c r="L421" t="n">
        <v>0</v>
      </c>
      <c r="M421" t="n">
        <v>0</v>
      </c>
      <c r="N421" t="n">
        <v>0</v>
      </c>
      <c r="O421" t="n">
        <v>0</v>
      </c>
      <c r="P421" t="n">
        <v>0</v>
      </c>
      <c r="Q421" t="n">
        <v>1</v>
      </c>
      <c r="R421" s="2" t="inlineStr">
        <is>
          <t>Blåsippa</t>
        </is>
      </c>
      <c r="S421">
        <f>HYPERLINK("https://klasma.github.io/Logging_1814/artfynd/A 12550-2026 artfynd.xlsx", "A 12550-2026")</f>
        <v/>
      </c>
      <c r="T421">
        <f>HYPERLINK("https://klasma.github.io/Logging_1814/kartor/A 12550-2026 karta.png", "A 12550-2026")</f>
        <v/>
      </c>
      <c r="V421">
        <f>HYPERLINK("https://klasma.github.io/Logging_1814/klagomål/A 12550-2026 FSC-klagomål.docx", "A 12550-2026")</f>
        <v/>
      </c>
      <c r="W421">
        <f>HYPERLINK("https://klasma.github.io/Logging_1814/klagomålsmail/A 12550-2026 FSC-klagomål mail.docx", "A 12550-2026")</f>
        <v/>
      </c>
      <c r="X421">
        <f>HYPERLINK("https://klasma.github.io/Logging_1814/tillsyn/A 12550-2026 tillsynsbegäran.docx", "A 12550-2026")</f>
        <v/>
      </c>
      <c r="Y421">
        <f>HYPERLINK("https://klasma.github.io/Logging_1814/tillsynsmail/A 12550-2026 tillsynsbegäran mail.docx", "A 12550-2026")</f>
        <v/>
      </c>
    </row>
    <row r="422" ht="15" customHeight="1">
      <c r="A422" t="inlineStr">
        <is>
          <t>A 12557-2026</t>
        </is>
      </c>
      <c r="B422" s="1" t="n">
        <v>46090.64015046296</v>
      </c>
      <c r="C422" s="1" t="n">
        <v>46132</v>
      </c>
      <c r="D422" t="inlineStr">
        <is>
          <t>ÖREBRO LÄN</t>
        </is>
      </c>
      <c r="E422" t="inlineStr">
        <is>
          <t>LEKEBERG</t>
        </is>
      </c>
      <c r="F422" t="inlineStr">
        <is>
          <t>Sveaskog</t>
        </is>
      </c>
      <c r="G422" t="n">
        <v>2.2</v>
      </c>
      <c r="H422" t="n">
        <v>0</v>
      </c>
      <c r="I422" t="n">
        <v>1</v>
      </c>
      <c r="J422" t="n">
        <v>0</v>
      </c>
      <c r="K422" t="n">
        <v>0</v>
      </c>
      <c r="L422" t="n">
        <v>0</v>
      </c>
      <c r="M422" t="n">
        <v>0</v>
      </c>
      <c r="N422" t="n">
        <v>0</v>
      </c>
      <c r="O422" t="n">
        <v>0</v>
      </c>
      <c r="P422" t="n">
        <v>0</v>
      </c>
      <c r="Q422" t="n">
        <v>1</v>
      </c>
      <c r="R422" s="2" t="inlineStr">
        <is>
          <t>Barkticka</t>
        </is>
      </c>
      <c r="S422">
        <f>HYPERLINK("https://klasma.github.io/Logging_1814/artfynd/A 12557-2026 artfynd.xlsx", "A 12557-2026")</f>
        <v/>
      </c>
      <c r="T422">
        <f>HYPERLINK("https://klasma.github.io/Logging_1814/kartor/A 12557-2026 karta.png", "A 12557-2026")</f>
        <v/>
      </c>
      <c r="V422">
        <f>HYPERLINK("https://klasma.github.io/Logging_1814/klagomål/A 12557-2026 FSC-klagomål.docx", "A 12557-2026")</f>
        <v/>
      </c>
      <c r="W422">
        <f>HYPERLINK("https://klasma.github.io/Logging_1814/klagomålsmail/A 12557-2026 FSC-klagomål mail.docx", "A 12557-2026")</f>
        <v/>
      </c>
      <c r="X422">
        <f>HYPERLINK("https://klasma.github.io/Logging_1814/tillsyn/A 12557-2026 tillsynsbegäran.docx", "A 12557-2026")</f>
        <v/>
      </c>
      <c r="Y422">
        <f>HYPERLINK("https://klasma.github.io/Logging_1814/tillsynsmail/A 12557-2026 tillsynsbegäran mail.docx", "A 12557-2026")</f>
        <v/>
      </c>
    </row>
    <row r="423" ht="15" customHeight="1">
      <c r="A423" t="inlineStr">
        <is>
          <t>A 20247-2023</t>
        </is>
      </c>
      <c r="B423" s="1" t="n">
        <v>45055</v>
      </c>
      <c r="C423" s="1" t="n">
        <v>46132</v>
      </c>
      <c r="D423" t="inlineStr">
        <is>
          <t>ÖREBRO LÄN</t>
        </is>
      </c>
      <c r="E423" t="inlineStr">
        <is>
          <t>ÖREBRO</t>
        </is>
      </c>
      <c r="G423" t="n">
        <v>3</v>
      </c>
      <c r="H423" t="n">
        <v>1</v>
      </c>
      <c r="I423" t="n">
        <v>0</v>
      </c>
      <c r="J423" t="n">
        <v>0</v>
      </c>
      <c r="K423" t="n">
        <v>0</v>
      </c>
      <c r="L423" t="n">
        <v>0</v>
      </c>
      <c r="M423" t="n">
        <v>0</v>
      </c>
      <c r="N423" t="n">
        <v>0</v>
      </c>
      <c r="O423" t="n">
        <v>0</v>
      </c>
      <c r="P423" t="n">
        <v>0</v>
      </c>
      <c r="Q423" t="n">
        <v>1</v>
      </c>
      <c r="R423" s="2" t="inlineStr">
        <is>
          <t>Större vattensalamander</t>
        </is>
      </c>
      <c r="S423">
        <f>HYPERLINK("https://klasma.github.io/Logging_1880/artfynd/A 20247-2023 artfynd.xlsx", "A 20247-2023")</f>
        <v/>
      </c>
      <c r="T423">
        <f>HYPERLINK("https://klasma.github.io/Logging_1880/kartor/A 20247-2023 karta.png", "A 20247-2023")</f>
        <v/>
      </c>
      <c r="V423">
        <f>HYPERLINK("https://klasma.github.io/Logging_1880/klagomål/A 20247-2023 FSC-klagomål.docx", "A 20247-2023")</f>
        <v/>
      </c>
      <c r="W423">
        <f>HYPERLINK("https://klasma.github.io/Logging_1880/klagomålsmail/A 20247-2023 FSC-klagomål mail.docx", "A 20247-2023")</f>
        <v/>
      </c>
      <c r="X423">
        <f>HYPERLINK("https://klasma.github.io/Logging_1880/tillsyn/A 20247-2023 tillsynsbegäran.docx", "A 20247-2023")</f>
        <v/>
      </c>
      <c r="Y423">
        <f>HYPERLINK("https://klasma.github.io/Logging_1880/tillsynsmail/A 20247-2023 tillsynsbegäran mail.docx", "A 20247-2023")</f>
        <v/>
      </c>
    </row>
    <row r="424" ht="15" customHeight="1">
      <c r="A424" t="inlineStr">
        <is>
          <t>A 62084-2024</t>
        </is>
      </c>
      <c r="B424" s="1" t="n">
        <v>45656.45586805556</v>
      </c>
      <c r="C424" s="1" t="n">
        <v>46132</v>
      </c>
      <c r="D424" t="inlineStr">
        <is>
          <t>ÖREBRO LÄN</t>
        </is>
      </c>
      <c r="E424" t="inlineStr">
        <is>
          <t>ASKERSUND</t>
        </is>
      </c>
      <c r="G424" t="n">
        <v>0.8</v>
      </c>
      <c r="H424" t="n">
        <v>0</v>
      </c>
      <c r="I424" t="n">
        <v>1</v>
      </c>
      <c r="J424" t="n">
        <v>0</v>
      </c>
      <c r="K424" t="n">
        <v>0</v>
      </c>
      <c r="L424" t="n">
        <v>0</v>
      </c>
      <c r="M424" t="n">
        <v>0</v>
      </c>
      <c r="N424" t="n">
        <v>0</v>
      </c>
      <c r="O424" t="n">
        <v>0</v>
      </c>
      <c r="P424" t="n">
        <v>0</v>
      </c>
      <c r="Q424" t="n">
        <v>1</v>
      </c>
      <c r="R424" s="2" t="inlineStr">
        <is>
          <t>Ängsvaxing agg.</t>
        </is>
      </c>
      <c r="S424">
        <f>HYPERLINK("https://klasma.github.io/Logging_1882/artfynd/A 62084-2024 artfynd.xlsx", "A 62084-2024")</f>
        <v/>
      </c>
      <c r="T424">
        <f>HYPERLINK("https://klasma.github.io/Logging_1882/kartor/A 62084-2024 karta.png", "A 62084-2024")</f>
        <v/>
      </c>
      <c r="V424">
        <f>HYPERLINK("https://klasma.github.io/Logging_1882/klagomål/A 62084-2024 FSC-klagomål.docx", "A 62084-2024")</f>
        <v/>
      </c>
      <c r="W424">
        <f>HYPERLINK("https://klasma.github.io/Logging_1882/klagomålsmail/A 62084-2024 FSC-klagomål mail.docx", "A 62084-2024")</f>
        <v/>
      </c>
      <c r="X424">
        <f>HYPERLINK("https://klasma.github.io/Logging_1882/tillsyn/A 62084-2024 tillsynsbegäran.docx", "A 62084-2024")</f>
        <v/>
      </c>
      <c r="Y424">
        <f>HYPERLINK("https://klasma.github.io/Logging_1882/tillsynsmail/A 62084-2024 tillsynsbegäran mail.docx", "A 62084-2024")</f>
        <v/>
      </c>
    </row>
    <row r="425" ht="15" customHeight="1">
      <c r="A425" t="inlineStr">
        <is>
          <t>A 12690-2026</t>
        </is>
      </c>
      <c r="B425" s="1" t="n">
        <v>46091.5705787037</v>
      </c>
      <c r="C425" s="1" t="n">
        <v>46132</v>
      </c>
      <c r="D425" t="inlineStr">
        <is>
          <t>ÖREBRO LÄN</t>
        </is>
      </c>
      <c r="E425" t="inlineStr">
        <is>
          <t>KARLSKOGA</t>
        </is>
      </c>
      <c r="F425" t="inlineStr">
        <is>
          <t>Övriga Aktiebolag</t>
        </is>
      </c>
      <c r="G425" t="n">
        <v>4.8</v>
      </c>
      <c r="H425" t="n">
        <v>0</v>
      </c>
      <c r="I425" t="n">
        <v>1</v>
      </c>
      <c r="J425" t="n">
        <v>0</v>
      </c>
      <c r="K425" t="n">
        <v>0</v>
      </c>
      <c r="L425" t="n">
        <v>0</v>
      </c>
      <c r="M425" t="n">
        <v>0</v>
      </c>
      <c r="N425" t="n">
        <v>0</v>
      </c>
      <c r="O425" t="n">
        <v>0</v>
      </c>
      <c r="P425" t="n">
        <v>0</v>
      </c>
      <c r="Q425" t="n">
        <v>1</v>
      </c>
      <c r="R425" s="2" t="inlineStr">
        <is>
          <t>Fjällig taggsvamp s.str.</t>
        </is>
      </c>
      <c r="S425">
        <f>HYPERLINK("https://klasma.github.io/Logging_1883/artfynd/A 12690-2026 artfynd.xlsx", "A 12690-2026")</f>
        <v/>
      </c>
      <c r="T425">
        <f>HYPERLINK("https://klasma.github.io/Logging_1883/kartor/A 12690-2026 karta.png", "A 12690-2026")</f>
        <v/>
      </c>
      <c r="V425">
        <f>HYPERLINK("https://klasma.github.io/Logging_1883/klagomål/A 12690-2026 FSC-klagomål.docx", "A 12690-2026")</f>
        <v/>
      </c>
      <c r="W425">
        <f>HYPERLINK("https://klasma.github.io/Logging_1883/klagomålsmail/A 12690-2026 FSC-klagomål mail.docx", "A 12690-2026")</f>
        <v/>
      </c>
      <c r="X425">
        <f>HYPERLINK("https://klasma.github.io/Logging_1883/tillsyn/A 12690-2026 tillsynsbegäran.docx", "A 12690-2026")</f>
        <v/>
      </c>
      <c r="Y425">
        <f>HYPERLINK("https://klasma.github.io/Logging_1883/tillsynsmail/A 12690-2026 tillsynsbegäran mail.docx", "A 12690-2026")</f>
        <v/>
      </c>
    </row>
    <row r="426" ht="15" customHeight="1">
      <c r="A426" t="inlineStr">
        <is>
          <t>A 1615-2023</t>
        </is>
      </c>
      <c r="B426" s="1" t="n">
        <v>44937</v>
      </c>
      <c r="C426" s="1" t="n">
        <v>46132</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32547-2024</t>
        </is>
      </c>
      <c r="B427" s="1" t="n">
        <v>45513</v>
      </c>
      <c r="C427" s="1" t="n">
        <v>46132</v>
      </c>
      <c r="D427" t="inlineStr">
        <is>
          <t>ÖREBRO LÄN</t>
        </is>
      </c>
      <c r="E427" t="inlineStr">
        <is>
          <t>HALLSBERG</t>
        </is>
      </c>
      <c r="G427" t="n">
        <v>3</v>
      </c>
      <c r="H427" t="n">
        <v>0</v>
      </c>
      <c r="I427" t="n">
        <v>1</v>
      </c>
      <c r="J427" t="n">
        <v>0</v>
      </c>
      <c r="K427" t="n">
        <v>0</v>
      </c>
      <c r="L427" t="n">
        <v>0</v>
      </c>
      <c r="M427" t="n">
        <v>0</v>
      </c>
      <c r="N427" t="n">
        <v>0</v>
      </c>
      <c r="O427" t="n">
        <v>0</v>
      </c>
      <c r="P427" t="n">
        <v>0</v>
      </c>
      <c r="Q427" t="n">
        <v>1</v>
      </c>
      <c r="R427" s="2" t="inlineStr">
        <is>
          <t>Strutbräken</t>
        </is>
      </c>
      <c r="S427">
        <f>HYPERLINK("https://klasma.github.io/Logging_1861/artfynd/A 32547-2024 artfynd.xlsx", "A 32547-2024")</f>
        <v/>
      </c>
      <c r="T427">
        <f>HYPERLINK("https://klasma.github.io/Logging_1861/kartor/A 32547-2024 karta.png", "A 32547-2024")</f>
        <v/>
      </c>
      <c r="V427">
        <f>HYPERLINK("https://klasma.github.io/Logging_1861/klagomål/A 32547-2024 FSC-klagomål.docx", "A 32547-2024")</f>
        <v/>
      </c>
      <c r="W427">
        <f>HYPERLINK("https://klasma.github.io/Logging_1861/klagomålsmail/A 32547-2024 FSC-klagomål mail.docx", "A 32547-2024")</f>
        <v/>
      </c>
      <c r="X427">
        <f>HYPERLINK("https://klasma.github.io/Logging_1861/tillsyn/A 32547-2024 tillsynsbegäran.docx", "A 32547-2024")</f>
        <v/>
      </c>
      <c r="Y427">
        <f>HYPERLINK("https://klasma.github.io/Logging_1861/tillsynsmail/A 32547-2024 tillsynsbegäran mail.docx", "A 32547-2024")</f>
        <v/>
      </c>
    </row>
    <row r="428" ht="15" customHeight="1">
      <c r="A428" t="inlineStr">
        <is>
          <t>A 1520-2025</t>
        </is>
      </c>
      <c r="B428" s="1" t="n">
        <v>45670</v>
      </c>
      <c r="C428" s="1" t="n">
        <v>46132</v>
      </c>
      <c r="D428" t="inlineStr">
        <is>
          <t>ÖREBRO LÄN</t>
        </is>
      </c>
      <c r="E428" t="inlineStr">
        <is>
          <t>NORA</t>
        </is>
      </c>
      <c r="G428" t="n">
        <v>5.9</v>
      </c>
      <c r="H428" t="n">
        <v>0</v>
      </c>
      <c r="I428" t="n">
        <v>0</v>
      </c>
      <c r="J428" t="n">
        <v>1</v>
      </c>
      <c r="K428" t="n">
        <v>0</v>
      </c>
      <c r="L428" t="n">
        <v>0</v>
      </c>
      <c r="M428" t="n">
        <v>0</v>
      </c>
      <c r="N428" t="n">
        <v>0</v>
      </c>
      <c r="O428" t="n">
        <v>1</v>
      </c>
      <c r="P428" t="n">
        <v>0</v>
      </c>
      <c r="Q428" t="n">
        <v>1</v>
      </c>
      <c r="R428" s="2" t="inlineStr">
        <is>
          <t>Svinrot</t>
        </is>
      </c>
      <c r="S428">
        <f>HYPERLINK("https://klasma.github.io/Logging_1884/artfynd/A 1520-2025 artfynd.xlsx", "A 1520-2025")</f>
        <v/>
      </c>
      <c r="T428">
        <f>HYPERLINK("https://klasma.github.io/Logging_1884/kartor/A 1520-2025 karta.png", "A 1520-2025")</f>
        <v/>
      </c>
      <c r="V428">
        <f>HYPERLINK("https://klasma.github.io/Logging_1884/klagomål/A 1520-2025 FSC-klagomål.docx", "A 1520-2025")</f>
        <v/>
      </c>
      <c r="W428">
        <f>HYPERLINK("https://klasma.github.io/Logging_1884/klagomålsmail/A 1520-2025 FSC-klagomål mail.docx", "A 1520-2025")</f>
        <v/>
      </c>
      <c r="X428">
        <f>HYPERLINK("https://klasma.github.io/Logging_1884/tillsyn/A 1520-2025 tillsynsbegäran.docx", "A 1520-2025")</f>
        <v/>
      </c>
      <c r="Y428">
        <f>HYPERLINK("https://klasma.github.io/Logging_1884/tillsynsmail/A 1520-2025 tillsynsbegäran mail.docx", "A 1520-2025")</f>
        <v/>
      </c>
    </row>
    <row r="429" ht="15" customHeight="1">
      <c r="A429" t="inlineStr">
        <is>
          <t>A 53598-2024</t>
        </is>
      </c>
      <c r="B429" s="1" t="n">
        <v>45614.68287037037</v>
      </c>
      <c r="C429" s="1" t="n">
        <v>46132</v>
      </c>
      <c r="D429" t="inlineStr">
        <is>
          <t>ÖREBRO LÄN</t>
        </is>
      </c>
      <c r="E429" t="inlineStr">
        <is>
          <t>LINDESBERG</t>
        </is>
      </c>
      <c r="G429" t="n">
        <v>3.1</v>
      </c>
      <c r="H429" t="n">
        <v>1</v>
      </c>
      <c r="I429" t="n">
        <v>0</v>
      </c>
      <c r="J429" t="n">
        <v>0</v>
      </c>
      <c r="K429" t="n">
        <v>0</v>
      </c>
      <c r="L429" t="n">
        <v>1</v>
      </c>
      <c r="M429" t="n">
        <v>0</v>
      </c>
      <c r="N429" t="n">
        <v>0</v>
      </c>
      <c r="O429" t="n">
        <v>1</v>
      </c>
      <c r="P429" t="n">
        <v>1</v>
      </c>
      <c r="Q429" t="n">
        <v>1</v>
      </c>
      <c r="R429" s="2" t="inlineStr">
        <is>
          <t>Asknätfjäril</t>
        </is>
      </c>
      <c r="S429">
        <f>HYPERLINK("https://klasma.github.io/Logging_1885/artfynd/A 53598-2024 artfynd.xlsx", "A 53598-2024")</f>
        <v/>
      </c>
      <c r="T429">
        <f>HYPERLINK("https://klasma.github.io/Logging_1885/kartor/A 53598-2024 karta.png", "A 53598-2024")</f>
        <v/>
      </c>
      <c r="V429">
        <f>HYPERLINK("https://klasma.github.io/Logging_1885/klagomål/A 53598-2024 FSC-klagomål.docx", "A 53598-2024")</f>
        <v/>
      </c>
      <c r="W429">
        <f>HYPERLINK("https://klasma.github.io/Logging_1885/klagomålsmail/A 53598-2024 FSC-klagomål mail.docx", "A 53598-2024")</f>
        <v/>
      </c>
      <c r="X429">
        <f>HYPERLINK("https://klasma.github.io/Logging_1885/tillsyn/A 53598-2024 tillsynsbegäran.docx", "A 53598-2024")</f>
        <v/>
      </c>
      <c r="Y429">
        <f>HYPERLINK("https://klasma.github.io/Logging_1885/tillsynsmail/A 53598-2024 tillsynsbegäran mail.docx", "A 53598-2024")</f>
        <v/>
      </c>
    </row>
    <row r="430" ht="15" customHeight="1">
      <c r="A430" t="inlineStr">
        <is>
          <t>A 14177-2026</t>
        </is>
      </c>
      <c r="B430" s="1" t="n">
        <v>46099.495625</v>
      </c>
      <c r="C430" s="1" t="n">
        <v>46132</v>
      </c>
      <c r="D430" t="inlineStr">
        <is>
          <t>ÖREBRO LÄN</t>
        </is>
      </c>
      <c r="E430" t="inlineStr">
        <is>
          <t>DEGERFORS</t>
        </is>
      </c>
      <c r="F430" t="inlineStr">
        <is>
          <t>Sveaskog</t>
        </is>
      </c>
      <c r="G430" t="n">
        <v>2.2</v>
      </c>
      <c r="H430" t="n">
        <v>0</v>
      </c>
      <c r="I430" t="n">
        <v>0</v>
      </c>
      <c r="J430" t="n">
        <v>1</v>
      </c>
      <c r="K430" t="n">
        <v>0</v>
      </c>
      <c r="L430" t="n">
        <v>0</v>
      </c>
      <c r="M430" t="n">
        <v>0</v>
      </c>
      <c r="N430" t="n">
        <v>0</v>
      </c>
      <c r="O430" t="n">
        <v>1</v>
      </c>
      <c r="P430" t="n">
        <v>0</v>
      </c>
      <c r="Q430" t="n">
        <v>1</v>
      </c>
      <c r="R430" s="2" t="inlineStr">
        <is>
          <t>Motaggsvamp</t>
        </is>
      </c>
      <c r="S430">
        <f>HYPERLINK("https://klasma.github.io/Logging_1862/artfynd/A 14177-2026 artfynd.xlsx", "A 14177-2026")</f>
        <v/>
      </c>
      <c r="T430">
        <f>HYPERLINK("https://klasma.github.io/Logging_1862/kartor/A 14177-2026 karta.png", "A 14177-2026")</f>
        <v/>
      </c>
      <c r="V430">
        <f>HYPERLINK("https://klasma.github.io/Logging_1862/klagomål/A 14177-2026 FSC-klagomål.docx", "A 14177-2026")</f>
        <v/>
      </c>
      <c r="W430">
        <f>HYPERLINK("https://klasma.github.io/Logging_1862/klagomålsmail/A 14177-2026 FSC-klagomål mail.docx", "A 14177-2026")</f>
        <v/>
      </c>
      <c r="X430">
        <f>HYPERLINK("https://klasma.github.io/Logging_1862/tillsyn/A 14177-2026 tillsynsbegäran.docx", "A 14177-2026")</f>
        <v/>
      </c>
      <c r="Y430">
        <f>HYPERLINK("https://klasma.github.io/Logging_1862/tillsynsmail/A 14177-2026 tillsynsbegäran mail.docx", "A 14177-2026")</f>
        <v/>
      </c>
    </row>
    <row r="431" ht="15" customHeight="1">
      <c r="A431" t="inlineStr">
        <is>
          <t>A 70466-2021</t>
        </is>
      </c>
      <c r="B431" s="1" t="n">
        <v>44536</v>
      </c>
      <c r="C431" s="1" t="n">
        <v>46132</v>
      </c>
      <c r="D431" t="inlineStr">
        <is>
          <t>ÖREBRO LÄN</t>
        </is>
      </c>
      <c r="E431" t="inlineStr">
        <is>
          <t>LINDESBERG</t>
        </is>
      </c>
      <c r="G431" t="n">
        <v>4.4</v>
      </c>
      <c r="H431" t="n">
        <v>1</v>
      </c>
      <c r="I431" t="n">
        <v>0</v>
      </c>
      <c r="J431" t="n">
        <v>0</v>
      </c>
      <c r="K431" t="n">
        <v>1</v>
      </c>
      <c r="L431" t="n">
        <v>0</v>
      </c>
      <c r="M431" t="n">
        <v>0</v>
      </c>
      <c r="N431" t="n">
        <v>0</v>
      </c>
      <c r="O431" t="n">
        <v>1</v>
      </c>
      <c r="P431" t="n">
        <v>1</v>
      </c>
      <c r="Q431" t="n">
        <v>1</v>
      </c>
      <c r="R431" s="2" t="inlineStr">
        <is>
          <t>Knärot</t>
        </is>
      </c>
      <c r="S431">
        <f>HYPERLINK("https://klasma.github.io/Logging_1885/artfynd/A 70466-2021 artfynd.xlsx", "A 70466-2021")</f>
        <v/>
      </c>
      <c r="T431">
        <f>HYPERLINK("https://klasma.github.io/Logging_1885/kartor/A 70466-2021 karta.png", "A 70466-2021")</f>
        <v/>
      </c>
      <c r="U431">
        <f>HYPERLINK("https://klasma.github.io/Logging_1885/knärot/A 70466-2021 karta knärot.png", "A 70466-2021")</f>
        <v/>
      </c>
      <c r="V431">
        <f>HYPERLINK("https://klasma.github.io/Logging_1885/klagomål/A 70466-2021 FSC-klagomål.docx", "A 70466-2021")</f>
        <v/>
      </c>
      <c r="W431">
        <f>HYPERLINK("https://klasma.github.io/Logging_1885/klagomålsmail/A 70466-2021 FSC-klagomål mail.docx", "A 70466-2021")</f>
        <v/>
      </c>
      <c r="X431">
        <f>HYPERLINK("https://klasma.github.io/Logging_1885/tillsyn/A 70466-2021 tillsynsbegäran.docx", "A 70466-2021")</f>
        <v/>
      </c>
      <c r="Y431">
        <f>HYPERLINK("https://klasma.github.io/Logging_1885/tillsynsmail/A 70466-2021 tillsynsbegäran mail.docx", "A 70466-2021")</f>
        <v/>
      </c>
    </row>
    <row r="432" ht="15" customHeight="1">
      <c r="A432" t="inlineStr">
        <is>
          <t>A 14342-2026</t>
        </is>
      </c>
      <c r="B432" s="1" t="n">
        <v>46100.33013888889</v>
      </c>
      <c r="C432" s="1" t="n">
        <v>46132</v>
      </c>
      <c r="D432" t="inlineStr">
        <is>
          <t>ÖREBRO LÄN</t>
        </is>
      </c>
      <c r="E432" t="inlineStr">
        <is>
          <t>HÄLLEFORS</t>
        </is>
      </c>
      <c r="F432" t="inlineStr">
        <is>
          <t>Sveaskog</t>
        </is>
      </c>
      <c r="G432" t="n">
        <v>5.2</v>
      </c>
      <c r="H432" t="n">
        <v>1</v>
      </c>
      <c r="I432" t="n">
        <v>0</v>
      </c>
      <c r="J432" t="n">
        <v>0</v>
      </c>
      <c r="K432" t="n">
        <v>0</v>
      </c>
      <c r="L432" t="n">
        <v>0</v>
      </c>
      <c r="M432" t="n">
        <v>0</v>
      </c>
      <c r="N432" t="n">
        <v>0</v>
      </c>
      <c r="O432" t="n">
        <v>0</v>
      </c>
      <c r="P432" t="n">
        <v>0</v>
      </c>
      <c r="Q432" t="n">
        <v>1</v>
      </c>
      <c r="R432" s="2" t="inlineStr">
        <is>
          <t>Revlummer</t>
        </is>
      </c>
      <c r="S432">
        <f>HYPERLINK("https://klasma.github.io/Logging_1863/artfynd/A 14342-2026 artfynd.xlsx", "A 14342-2026")</f>
        <v/>
      </c>
      <c r="T432">
        <f>HYPERLINK("https://klasma.github.io/Logging_1863/kartor/A 14342-2026 karta.png", "A 14342-2026")</f>
        <v/>
      </c>
      <c r="V432">
        <f>HYPERLINK("https://klasma.github.io/Logging_1863/klagomål/A 14342-2026 FSC-klagomål.docx", "A 14342-2026")</f>
        <v/>
      </c>
      <c r="W432">
        <f>HYPERLINK("https://klasma.github.io/Logging_1863/klagomålsmail/A 14342-2026 FSC-klagomål mail.docx", "A 14342-2026")</f>
        <v/>
      </c>
      <c r="X432">
        <f>HYPERLINK("https://klasma.github.io/Logging_1863/tillsyn/A 14342-2026 tillsynsbegäran.docx", "A 14342-2026")</f>
        <v/>
      </c>
      <c r="Y432">
        <f>HYPERLINK("https://klasma.github.io/Logging_1863/tillsynsmail/A 14342-2026 tillsynsbegäran mail.docx", "A 14342-2026")</f>
        <v/>
      </c>
    </row>
    <row r="433" ht="15" customHeight="1">
      <c r="A433" t="inlineStr">
        <is>
          <t>A 10507-2025</t>
        </is>
      </c>
      <c r="B433" s="1" t="n">
        <v>45721.39129629629</v>
      </c>
      <c r="C433" s="1" t="n">
        <v>46132</v>
      </c>
      <c r="D433" t="inlineStr">
        <is>
          <t>ÖREBRO LÄN</t>
        </is>
      </c>
      <c r="E433" t="inlineStr">
        <is>
          <t>LEKEBERG</t>
        </is>
      </c>
      <c r="F433" t="inlineStr">
        <is>
          <t>Sveaskog</t>
        </is>
      </c>
      <c r="G433" t="n">
        <v>10.4</v>
      </c>
      <c r="H433" t="n">
        <v>1</v>
      </c>
      <c r="I433" t="n">
        <v>0</v>
      </c>
      <c r="J433" t="n">
        <v>0</v>
      </c>
      <c r="K433" t="n">
        <v>0</v>
      </c>
      <c r="L433" t="n">
        <v>0</v>
      </c>
      <c r="M433" t="n">
        <v>0</v>
      </c>
      <c r="N433" t="n">
        <v>0</v>
      </c>
      <c r="O433" t="n">
        <v>0</v>
      </c>
      <c r="P433" t="n">
        <v>0</v>
      </c>
      <c r="Q433" t="n">
        <v>1</v>
      </c>
      <c r="R433" s="2" t="inlineStr">
        <is>
          <t>Kungsfågel</t>
        </is>
      </c>
      <c r="S433">
        <f>HYPERLINK("https://klasma.github.io/Logging_1814/artfynd/A 10507-2025 artfynd.xlsx", "A 10507-2025")</f>
        <v/>
      </c>
      <c r="T433">
        <f>HYPERLINK("https://klasma.github.io/Logging_1814/kartor/A 10507-2025 karta.png", "A 10507-2025")</f>
        <v/>
      </c>
      <c r="V433">
        <f>HYPERLINK("https://klasma.github.io/Logging_1814/klagomål/A 10507-2025 FSC-klagomål.docx", "A 10507-2025")</f>
        <v/>
      </c>
      <c r="W433">
        <f>HYPERLINK("https://klasma.github.io/Logging_1814/klagomålsmail/A 10507-2025 FSC-klagomål mail.docx", "A 10507-2025")</f>
        <v/>
      </c>
      <c r="X433">
        <f>HYPERLINK("https://klasma.github.io/Logging_1814/tillsyn/A 10507-2025 tillsynsbegäran.docx", "A 10507-2025")</f>
        <v/>
      </c>
      <c r="Y433">
        <f>HYPERLINK("https://klasma.github.io/Logging_1814/tillsynsmail/A 10507-2025 tillsynsbegäran mail.docx", "A 10507-2025")</f>
        <v/>
      </c>
      <c r="Z433">
        <f>HYPERLINK("https://klasma.github.io/Logging_1814/fåglar/A 10507-2025 prioriterade fågelarter.docx", "A 10507-2025")</f>
        <v/>
      </c>
    </row>
    <row r="434" ht="15" customHeight="1">
      <c r="A434" t="inlineStr">
        <is>
          <t>A 30722-2023</t>
        </is>
      </c>
      <c r="B434" s="1" t="n">
        <v>45112</v>
      </c>
      <c r="C434" s="1" t="n">
        <v>46132</v>
      </c>
      <c r="D434" t="inlineStr">
        <is>
          <t>ÖREBRO LÄN</t>
        </is>
      </c>
      <c r="E434" t="inlineStr">
        <is>
          <t>LEKEBERG</t>
        </is>
      </c>
      <c r="F434" t="inlineStr">
        <is>
          <t>Allmännings- och besparingsskogar</t>
        </is>
      </c>
      <c r="G434" t="n">
        <v>21.2</v>
      </c>
      <c r="H434" t="n">
        <v>1</v>
      </c>
      <c r="I434" t="n">
        <v>0</v>
      </c>
      <c r="J434" t="n">
        <v>0</v>
      </c>
      <c r="K434" t="n">
        <v>0</v>
      </c>
      <c r="L434" t="n">
        <v>0</v>
      </c>
      <c r="M434" t="n">
        <v>0</v>
      </c>
      <c r="N434" t="n">
        <v>0</v>
      </c>
      <c r="O434" t="n">
        <v>0</v>
      </c>
      <c r="P434" t="n">
        <v>0</v>
      </c>
      <c r="Q434" t="n">
        <v>1</v>
      </c>
      <c r="R434" s="2" t="inlineStr">
        <is>
          <t>Orre</t>
        </is>
      </c>
      <c r="S434">
        <f>HYPERLINK("https://klasma.github.io/Logging_1814/artfynd/A 30722-2023 artfynd.xlsx", "A 30722-2023")</f>
        <v/>
      </c>
      <c r="T434">
        <f>HYPERLINK("https://klasma.github.io/Logging_1814/kartor/A 30722-2023 karta.png", "A 30722-2023")</f>
        <v/>
      </c>
      <c r="V434">
        <f>HYPERLINK("https://klasma.github.io/Logging_1814/klagomål/A 30722-2023 FSC-klagomål.docx", "A 30722-2023")</f>
        <v/>
      </c>
      <c r="W434">
        <f>HYPERLINK("https://klasma.github.io/Logging_1814/klagomålsmail/A 30722-2023 FSC-klagomål mail.docx", "A 30722-2023")</f>
        <v/>
      </c>
      <c r="X434">
        <f>HYPERLINK("https://klasma.github.io/Logging_1814/tillsyn/A 30722-2023 tillsynsbegäran.docx", "A 30722-2023")</f>
        <v/>
      </c>
      <c r="Y434">
        <f>HYPERLINK("https://klasma.github.io/Logging_1814/tillsynsmail/A 30722-2023 tillsynsbegäran mail.docx", "A 30722-2023")</f>
        <v/>
      </c>
      <c r="Z434">
        <f>HYPERLINK("https://klasma.github.io/Logging_1814/fåglar/A 30722-2023 prioriterade fågelarter.docx", "A 30722-2023")</f>
        <v/>
      </c>
    </row>
    <row r="435" ht="15" customHeight="1">
      <c r="A435" t="inlineStr">
        <is>
          <t>A 52639-2023</t>
        </is>
      </c>
      <c r="B435" s="1" t="n">
        <v>45219</v>
      </c>
      <c r="C435" s="1" t="n">
        <v>46132</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8172-2026</t>
        </is>
      </c>
      <c r="B436" s="1" t="n">
        <v>46064</v>
      </c>
      <c r="C436" s="1" t="n">
        <v>46132</v>
      </c>
      <c r="D436" t="inlineStr">
        <is>
          <t>ÖREBRO LÄN</t>
        </is>
      </c>
      <c r="E436" t="inlineStr">
        <is>
          <t>LINDESBERG</t>
        </is>
      </c>
      <c r="G436" t="n">
        <v>2.9</v>
      </c>
      <c r="H436" t="n">
        <v>0</v>
      </c>
      <c r="I436" t="n">
        <v>0</v>
      </c>
      <c r="J436" t="n">
        <v>0</v>
      </c>
      <c r="K436" t="n">
        <v>0</v>
      </c>
      <c r="L436" t="n">
        <v>1</v>
      </c>
      <c r="M436" t="n">
        <v>0</v>
      </c>
      <c r="N436" t="n">
        <v>0</v>
      </c>
      <c r="O436" t="n">
        <v>1</v>
      </c>
      <c r="P436" t="n">
        <v>1</v>
      </c>
      <c r="Q436" t="n">
        <v>1</v>
      </c>
      <c r="R436" s="2" t="inlineStr">
        <is>
          <t>Bågtuss</t>
        </is>
      </c>
      <c r="S436">
        <f>HYPERLINK("https://klasma.github.io/Logging_1885/artfynd/A 8172-2026 artfynd.xlsx", "A 8172-2026")</f>
        <v/>
      </c>
      <c r="T436">
        <f>HYPERLINK("https://klasma.github.io/Logging_1885/kartor/A 8172-2026 karta.png", "A 8172-2026")</f>
        <v/>
      </c>
      <c r="U436">
        <f>HYPERLINK("https://klasma.github.io/Logging_1885/knärot/A 8172-2026 karta knärot.png", "A 8172-2026")</f>
        <v/>
      </c>
      <c r="V436">
        <f>HYPERLINK("https://klasma.github.io/Logging_1885/klagomål/A 8172-2026 FSC-klagomål.docx", "A 8172-2026")</f>
        <v/>
      </c>
      <c r="W436">
        <f>HYPERLINK("https://klasma.github.io/Logging_1885/klagomålsmail/A 8172-2026 FSC-klagomål mail.docx", "A 8172-2026")</f>
        <v/>
      </c>
      <c r="X436">
        <f>HYPERLINK("https://klasma.github.io/Logging_1885/tillsyn/A 8172-2026 tillsynsbegäran.docx", "A 8172-2026")</f>
        <v/>
      </c>
      <c r="Y436">
        <f>HYPERLINK("https://klasma.github.io/Logging_1885/tillsynsmail/A 8172-2026 tillsynsbegäran mail.docx", "A 8172-2026")</f>
        <v/>
      </c>
    </row>
    <row r="437" ht="15" customHeight="1">
      <c r="A437" t="inlineStr">
        <is>
          <t>A 44888-2024</t>
        </is>
      </c>
      <c r="B437" s="1" t="n">
        <v>45575</v>
      </c>
      <c r="C437" s="1" t="n">
        <v>46132</v>
      </c>
      <c r="D437" t="inlineStr">
        <is>
          <t>ÖREBRO LÄN</t>
        </is>
      </c>
      <c r="E437" t="inlineStr">
        <is>
          <t>ASKERSUND</t>
        </is>
      </c>
      <c r="F437" t="inlineStr">
        <is>
          <t>Sveaskog</t>
        </is>
      </c>
      <c r="G437" t="n">
        <v>2.4</v>
      </c>
      <c r="H437" t="n">
        <v>1</v>
      </c>
      <c r="I437" t="n">
        <v>0</v>
      </c>
      <c r="J437" t="n">
        <v>0</v>
      </c>
      <c r="K437" t="n">
        <v>0</v>
      </c>
      <c r="L437" t="n">
        <v>0</v>
      </c>
      <c r="M437" t="n">
        <v>0</v>
      </c>
      <c r="N437" t="n">
        <v>0</v>
      </c>
      <c r="O437" t="n">
        <v>0</v>
      </c>
      <c r="P437" t="n">
        <v>0</v>
      </c>
      <c r="Q437" t="n">
        <v>1</v>
      </c>
      <c r="R437" s="2" t="inlineStr">
        <is>
          <t>Grönvit nattviol</t>
        </is>
      </c>
      <c r="S437">
        <f>HYPERLINK("https://klasma.github.io/Logging_1882/artfynd/A 44888-2024 artfynd.xlsx", "A 44888-2024")</f>
        <v/>
      </c>
      <c r="T437">
        <f>HYPERLINK("https://klasma.github.io/Logging_1882/kartor/A 44888-2024 karta.png", "A 44888-2024")</f>
        <v/>
      </c>
      <c r="V437">
        <f>HYPERLINK("https://klasma.github.io/Logging_1882/klagomål/A 44888-2024 FSC-klagomål.docx", "A 44888-2024")</f>
        <v/>
      </c>
      <c r="W437">
        <f>HYPERLINK("https://klasma.github.io/Logging_1882/klagomålsmail/A 44888-2024 FSC-klagomål mail.docx", "A 44888-2024")</f>
        <v/>
      </c>
      <c r="X437">
        <f>HYPERLINK("https://klasma.github.io/Logging_1882/tillsyn/A 44888-2024 tillsynsbegäran.docx", "A 44888-2024")</f>
        <v/>
      </c>
      <c r="Y437">
        <f>HYPERLINK("https://klasma.github.io/Logging_1882/tillsynsmail/A 44888-2024 tillsynsbegäran mail.docx", "A 44888-2024")</f>
        <v/>
      </c>
    </row>
    <row r="438" ht="15" customHeight="1">
      <c r="A438" t="inlineStr">
        <is>
          <t>A 48879-2022</t>
        </is>
      </c>
      <c r="B438" s="1" t="n">
        <v>44859</v>
      </c>
      <c r="C438" s="1" t="n">
        <v>46132</v>
      </c>
      <c r="D438" t="inlineStr">
        <is>
          <t>ÖREBRO LÄN</t>
        </is>
      </c>
      <c r="E438" t="inlineStr">
        <is>
          <t>ASKERSUND</t>
        </is>
      </c>
      <c r="G438" t="n">
        <v>8.199999999999999</v>
      </c>
      <c r="H438" t="n">
        <v>0</v>
      </c>
      <c r="I438" t="n">
        <v>0</v>
      </c>
      <c r="J438" t="n">
        <v>1</v>
      </c>
      <c r="K438" t="n">
        <v>0</v>
      </c>
      <c r="L438" t="n">
        <v>0</v>
      </c>
      <c r="M438" t="n">
        <v>0</v>
      </c>
      <c r="N438" t="n">
        <v>0</v>
      </c>
      <c r="O438" t="n">
        <v>1</v>
      </c>
      <c r="P438" t="n">
        <v>0</v>
      </c>
      <c r="Q438" t="n">
        <v>1</v>
      </c>
      <c r="R438" s="2" t="inlineStr">
        <is>
          <t>Rutspindling</t>
        </is>
      </c>
      <c r="S438">
        <f>HYPERLINK("https://klasma.github.io/Logging_1882/artfynd/A 48879-2022 artfynd.xlsx", "A 48879-2022")</f>
        <v/>
      </c>
      <c r="T438">
        <f>HYPERLINK("https://klasma.github.io/Logging_1882/kartor/A 48879-2022 karta.png", "A 48879-2022")</f>
        <v/>
      </c>
      <c r="V438">
        <f>HYPERLINK("https://klasma.github.io/Logging_1882/klagomål/A 48879-2022 FSC-klagomål.docx", "A 48879-2022")</f>
        <v/>
      </c>
      <c r="W438">
        <f>HYPERLINK("https://klasma.github.io/Logging_1882/klagomålsmail/A 48879-2022 FSC-klagomål mail.docx", "A 48879-2022")</f>
        <v/>
      </c>
      <c r="X438">
        <f>HYPERLINK("https://klasma.github.io/Logging_1882/tillsyn/A 48879-2022 tillsynsbegäran.docx", "A 48879-2022")</f>
        <v/>
      </c>
      <c r="Y438">
        <f>HYPERLINK("https://klasma.github.io/Logging_1882/tillsynsmail/A 48879-2022 tillsynsbegäran mail.docx", "A 48879-2022")</f>
        <v/>
      </c>
    </row>
    <row r="439" ht="15" customHeight="1">
      <c r="A439" t="inlineStr">
        <is>
          <t>A 53600-2024</t>
        </is>
      </c>
      <c r="B439" s="1" t="n">
        <v>45614.68596064814</v>
      </c>
      <c r="C439" s="1" t="n">
        <v>46132</v>
      </c>
      <c r="D439" t="inlineStr">
        <is>
          <t>ÖREBRO LÄN</t>
        </is>
      </c>
      <c r="E439" t="inlineStr">
        <is>
          <t>LINDESBERG</t>
        </is>
      </c>
      <c r="G439" t="n">
        <v>2.2</v>
      </c>
      <c r="H439" t="n">
        <v>1</v>
      </c>
      <c r="I439" t="n">
        <v>0</v>
      </c>
      <c r="J439" t="n">
        <v>0</v>
      </c>
      <c r="K439" t="n">
        <v>0</v>
      </c>
      <c r="L439" t="n">
        <v>1</v>
      </c>
      <c r="M439" t="n">
        <v>0</v>
      </c>
      <c r="N439" t="n">
        <v>0</v>
      </c>
      <c r="O439" t="n">
        <v>1</v>
      </c>
      <c r="P439" t="n">
        <v>1</v>
      </c>
      <c r="Q439" t="n">
        <v>1</v>
      </c>
      <c r="R439" s="2" t="inlineStr">
        <is>
          <t>Asknätfjäril</t>
        </is>
      </c>
      <c r="S439">
        <f>HYPERLINK("https://klasma.github.io/Logging_1885/artfynd/A 53600-2024 artfynd.xlsx", "A 53600-2024")</f>
        <v/>
      </c>
      <c r="T439">
        <f>HYPERLINK("https://klasma.github.io/Logging_1885/kartor/A 53600-2024 karta.png", "A 53600-2024")</f>
        <v/>
      </c>
      <c r="V439">
        <f>HYPERLINK("https://klasma.github.io/Logging_1885/klagomål/A 53600-2024 FSC-klagomål.docx", "A 53600-2024")</f>
        <v/>
      </c>
      <c r="W439">
        <f>HYPERLINK("https://klasma.github.io/Logging_1885/klagomålsmail/A 53600-2024 FSC-klagomål mail.docx", "A 53600-2024")</f>
        <v/>
      </c>
      <c r="X439">
        <f>HYPERLINK("https://klasma.github.io/Logging_1885/tillsyn/A 53600-2024 tillsynsbegäran.docx", "A 53600-2024")</f>
        <v/>
      </c>
      <c r="Y439">
        <f>HYPERLINK("https://klasma.github.io/Logging_1885/tillsynsmail/A 53600-2024 tillsynsbegäran mail.docx", "A 53600-2024")</f>
        <v/>
      </c>
    </row>
    <row r="440" ht="15" customHeight="1">
      <c r="A440" t="inlineStr">
        <is>
          <t>A 8186-2026</t>
        </is>
      </c>
      <c r="B440" s="1" t="n">
        <v>46064.42189814815</v>
      </c>
      <c r="C440" s="1" t="n">
        <v>46132</v>
      </c>
      <c r="D440" t="inlineStr">
        <is>
          <t>ÖREBRO LÄN</t>
        </is>
      </c>
      <c r="E440" t="inlineStr">
        <is>
          <t>LINDESBERG</t>
        </is>
      </c>
      <c r="G440" t="n">
        <v>2.4</v>
      </c>
      <c r="H440" t="n">
        <v>1</v>
      </c>
      <c r="I440" t="n">
        <v>0</v>
      </c>
      <c r="J440" t="n">
        <v>0</v>
      </c>
      <c r="K440" t="n">
        <v>0</v>
      </c>
      <c r="L440" t="n">
        <v>1</v>
      </c>
      <c r="M440" t="n">
        <v>0</v>
      </c>
      <c r="N440" t="n">
        <v>0</v>
      </c>
      <c r="O440" t="n">
        <v>1</v>
      </c>
      <c r="P440" t="n">
        <v>1</v>
      </c>
      <c r="Q440" t="n">
        <v>1</v>
      </c>
      <c r="R440" s="2" t="inlineStr">
        <is>
          <t>Asknätfjäril</t>
        </is>
      </c>
      <c r="S440">
        <f>HYPERLINK("https://klasma.github.io/Logging_1885/artfynd/A 8186-2026 artfynd.xlsx", "A 8186-2026")</f>
        <v/>
      </c>
      <c r="T440">
        <f>HYPERLINK("https://klasma.github.io/Logging_1885/kartor/A 8186-2026 karta.png", "A 8186-2026")</f>
        <v/>
      </c>
      <c r="V440">
        <f>HYPERLINK("https://klasma.github.io/Logging_1885/klagomål/A 8186-2026 FSC-klagomål.docx", "A 8186-2026")</f>
        <v/>
      </c>
      <c r="W440">
        <f>HYPERLINK("https://klasma.github.io/Logging_1885/klagomålsmail/A 8186-2026 FSC-klagomål mail.docx", "A 8186-2026")</f>
        <v/>
      </c>
      <c r="X440">
        <f>HYPERLINK("https://klasma.github.io/Logging_1885/tillsyn/A 8186-2026 tillsynsbegäran.docx", "A 8186-2026")</f>
        <v/>
      </c>
      <c r="Y440">
        <f>HYPERLINK("https://klasma.github.io/Logging_1885/tillsynsmail/A 8186-2026 tillsynsbegäran mail.docx", "A 8186-2026")</f>
        <v/>
      </c>
    </row>
    <row r="441" ht="15" customHeight="1">
      <c r="A441" t="inlineStr">
        <is>
          <t>A 15809-2026</t>
        </is>
      </c>
      <c r="B441" s="1" t="n">
        <v>46107.49327546296</v>
      </c>
      <c r="C441" s="1" t="n">
        <v>46132</v>
      </c>
      <c r="D441" t="inlineStr">
        <is>
          <t>ÖREBRO LÄN</t>
        </is>
      </c>
      <c r="E441" t="inlineStr">
        <is>
          <t>DEGERFORS</t>
        </is>
      </c>
      <c r="F441" t="inlineStr">
        <is>
          <t>Sveaskog</t>
        </is>
      </c>
      <c r="G441" t="n">
        <v>9.5</v>
      </c>
      <c r="H441" t="n">
        <v>1</v>
      </c>
      <c r="I441" t="n">
        <v>0</v>
      </c>
      <c r="J441" t="n">
        <v>0</v>
      </c>
      <c r="K441" t="n">
        <v>0</v>
      </c>
      <c r="L441" t="n">
        <v>0</v>
      </c>
      <c r="M441" t="n">
        <v>0</v>
      </c>
      <c r="N441" t="n">
        <v>0</v>
      </c>
      <c r="O441" t="n">
        <v>0</v>
      </c>
      <c r="P441" t="n">
        <v>0</v>
      </c>
      <c r="Q441" t="n">
        <v>1</v>
      </c>
      <c r="R441" s="2" t="inlineStr">
        <is>
          <t>Revlummer</t>
        </is>
      </c>
      <c r="S441">
        <f>HYPERLINK("https://klasma.github.io/Logging_1862/artfynd/A 15809-2026 artfynd.xlsx", "A 15809-2026")</f>
        <v/>
      </c>
      <c r="T441">
        <f>HYPERLINK("https://klasma.github.io/Logging_1862/kartor/A 15809-2026 karta.png", "A 15809-2026")</f>
        <v/>
      </c>
      <c r="V441">
        <f>HYPERLINK("https://klasma.github.io/Logging_1862/klagomål/A 15809-2026 FSC-klagomål.docx", "A 15809-2026")</f>
        <v/>
      </c>
      <c r="W441">
        <f>HYPERLINK("https://klasma.github.io/Logging_1862/klagomålsmail/A 15809-2026 FSC-klagomål mail.docx", "A 15809-2026")</f>
        <v/>
      </c>
      <c r="X441">
        <f>HYPERLINK("https://klasma.github.io/Logging_1862/tillsyn/A 15809-2026 tillsynsbegäran.docx", "A 15809-2026")</f>
        <v/>
      </c>
      <c r="Y441">
        <f>HYPERLINK("https://klasma.github.io/Logging_1862/tillsynsmail/A 15809-2026 tillsynsbegäran mail.docx", "A 15809-2026")</f>
        <v/>
      </c>
    </row>
    <row r="442" ht="15" customHeight="1">
      <c r="A442" t="inlineStr">
        <is>
          <t>A 56959-2025</t>
        </is>
      </c>
      <c r="B442" s="1" t="n">
        <v>45978.6584375</v>
      </c>
      <c r="C442" s="1" t="n">
        <v>46132</v>
      </c>
      <c r="D442" t="inlineStr">
        <is>
          <t>ÖREBRO LÄN</t>
        </is>
      </c>
      <c r="E442" t="inlineStr">
        <is>
          <t>NORA</t>
        </is>
      </c>
      <c r="F442" t="inlineStr">
        <is>
          <t>Övriga Aktiebolag</t>
        </is>
      </c>
      <c r="G442" t="n">
        <v>1.8</v>
      </c>
      <c r="H442" t="n">
        <v>1</v>
      </c>
      <c r="I442" t="n">
        <v>0</v>
      </c>
      <c r="J442" t="n">
        <v>1</v>
      </c>
      <c r="K442" t="n">
        <v>0</v>
      </c>
      <c r="L442" t="n">
        <v>0</v>
      </c>
      <c r="M442" t="n">
        <v>0</v>
      </c>
      <c r="N442" t="n">
        <v>0</v>
      </c>
      <c r="O442" t="n">
        <v>1</v>
      </c>
      <c r="P442" t="n">
        <v>0</v>
      </c>
      <c r="Q442" t="n">
        <v>1</v>
      </c>
      <c r="R442" s="2" t="inlineStr">
        <is>
          <t>Spillkråka</t>
        </is>
      </c>
      <c r="S442">
        <f>HYPERLINK("https://klasma.github.io/Logging_1884/artfynd/A 56959-2025 artfynd.xlsx", "A 56959-2025")</f>
        <v/>
      </c>
      <c r="T442">
        <f>HYPERLINK("https://klasma.github.io/Logging_1884/kartor/A 56959-2025 karta.png", "A 56959-2025")</f>
        <v/>
      </c>
      <c r="V442">
        <f>HYPERLINK("https://klasma.github.io/Logging_1884/klagomål/A 56959-2025 FSC-klagomål.docx", "A 56959-2025")</f>
        <v/>
      </c>
      <c r="W442">
        <f>HYPERLINK("https://klasma.github.io/Logging_1884/klagomålsmail/A 56959-2025 FSC-klagomål mail.docx", "A 56959-2025")</f>
        <v/>
      </c>
      <c r="X442">
        <f>HYPERLINK("https://klasma.github.io/Logging_1884/tillsyn/A 56959-2025 tillsynsbegäran.docx", "A 56959-2025")</f>
        <v/>
      </c>
      <c r="Y442">
        <f>HYPERLINK("https://klasma.github.io/Logging_1884/tillsynsmail/A 56959-2025 tillsynsbegäran mail.docx", "A 56959-2025")</f>
        <v/>
      </c>
      <c r="Z442">
        <f>HYPERLINK("https://klasma.github.io/Logging_1884/fåglar/A 56959-2025 prioriterade fågelarter.docx", "A 56959-2025")</f>
        <v/>
      </c>
    </row>
    <row r="443" ht="15" customHeight="1">
      <c r="A443" t="inlineStr">
        <is>
          <t>A 8175-2026</t>
        </is>
      </c>
      <c r="B443" s="1" t="n">
        <v>46064</v>
      </c>
      <c r="C443" s="1" t="n">
        <v>46132</v>
      </c>
      <c r="D443" t="inlineStr">
        <is>
          <t>ÖREBRO LÄN</t>
        </is>
      </c>
      <c r="E443" t="inlineStr">
        <is>
          <t>LINDESBERG</t>
        </is>
      </c>
      <c r="G443" t="n">
        <v>2.4</v>
      </c>
      <c r="H443" t="n">
        <v>0</v>
      </c>
      <c r="I443" t="n">
        <v>1</v>
      </c>
      <c r="J443" t="n">
        <v>0</v>
      </c>
      <c r="K443" t="n">
        <v>0</v>
      </c>
      <c r="L443" t="n">
        <v>0</v>
      </c>
      <c r="M443" t="n">
        <v>0</v>
      </c>
      <c r="N443" t="n">
        <v>0</v>
      </c>
      <c r="O443" t="n">
        <v>0</v>
      </c>
      <c r="P443" t="n">
        <v>0</v>
      </c>
      <c r="Q443" t="n">
        <v>1</v>
      </c>
      <c r="R443" s="2" t="inlineStr">
        <is>
          <t>Svart trolldruva</t>
        </is>
      </c>
      <c r="S443">
        <f>HYPERLINK("https://klasma.github.io/Logging_1885/artfynd/A 8175-2026 artfynd.xlsx", "A 8175-2026")</f>
        <v/>
      </c>
      <c r="T443">
        <f>HYPERLINK("https://klasma.github.io/Logging_1885/kartor/A 8175-2026 karta.png", "A 8175-2026")</f>
        <v/>
      </c>
      <c r="V443">
        <f>HYPERLINK("https://klasma.github.io/Logging_1885/klagomål/A 8175-2026 FSC-klagomål.docx", "A 8175-2026")</f>
        <v/>
      </c>
      <c r="W443">
        <f>HYPERLINK("https://klasma.github.io/Logging_1885/klagomålsmail/A 8175-2026 FSC-klagomål mail.docx", "A 8175-2026")</f>
        <v/>
      </c>
      <c r="X443">
        <f>HYPERLINK("https://klasma.github.io/Logging_1885/tillsyn/A 8175-2026 tillsynsbegäran.docx", "A 8175-2026")</f>
        <v/>
      </c>
      <c r="Y443">
        <f>HYPERLINK("https://klasma.github.io/Logging_1885/tillsynsmail/A 8175-2026 tillsynsbegäran mail.docx", "A 8175-2026")</f>
        <v/>
      </c>
    </row>
    <row r="444" ht="15" customHeight="1">
      <c r="A444" t="inlineStr">
        <is>
          <t>A 8532-2025</t>
        </is>
      </c>
      <c r="B444" s="1" t="n">
        <v>45709</v>
      </c>
      <c r="C444" s="1" t="n">
        <v>46132</v>
      </c>
      <c r="D444" t="inlineStr">
        <is>
          <t>ÖREBRO LÄN</t>
        </is>
      </c>
      <c r="E444" t="inlineStr">
        <is>
          <t>LAXÅ</t>
        </is>
      </c>
      <c r="F444" t="inlineStr">
        <is>
          <t>Sveaskog</t>
        </is>
      </c>
      <c r="G444" t="n">
        <v>2.1</v>
      </c>
      <c r="H444" t="n">
        <v>1</v>
      </c>
      <c r="I444" t="n">
        <v>0</v>
      </c>
      <c r="J444" t="n">
        <v>0</v>
      </c>
      <c r="K444" t="n">
        <v>0</v>
      </c>
      <c r="L444" t="n">
        <v>0</v>
      </c>
      <c r="M444" t="n">
        <v>0</v>
      </c>
      <c r="N444" t="n">
        <v>0</v>
      </c>
      <c r="O444" t="n">
        <v>0</v>
      </c>
      <c r="P444" t="n">
        <v>0</v>
      </c>
      <c r="Q444" t="n">
        <v>1</v>
      </c>
      <c r="R444" s="2" t="inlineStr">
        <is>
          <t>Hårklomossa</t>
        </is>
      </c>
      <c r="S444">
        <f>HYPERLINK("https://klasma.github.io/Logging_1860/artfynd/A 8532-2025 artfynd.xlsx", "A 8532-2025")</f>
        <v/>
      </c>
      <c r="T444">
        <f>HYPERLINK("https://klasma.github.io/Logging_1860/kartor/A 8532-2025 karta.png", "A 8532-2025")</f>
        <v/>
      </c>
      <c r="V444">
        <f>HYPERLINK("https://klasma.github.io/Logging_1860/klagomål/A 8532-2025 FSC-klagomål.docx", "A 8532-2025")</f>
        <v/>
      </c>
      <c r="W444">
        <f>HYPERLINK("https://klasma.github.io/Logging_1860/klagomålsmail/A 8532-2025 FSC-klagomål mail.docx", "A 8532-2025")</f>
        <v/>
      </c>
      <c r="X444">
        <f>HYPERLINK("https://klasma.github.io/Logging_1860/tillsyn/A 8532-2025 tillsynsbegäran.docx", "A 8532-2025")</f>
        <v/>
      </c>
      <c r="Y444">
        <f>HYPERLINK("https://klasma.github.io/Logging_1860/tillsynsmail/A 8532-2025 tillsynsbegäran mail.docx", "A 8532-2025")</f>
        <v/>
      </c>
    </row>
    <row r="445" ht="15" customHeight="1">
      <c r="A445" t="inlineStr">
        <is>
          <t>A 55286-2024</t>
        </is>
      </c>
      <c r="B445" s="1" t="n">
        <v>45621.63222222222</v>
      </c>
      <c r="C445" s="1" t="n">
        <v>46132</v>
      </c>
      <c r="D445" t="inlineStr">
        <is>
          <t>ÖREBRO LÄN</t>
        </is>
      </c>
      <c r="E445" t="inlineStr">
        <is>
          <t>KUMLA</t>
        </is>
      </c>
      <c r="G445" t="n">
        <v>2.3</v>
      </c>
      <c r="H445" t="n">
        <v>1</v>
      </c>
      <c r="I445" t="n">
        <v>0</v>
      </c>
      <c r="J445" t="n">
        <v>1</v>
      </c>
      <c r="K445" t="n">
        <v>0</v>
      </c>
      <c r="L445" t="n">
        <v>0</v>
      </c>
      <c r="M445" t="n">
        <v>0</v>
      </c>
      <c r="N445" t="n">
        <v>0</v>
      </c>
      <c r="O445" t="n">
        <v>1</v>
      </c>
      <c r="P445" t="n">
        <v>0</v>
      </c>
      <c r="Q445" t="n">
        <v>1</v>
      </c>
      <c r="R445" s="2" t="inlineStr">
        <is>
          <t>Grönsångare</t>
        </is>
      </c>
      <c r="S445">
        <f>HYPERLINK("https://klasma.github.io/Logging_1881/artfynd/A 55286-2024 artfynd.xlsx", "A 55286-2024")</f>
        <v/>
      </c>
      <c r="T445">
        <f>HYPERLINK("https://klasma.github.io/Logging_1881/kartor/A 55286-2024 karta.png", "A 55286-2024")</f>
        <v/>
      </c>
      <c r="V445">
        <f>HYPERLINK("https://klasma.github.io/Logging_1881/klagomål/A 55286-2024 FSC-klagomål.docx", "A 55286-2024")</f>
        <v/>
      </c>
      <c r="W445">
        <f>HYPERLINK("https://klasma.github.io/Logging_1881/klagomålsmail/A 55286-2024 FSC-klagomål mail.docx", "A 55286-2024")</f>
        <v/>
      </c>
      <c r="X445">
        <f>HYPERLINK("https://klasma.github.io/Logging_1881/tillsyn/A 55286-2024 tillsynsbegäran.docx", "A 55286-2024")</f>
        <v/>
      </c>
      <c r="Y445">
        <f>HYPERLINK("https://klasma.github.io/Logging_1881/tillsynsmail/A 55286-2024 tillsynsbegäran mail.docx", "A 55286-2024")</f>
        <v/>
      </c>
      <c r="Z445">
        <f>HYPERLINK("https://klasma.github.io/Logging_1881/fåglar/A 55286-2024 prioriterade fågelarter.docx", "A 55286-2024")</f>
        <v/>
      </c>
    </row>
    <row r="446" ht="15" customHeight="1">
      <c r="A446" t="inlineStr">
        <is>
          <t>A 33297-2023</t>
        </is>
      </c>
      <c r="B446" s="1" t="n">
        <v>45116</v>
      </c>
      <c r="C446" s="1" t="n">
        <v>46132</v>
      </c>
      <c r="D446" t="inlineStr">
        <is>
          <t>ÖREBRO LÄN</t>
        </is>
      </c>
      <c r="E446" t="inlineStr">
        <is>
          <t>DEGERFORS</t>
        </is>
      </c>
      <c r="G446" t="n">
        <v>7.2</v>
      </c>
      <c r="H446" t="n">
        <v>0</v>
      </c>
      <c r="I446" t="n">
        <v>0</v>
      </c>
      <c r="J446" t="n">
        <v>1</v>
      </c>
      <c r="K446" t="n">
        <v>0</v>
      </c>
      <c r="L446" t="n">
        <v>0</v>
      </c>
      <c r="M446" t="n">
        <v>0</v>
      </c>
      <c r="N446" t="n">
        <v>0</v>
      </c>
      <c r="O446" t="n">
        <v>1</v>
      </c>
      <c r="P446" t="n">
        <v>0</v>
      </c>
      <c r="Q446" t="n">
        <v>1</v>
      </c>
      <c r="R446" s="2" t="inlineStr">
        <is>
          <t>Igelkott</t>
        </is>
      </c>
      <c r="S446">
        <f>HYPERLINK("https://klasma.github.io/Logging_1862/artfynd/A 33297-2023 artfynd.xlsx", "A 33297-2023")</f>
        <v/>
      </c>
      <c r="T446">
        <f>HYPERLINK("https://klasma.github.io/Logging_1862/kartor/A 33297-2023 karta.png", "A 33297-2023")</f>
        <v/>
      </c>
      <c r="V446">
        <f>HYPERLINK("https://klasma.github.io/Logging_1862/klagomål/A 33297-2023 FSC-klagomål.docx", "A 33297-2023")</f>
        <v/>
      </c>
      <c r="W446">
        <f>HYPERLINK("https://klasma.github.io/Logging_1862/klagomålsmail/A 33297-2023 FSC-klagomål mail.docx", "A 33297-2023")</f>
        <v/>
      </c>
      <c r="X446">
        <f>HYPERLINK("https://klasma.github.io/Logging_1862/tillsyn/A 33297-2023 tillsynsbegäran.docx", "A 33297-2023")</f>
        <v/>
      </c>
      <c r="Y446">
        <f>HYPERLINK("https://klasma.github.io/Logging_1862/tillsynsmail/A 33297-2023 tillsynsbegäran mail.docx", "A 33297-2023")</f>
        <v/>
      </c>
    </row>
    <row r="447" ht="15" customHeight="1">
      <c r="A447" t="inlineStr">
        <is>
          <t>A 26890-2022</t>
        </is>
      </c>
      <c r="B447" s="1" t="n">
        <v>44740</v>
      </c>
      <c r="C447" s="1" t="n">
        <v>46132</v>
      </c>
      <c r="D447" t="inlineStr">
        <is>
          <t>ÖREBRO LÄN</t>
        </is>
      </c>
      <c r="E447" t="inlineStr">
        <is>
          <t>ÖREBRO</t>
        </is>
      </c>
      <c r="G447" t="n">
        <v>4.2</v>
      </c>
      <c r="H447" t="n">
        <v>1</v>
      </c>
      <c r="I447" t="n">
        <v>0</v>
      </c>
      <c r="J447" t="n">
        <v>0</v>
      </c>
      <c r="K447" t="n">
        <v>1</v>
      </c>
      <c r="L447" t="n">
        <v>0</v>
      </c>
      <c r="M447" t="n">
        <v>0</v>
      </c>
      <c r="N447" t="n">
        <v>0</v>
      </c>
      <c r="O447" t="n">
        <v>1</v>
      </c>
      <c r="P447" t="n">
        <v>1</v>
      </c>
      <c r="Q447" t="n">
        <v>1</v>
      </c>
      <c r="R447" s="2" t="inlineStr">
        <is>
          <t>Hällebräcka</t>
        </is>
      </c>
      <c r="S447">
        <f>HYPERLINK("https://klasma.github.io/Logging_1880/artfynd/A 26890-2022 artfynd.xlsx", "A 26890-2022")</f>
        <v/>
      </c>
      <c r="T447">
        <f>HYPERLINK("https://klasma.github.io/Logging_1880/kartor/A 26890-2022 karta.png", "A 26890-2022")</f>
        <v/>
      </c>
      <c r="V447">
        <f>HYPERLINK("https://klasma.github.io/Logging_1880/klagomål/A 26890-2022 FSC-klagomål.docx", "A 26890-2022")</f>
        <v/>
      </c>
      <c r="W447">
        <f>HYPERLINK("https://klasma.github.io/Logging_1880/klagomålsmail/A 26890-2022 FSC-klagomål mail.docx", "A 26890-2022")</f>
        <v/>
      </c>
      <c r="X447">
        <f>HYPERLINK("https://klasma.github.io/Logging_1880/tillsyn/A 26890-2022 tillsynsbegäran.docx", "A 26890-2022")</f>
        <v/>
      </c>
      <c r="Y447">
        <f>HYPERLINK("https://klasma.github.io/Logging_1880/tillsynsmail/A 26890-2022 tillsynsbegäran mail.docx", "A 26890-2022")</f>
        <v/>
      </c>
    </row>
    <row r="448" ht="15" customHeight="1">
      <c r="A448" t="inlineStr">
        <is>
          <t>A 39025-2022</t>
        </is>
      </c>
      <c r="B448" s="1" t="n">
        <v>44817.3353125</v>
      </c>
      <c r="C448" s="1" t="n">
        <v>46132</v>
      </c>
      <c r="D448" t="inlineStr">
        <is>
          <t>ÖREBRO LÄN</t>
        </is>
      </c>
      <c r="E448" t="inlineStr">
        <is>
          <t>KARLSKOGA</t>
        </is>
      </c>
      <c r="F448" t="inlineStr">
        <is>
          <t>Sveaskog</t>
        </is>
      </c>
      <c r="G448" t="n">
        <v>3.2</v>
      </c>
      <c r="H448" t="n">
        <v>1</v>
      </c>
      <c r="I448" t="n">
        <v>0</v>
      </c>
      <c r="J448" t="n">
        <v>1</v>
      </c>
      <c r="K448" t="n">
        <v>0</v>
      </c>
      <c r="L448" t="n">
        <v>0</v>
      </c>
      <c r="M448" t="n">
        <v>0</v>
      </c>
      <c r="N448" t="n">
        <v>0</v>
      </c>
      <c r="O448" t="n">
        <v>1</v>
      </c>
      <c r="P448" t="n">
        <v>0</v>
      </c>
      <c r="Q448" t="n">
        <v>1</v>
      </c>
      <c r="R448" s="2" t="inlineStr">
        <is>
          <t>Talltita</t>
        </is>
      </c>
      <c r="S448">
        <f>HYPERLINK("https://klasma.github.io/Logging_1883/artfynd/A 39025-2022 artfynd.xlsx", "A 39025-2022")</f>
        <v/>
      </c>
      <c r="T448">
        <f>HYPERLINK("https://klasma.github.io/Logging_1883/kartor/A 39025-2022 karta.png", "A 39025-2022")</f>
        <v/>
      </c>
      <c r="V448">
        <f>HYPERLINK("https://klasma.github.io/Logging_1883/klagomål/A 39025-2022 FSC-klagomål.docx", "A 39025-2022")</f>
        <v/>
      </c>
      <c r="W448">
        <f>HYPERLINK("https://klasma.github.io/Logging_1883/klagomålsmail/A 39025-2022 FSC-klagomål mail.docx", "A 39025-2022")</f>
        <v/>
      </c>
      <c r="X448">
        <f>HYPERLINK("https://klasma.github.io/Logging_1883/tillsyn/A 39025-2022 tillsynsbegäran.docx", "A 39025-2022")</f>
        <v/>
      </c>
      <c r="Y448">
        <f>HYPERLINK("https://klasma.github.io/Logging_1883/tillsynsmail/A 39025-2022 tillsynsbegäran mail.docx", "A 39025-2022")</f>
        <v/>
      </c>
      <c r="Z448">
        <f>HYPERLINK("https://klasma.github.io/Logging_1883/fåglar/A 39025-2022 prioriterade fågelarter.docx", "A 39025-2022")</f>
        <v/>
      </c>
    </row>
    <row r="449" ht="15" customHeight="1">
      <c r="A449" t="inlineStr">
        <is>
          <t>A 63187-2025</t>
        </is>
      </c>
      <c r="B449" s="1" t="n">
        <v>46010.44355324074</v>
      </c>
      <c r="C449" s="1" t="n">
        <v>46132</v>
      </c>
      <c r="D449" t="inlineStr">
        <is>
          <t>ÖREBRO LÄN</t>
        </is>
      </c>
      <c r="E449" t="inlineStr">
        <is>
          <t>KARLSKOGA</t>
        </is>
      </c>
      <c r="F449" t="inlineStr">
        <is>
          <t>Sveaskog</t>
        </is>
      </c>
      <c r="G449" t="n">
        <v>1.3</v>
      </c>
      <c r="H449" t="n">
        <v>1</v>
      </c>
      <c r="I449" t="n">
        <v>0</v>
      </c>
      <c r="J449" t="n">
        <v>1</v>
      </c>
      <c r="K449" t="n">
        <v>0</v>
      </c>
      <c r="L449" t="n">
        <v>0</v>
      </c>
      <c r="M449" t="n">
        <v>0</v>
      </c>
      <c r="N449" t="n">
        <v>0</v>
      </c>
      <c r="O449" t="n">
        <v>1</v>
      </c>
      <c r="P449" t="n">
        <v>0</v>
      </c>
      <c r="Q449" t="n">
        <v>1</v>
      </c>
      <c r="R449" s="2" t="inlineStr">
        <is>
          <t>Talltita</t>
        </is>
      </c>
      <c r="S449">
        <f>HYPERLINK("https://klasma.github.io/Logging_1883/artfynd/A 63187-2025 artfynd.xlsx", "A 63187-2025")</f>
        <v/>
      </c>
      <c r="T449">
        <f>HYPERLINK("https://klasma.github.io/Logging_1883/kartor/A 63187-2025 karta.png", "A 63187-2025")</f>
        <v/>
      </c>
      <c r="V449">
        <f>HYPERLINK("https://klasma.github.io/Logging_1883/klagomål/A 63187-2025 FSC-klagomål.docx", "A 63187-2025")</f>
        <v/>
      </c>
      <c r="W449">
        <f>HYPERLINK("https://klasma.github.io/Logging_1883/klagomålsmail/A 63187-2025 FSC-klagomål mail.docx", "A 63187-2025")</f>
        <v/>
      </c>
      <c r="X449">
        <f>HYPERLINK("https://klasma.github.io/Logging_1883/tillsyn/A 63187-2025 tillsynsbegäran.docx", "A 63187-2025")</f>
        <v/>
      </c>
      <c r="Y449">
        <f>HYPERLINK("https://klasma.github.io/Logging_1883/tillsynsmail/A 63187-2025 tillsynsbegäran mail.docx", "A 63187-2025")</f>
        <v/>
      </c>
      <c r="Z449">
        <f>HYPERLINK("https://klasma.github.io/Logging_1883/fåglar/A 63187-2025 prioriterade fågelarter.docx", "A 63187-2025")</f>
        <v/>
      </c>
    </row>
    <row r="450" ht="15" customHeight="1">
      <c r="A450" t="inlineStr">
        <is>
          <t>A 7470-2025</t>
        </is>
      </c>
      <c r="B450" s="1" t="n">
        <v>45705</v>
      </c>
      <c r="C450" s="1" t="n">
        <v>46132</v>
      </c>
      <c r="D450" t="inlineStr">
        <is>
          <t>ÖREBRO LÄN</t>
        </is>
      </c>
      <c r="E450" t="inlineStr">
        <is>
          <t>HALLSBERG</t>
        </is>
      </c>
      <c r="G450" t="n">
        <v>8.5</v>
      </c>
      <c r="H450" t="n">
        <v>0</v>
      </c>
      <c r="I450" t="n">
        <v>1</v>
      </c>
      <c r="J450" t="n">
        <v>0</v>
      </c>
      <c r="K450" t="n">
        <v>0</v>
      </c>
      <c r="L450" t="n">
        <v>0</v>
      </c>
      <c r="M450" t="n">
        <v>0</v>
      </c>
      <c r="N450" t="n">
        <v>0</v>
      </c>
      <c r="O450" t="n">
        <v>0</v>
      </c>
      <c r="P450" t="n">
        <v>0</v>
      </c>
      <c r="Q450" t="n">
        <v>1</v>
      </c>
      <c r="R450" s="2" t="inlineStr">
        <is>
          <t>Dropptaggsvamp</t>
        </is>
      </c>
      <c r="S450">
        <f>HYPERLINK("https://klasma.github.io/Logging_1861/artfynd/A 7470-2025 artfynd.xlsx", "A 7470-2025")</f>
        <v/>
      </c>
      <c r="T450">
        <f>HYPERLINK("https://klasma.github.io/Logging_1861/kartor/A 7470-2025 karta.png", "A 7470-2025")</f>
        <v/>
      </c>
      <c r="V450">
        <f>HYPERLINK("https://klasma.github.io/Logging_1861/klagomål/A 7470-2025 FSC-klagomål.docx", "A 7470-2025")</f>
        <v/>
      </c>
      <c r="W450">
        <f>HYPERLINK("https://klasma.github.io/Logging_1861/klagomålsmail/A 7470-2025 FSC-klagomål mail.docx", "A 7470-2025")</f>
        <v/>
      </c>
      <c r="X450">
        <f>HYPERLINK("https://klasma.github.io/Logging_1861/tillsyn/A 7470-2025 tillsynsbegäran.docx", "A 7470-2025")</f>
        <v/>
      </c>
      <c r="Y450">
        <f>HYPERLINK("https://klasma.github.io/Logging_1861/tillsynsmail/A 7470-2025 tillsynsbegäran mail.docx", "A 7470-2025")</f>
        <v/>
      </c>
    </row>
    <row r="451" ht="15" customHeight="1">
      <c r="A451" t="inlineStr">
        <is>
          <t>A 18180-2026</t>
        </is>
      </c>
      <c r="B451" s="1" t="n">
        <v>46125.67597222222</v>
      </c>
      <c r="C451" s="1" t="n">
        <v>46132</v>
      </c>
      <c r="D451" t="inlineStr">
        <is>
          <t>ÖREBRO LÄN</t>
        </is>
      </c>
      <c r="E451" t="inlineStr">
        <is>
          <t>LINDESBERG</t>
        </is>
      </c>
      <c r="F451" t="inlineStr">
        <is>
          <t>Sveaskog</t>
        </is>
      </c>
      <c r="G451" t="n">
        <v>2.1</v>
      </c>
      <c r="H451" t="n">
        <v>0</v>
      </c>
      <c r="I451" t="n">
        <v>1</v>
      </c>
      <c r="J451" t="n">
        <v>0</v>
      </c>
      <c r="K451" t="n">
        <v>0</v>
      </c>
      <c r="L451" t="n">
        <v>0</v>
      </c>
      <c r="M451" t="n">
        <v>0</v>
      </c>
      <c r="N451" t="n">
        <v>0</v>
      </c>
      <c r="O451" t="n">
        <v>0</v>
      </c>
      <c r="P451" t="n">
        <v>0</v>
      </c>
      <c r="Q451" t="n">
        <v>1</v>
      </c>
      <c r="R451" s="2" t="inlineStr">
        <is>
          <t>Dropptaggsvamp</t>
        </is>
      </c>
      <c r="S451">
        <f>HYPERLINK("https://klasma.github.io/Logging_1885/artfynd/A 18180-2026 artfynd.xlsx", "A 18180-2026")</f>
        <v/>
      </c>
      <c r="T451">
        <f>HYPERLINK("https://klasma.github.io/Logging_1885/kartor/A 18180-2026 karta.png", "A 18180-2026")</f>
        <v/>
      </c>
      <c r="V451">
        <f>HYPERLINK("https://klasma.github.io/Logging_1885/klagomål/A 18180-2026 FSC-klagomål.docx", "A 18180-2026")</f>
        <v/>
      </c>
      <c r="W451">
        <f>HYPERLINK("https://klasma.github.io/Logging_1885/klagomålsmail/A 18180-2026 FSC-klagomål mail.docx", "A 18180-2026")</f>
        <v/>
      </c>
      <c r="X451">
        <f>HYPERLINK("https://klasma.github.io/Logging_1885/tillsyn/A 18180-2026 tillsynsbegäran.docx", "A 18180-2026")</f>
        <v/>
      </c>
      <c r="Y451">
        <f>HYPERLINK("https://klasma.github.io/Logging_1885/tillsynsmail/A 18180-2026 tillsynsbegäran mail.docx", "A 18180-2026")</f>
        <v/>
      </c>
    </row>
    <row r="452" ht="15" customHeight="1">
      <c r="A452" t="inlineStr">
        <is>
          <t>A 2694-2024</t>
        </is>
      </c>
      <c r="B452" s="1" t="n">
        <v>45314</v>
      </c>
      <c r="C452" s="1" t="n">
        <v>46132</v>
      </c>
      <c r="D452" t="inlineStr">
        <is>
          <t>ÖREBRO LÄN</t>
        </is>
      </c>
      <c r="E452" t="inlineStr">
        <is>
          <t>HALLSBERG</t>
        </is>
      </c>
      <c r="G452" t="n">
        <v>1.6</v>
      </c>
      <c r="H452" t="n">
        <v>1</v>
      </c>
      <c r="I452" t="n">
        <v>0</v>
      </c>
      <c r="J452" t="n">
        <v>0</v>
      </c>
      <c r="K452" t="n">
        <v>0</v>
      </c>
      <c r="L452" t="n">
        <v>0</v>
      </c>
      <c r="M452" t="n">
        <v>0</v>
      </c>
      <c r="N452" t="n">
        <v>0</v>
      </c>
      <c r="O452" t="n">
        <v>0</v>
      </c>
      <c r="P452" t="n">
        <v>0</v>
      </c>
      <c r="Q452" t="n">
        <v>1</v>
      </c>
      <c r="R452" s="2" t="inlineStr">
        <is>
          <t>Blåsippa</t>
        </is>
      </c>
      <c r="S452">
        <f>HYPERLINK("https://klasma.github.io/Logging_1861/artfynd/A 2694-2024 artfynd.xlsx", "A 2694-2024")</f>
        <v/>
      </c>
      <c r="T452">
        <f>HYPERLINK("https://klasma.github.io/Logging_1861/kartor/A 2694-2024 karta.png", "A 2694-2024")</f>
        <v/>
      </c>
      <c r="V452">
        <f>HYPERLINK("https://klasma.github.io/Logging_1861/klagomål/A 2694-2024 FSC-klagomål.docx", "A 2694-2024")</f>
        <v/>
      </c>
      <c r="W452">
        <f>HYPERLINK("https://klasma.github.io/Logging_1861/klagomålsmail/A 2694-2024 FSC-klagomål mail.docx", "A 2694-2024")</f>
        <v/>
      </c>
      <c r="X452">
        <f>HYPERLINK("https://klasma.github.io/Logging_1861/tillsyn/A 2694-2024 tillsynsbegäran.docx", "A 2694-2024")</f>
        <v/>
      </c>
      <c r="Y452">
        <f>HYPERLINK("https://klasma.github.io/Logging_1861/tillsynsmail/A 2694-2024 tillsynsbegäran mail.docx", "A 2694-2024")</f>
        <v/>
      </c>
    </row>
    <row r="453" ht="15" customHeight="1">
      <c r="A453" t="inlineStr">
        <is>
          <t>A 18178-2026</t>
        </is>
      </c>
      <c r="B453" s="1" t="n">
        <v>46125.67452546296</v>
      </c>
      <c r="C453" s="1" t="n">
        <v>46132</v>
      </c>
      <c r="D453" t="inlineStr">
        <is>
          <t>ÖREBRO LÄN</t>
        </is>
      </c>
      <c r="E453" t="inlineStr">
        <is>
          <t>LINDESBERG</t>
        </is>
      </c>
      <c r="F453" t="inlineStr">
        <is>
          <t>Sveaskog</t>
        </is>
      </c>
      <c r="G453" t="n">
        <v>4.4</v>
      </c>
      <c r="H453" t="n">
        <v>0</v>
      </c>
      <c r="I453" t="n">
        <v>0</v>
      </c>
      <c r="J453" t="n">
        <v>1</v>
      </c>
      <c r="K453" t="n">
        <v>0</v>
      </c>
      <c r="L453" t="n">
        <v>0</v>
      </c>
      <c r="M453" t="n">
        <v>0</v>
      </c>
      <c r="N453" t="n">
        <v>0</v>
      </c>
      <c r="O453" t="n">
        <v>1</v>
      </c>
      <c r="P453" t="n">
        <v>0</v>
      </c>
      <c r="Q453" t="n">
        <v>1</v>
      </c>
      <c r="R453" s="2" t="inlineStr">
        <is>
          <t>Svartvit taggsvamp</t>
        </is>
      </c>
      <c r="S453">
        <f>HYPERLINK("https://klasma.github.io/Logging_1885/artfynd/A 18178-2026 artfynd.xlsx", "A 18178-2026")</f>
        <v/>
      </c>
      <c r="T453">
        <f>HYPERLINK("https://klasma.github.io/Logging_1885/kartor/A 18178-2026 karta.png", "A 18178-2026")</f>
        <v/>
      </c>
      <c r="V453">
        <f>HYPERLINK("https://klasma.github.io/Logging_1885/klagomål/A 18178-2026 FSC-klagomål.docx", "A 18178-2026")</f>
        <v/>
      </c>
      <c r="W453">
        <f>HYPERLINK("https://klasma.github.io/Logging_1885/klagomålsmail/A 18178-2026 FSC-klagomål mail.docx", "A 18178-2026")</f>
        <v/>
      </c>
      <c r="X453">
        <f>HYPERLINK("https://klasma.github.io/Logging_1885/tillsyn/A 18178-2026 tillsynsbegäran.docx", "A 18178-2026")</f>
        <v/>
      </c>
      <c r="Y453">
        <f>HYPERLINK("https://klasma.github.io/Logging_1885/tillsynsmail/A 18178-2026 tillsynsbegäran mail.docx", "A 18178-2026")</f>
        <v/>
      </c>
    </row>
    <row r="454" ht="15" customHeight="1">
      <c r="A454" t="inlineStr">
        <is>
          <t>A 57920-2024</t>
        </is>
      </c>
      <c r="B454" s="1" t="n">
        <v>45631.50894675926</v>
      </c>
      <c r="C454" s="1" t="n">
        <v>46132</v>
      </c>
      <c r="D454" t="inlineStr">
        <is>
          <t>ÖREBRO LÄN</t>
        </is>
      </c>
      <c r="E454" t="inlineStr">
        <is>
          <t>ÖREBRO</t>
        </is>
      </c>
      <c r="G454" t="n">
        <v>2.3</v>
      </c>
      <c r="H454" t="n">
        <v>1</v>
      </c>
      <c r="I454" t="n">
        <v>0</v>
      </c>
      <c r="J454" t="n">
        <v>0</v>
      </c>
      <c r="K454" t="n">
        <v>0</v>
      </c>
      <c r="L454" t="n">
        <v>0</v>
      </c>
      <c r="M454" t="n">
        <v>0</v>
      </c>
      <c r="N454" t="n">
        <v>0</v>
      </c>
      <c r="O454" t="n">
        <v>0</v>
      </c>
      <c r="P454" t="n">
        <v>0</v>
      </c>
      <c r="Q454" t="n">
        <v>1</v>
      </c>
      <c r="R454" s="2" t="inlineStr">
        <is>
          <t>Kungsfågel</t>
        </is>
      </c>
      <c r="S454">
        <f>HYPERLINK("https://klasma.github.io/Logging_1880/artfynd/A 57920-2024 artfynd.xlsx", "A 57920-2024")</f>
        <v/>
      </c>
      <c r="T454">
        <f>HYPERLINK("https://klasma.github.io/Logging_1880/kartor/A 57920-2024 karta.png", "A 57920-2024")</f>
        <v/>
      </c>
      <c r="V454">
        <f>HYPERLINK("https://klasma.github.io/Logging_1880/klagomål/A 57920-2024 FSC-klagomål.docx", "A 57920-2024")</f>
        <v/>
      </c>
      <c r="W454">
        <f>HYPERLINK("https://klasma.github.io/Logging_1880/klagomålsmail/A 57920-2024 FSC-klagomål mail.docx", "A 57920-2024")</f>
        <v/>
      </c>
      <c r="X454">
        <f>HYPERLINK("https://klasma.github.io/Logging_1880/tillsyn/A 57920-2024 tillsynsbegäran.docx", "A 57920-2024")</f>
        <v/>
      </c>
      <c r="Y454">
        <f>HYPERLINK("https://klasma.github.io/Logging_1880/tillsynsmail/A 57920-2024 tillsynsbegäran mail.docx", "A 57920-2024")</f>
        <v/>
      </c>
      <c r="Z454">
        <f>HYPERLINK("https://klasma.github.io/Logging_1880/fåglar/A 57920-2024 prioriterade fågelarter.docx", "A 57920-2024")</f>
        <v/>
      </c>
    </row>
    <row r="455" ht="15" customHeight="1">
      <c r="A455" t="inlineStr">
        <is>
          <t>A 18246-2026</t>
        </is>
      </c>
      <c r="B455" s="1" t="n">
        <v>46126.35640046297</v>
      </c>
      <c r="C455" s="1" t="n">
        <v>46132</v>
      </c>
      <c r="D455" t="inlineStr">
        <is>
          <t>ÖREBRO LÄN</t>
        </is>
      </c>
      <c r="E455" t="inlineStr">
        <is>
          <t>ASKERSUND</t>
        </is>
      </c>
      <c r="G455" t="n">
        <v>7.4</v>
      </c>
      <c r="H455" t="n">
        <v>0</v>
      </c>
      <c r="I455" t="n">
        <v>0</v>
      </c>
      <c r="J455" t="n">
        <v>1</v>
      </c>
      <c r="K455" t="n">
        <v>0</v>
      </c>
      <c r="L455" t="n">
        <v>0</v>
      </c>
      <c r="M455" t="n">
        <v>0</v>
      </c>
      <c r="N455" t="n">
        <v>0</v>
      </c>
      <c r="O455" t="n">
        <v>1</v>
      </c>
      <c r="P455" t="n">
        <v>0</v>
      </c>
      <c r="Q455" t="n">
        <v>1</v>
      </c>
      <c r="R455" s="2" t="inlineStr">
        <is>
          <t>Mindre bastardsvärmare</t>
        </is>
      </c>
      <c r="S455">
        <f>HYPERLINK("https://klasma.github.io/Logging_1882/artfynd/A 18246-2026 artfynd.xlsx", "A 18246-2026")</f>
        <v/>
      </c>
      <c r="T455">
        <f>HYPERLINK("https://klasma.github.io/Logging_1882/kartor/A 18246-2026 karta.png", "A 18246-2026")</f>
        <v/>
      </c>
      <c r="V455">
        <f>HYPERLINK("https://klasma.github.io/Logging_1882/klagomål/A 18246-2026 FSC-klagomål.docx", "A 18246-2026")</f>
        <v/>
      </c>
      <c r="W455">
        <f>HYPERLINK("https://klasma.github.io/Logging_1882/klagomålsmail/A 18246-2026 FSC-klagomål mail.docx", "A 18246-2026")</f>
        <v/>
      </c>
      <c r="X455">
        <f>HYPERLINK("https://klasma.github.io/Logging_1882/tillsyn/A 18246-2026 tillsynsbegäran.docx", "A 18246-2026")</f>
        <v/>
      </c>
      <c r="Y455">
        <f>HYPERLINK("https://klasma.github.io/Logging_1882/tillsynsmail/A 18246-2026 tillsynsbegäran mail.docx", "A 18246-2026")</f>
        <v/>
      </c>
    </row>
    <row r="456" ht="15" customHeight="1">
      <c r="A456" t="inlineStr">
        <is>
          <t>A 18259-2026</t>
        </is>
      </c>
      <c r="B456" s="1" t="n">
        <v>46126.36761574074</v>
      </c>
      <c r="C456" s="1" t="n">
        <v>46132</v>
      </c>
      <c r="D456" t="inlineStr">
        <is>
          <t>ÖREBRO LÄN</t>
        </is>
      </c>
      <c r="E456" t="inlineStr">
        <is>
          <t>ASKERSUND</t>
        </is>
      </c>
      <c r="G456" t="n">
        <v>4.1</v>
      </c>
      <c r="H456" t="n">
        <v>0</v>
      </c>
      <c r="I456" t="n">
        <v>0</v>
      </c>
      <c r="J456" t="n">
        <v>1</v>
      </c>
      <c r="K456" t="n">
        <v>0</v>
      </c>
      <c r="L456" t="n">
        <v>0</v>
      </c>
      <c r="M456" t="n">
        <v>0</v>
      </c>
      <c r="N456" t="n">
        <v>0</v>
      </c>
      <c r="O456" t="n">
        <v>1</v>
      </c>
      <c r="P456" t="n">
        <v>0</v>
      </c>
      <c r="Q456" t="n">
        <v>1</v>
      </c>
      <c r="R456" s="2" t="inlineStr">
        <is>
          <t>Åkerväddsantennmal</t>
        </is>
      </c>
      <c r="S456">
        <f>HYPERLINK("https://klasma.github.io/Logging_1882/artfynd/A 18259-2026 artfynd.xlsx", "A 18259-2026")</f>
        <v/>
      </c>
      <c r="T456">
        <f>HYPERLINK("https://klasma.github.io/Logging_1882/kartor/A 18259-2026 karta.png", "A 18259-2026")</f>
        <v/>
      </c>
      <c r="V456">
        <f>HYPERLINK("https://klasma.github.io/Logging_1882/klagomål/A 18259-2026 FSC-klagomål.docx", "A 18259-2026")</f>
        <v/>
      </c>
      <c r="W456">
        <f>HYPERLINK("https://klasma.github.io/Logging_1882/klagomålsmail/A 18259-2026 FSC-klagomål mail.docx", "A 18259-2026")</f>
        <v/>
      </c>
      <c r="X456">
        <f>HYPERLINK("https://klasma.github.io/Logging_1882/tillsyn/A 18259-2026 tillsynsbegäran.docx", "A 18259-2026")</f>
        <v/>
      </c>
      <c r="Y456">
        <f>HYPERLINK("https://klasma.github.io/Logging_1882/tillsynsmail/A 18259-2026 tillsynsbegäran mail.docx", "A 18259-2026")</f>
        <v/>
      </c>
    </row>
    <row r="457" ht="15" customHeight="1">
      <c r="A457" t="inlineStr">
        <is>
          <t>A 14312-2025</t>
        </is>
      </c>
      <c r="B457" s="1" t="n">
        <v>45740.71707175926</v>
      </c>
      <c r="C457" s="1" t="n">
        <v>46132</v>
      </c>
      <c r="D457" t="inlineStr">
        <is>
          <t>ÖREBRO LÄN</t>
        </is>
      </c>
      <c r="E457" t="inlineStr">
        <is>
          <t>NORA</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HYPERLINK("https://klasma.github.io/Logging_1884/artfynd/A 14312-2025 artfynd.xlsx", "A 14312-2025")</f>
        <v/>
      </c>
      <c r="T457">
        <f>HYPERLINK("https://klasma.github.io/Logging_1884/kartor/A 14312-2025 karta.png", "A 14312-2025")</f>
        <v/>
      </c>
      <c r="V457">
        <f>HYPERLINK("https://klasma.github.io/Logging_1884/klagomål/A 14312-2025 FSC-klagomål.docx", "A 14312-2025")</f>
        <v/>
      </c>
      <c r="W457">
        <f>HYPERLINK("https://klasma.github.io/Logging_1884/klagomålsmail/A 14312-2025 FSC-klagomål mail.docx", "A 14312-2025")</f>
        <v/>
      </c>
      <c r="X457">
        <f>HYPERLINK("https://klasma.github.io/Logging_1884/tillsyn/A 14312-2025 tillsynsbegäran.docx", "A 14312-2025")</f>
        <v/>
      </c>
      <c r="Y457">
        <f>HYPERLINK("https://klasma.github.io/Logging_1884/tillsynsmail/A 14312-2025 tillsynsbegäran mail.docx", "A 14312-2025")</f>
        <v/>
      </c>
      <c r="Z457">
        <f>HYPERLINK("https://klasma.github.io/Logging_1884/fåglar/A 14312-2025 prioriterade fågelarter.docx", "A 14312-2025")</f>
        <v/>
      </c>
    </row>
    <row r="458" ht="15" customHeight="1">
      <c r="A458" t="inlineStr">
        <is>
          <t>A 18639-2026</t>
        </is>
      </c>
      <c r="B458" s="1" t="n">
        <v>46128.32203703704</v>
      </c>
      <c r="C458" s="1" t="n">
        <v>46132</v>
      </c>
      <c r="D458" t="inlineStr">
        <is>
          <t>ÖREBRO LÄN</t>
        </is>
      </c>
      <c r="E458" t="inlineStr">
        <is>
          <t>LINDESBERG</t>
        </is>
      </c>
      <c r="F458" t="inlineStr">
        <is>
          <t>Sveaskog</t>
        </is>
      </c>
      <c r="G458" t="n">
        <v>6</v>
      </c>
      <c r="H458" t="n">
        <v>1</v>
      </c>
      <c r="I458" t="n">
        <v>1</v>
      </c>
      <c r="J458" t="n">
        <v>0</v>
      </c>
      <c r="K458" t="n">
        <v>0</v>
      </c>
      <c r="L458" t="n">
        <v>0</v>
      </c>
      <c r="M458" t="n">
        <v>0</v>
      </c>
      <c r="N458" t="n">
        <v>0</v>
      </c>
      <c r="O458" t="n">
        <v>0</v>
      </c>
      <c r="P458" t="n">
        <v>0</v>
      </c>
      <c r="Q458" t="n">
        <v>1</v>
      </c>
      <c r="R458" s="2" t="inlineStr">
        <is>
          <t>Plattlummer</t>
        </is>
      </c>
      <c r="S458">
        <f>HYPERLINK("https://klasma.github.io/Logging_1885/artfynd/A 18639-2026 artfynd.xlsx", "A 18639-2026")</f>
        <v/>
      </c>
      <c r="T458">
        <f>HYPERLINK("https://klasma.github.io/Logging_1885/kartor/A 18639-2026 karta.png", "A 18639-2026")</f>
        <v/>
      </c>
      <c r="V458">
        <f>HYPERLINK("https://klasma.github.io/Logging_1885/klagomål/A 18639-2026 FSC-klagomål.docx", "A 18639-2026")</f>
        <v/>
      </c>
      <c r="W458">
        <f>HYPERLINK("https://klasma.github.io/Logging_1885/klagomålsmail/A 18639-2026 FSC-klagomål mail.docx", "A 18639-2026")</f>
        <v/>
      </c>
      <c r="X458">
        <f>HYPERLINK("https://klasma.github.io/Logging_1885/tillsyn/A 18639-2026 tillsynsbegäran.docx", "A 18639-2026")</f>
        <v/>
      </c>
      <c r="Y458">
        <f>HYPERLINK("https://klasma.github.io/Logging_1885/tillsynsmail/A 18639-2026 tillsynsbegäran mail.docx", "A 18639-2026")</f>
        <v/>
      </c>
    </row>
    <row r="459" ht="15" customHeight="1">
      <c r="A459" t="inlineStr">
        <is>
          <t>A 19176-2025</t>
        </is>
      </c>
      <c r="B459" s="1" t="n">
        <v>45769</v>
      </c>
      <c r="C459" s="1" t="n">
        <v>46132</v>
      </c>
      <c r="D459" t="inlineStr">
        <is>
          <t>ÖREBRO LÄN</t>
        </is>
      </c>
      <c r="E459" t="inlineStr">
        <is>
          <t>LEKEBERG</t>
        </is>
      </c>
      <c r="G459" t="n">
        <v>4.6</v>
      </c>
      <c r="H459" t="n">
        <v>1</v>
      </c>
      <c r="I459" t="n">
        <v>0</v>
      </c>
      <c r="J459" t="n">
        <v>1</v>
      </c>
      <c r="K459" t="n">
        <v>0</v>
      </c>
      <c r="L459" t="n">
        <v>0</v>
      </c>
      <c r="M459" t="n">
        <v>0</v>
      </c>
      <c r="N459" t="n">
        <v>0</v>
      </c>
      <c r="O459" t="n">
        <v>1</v>
      </c>
      <c r="P459" t="n">
        <v>0</v>
      </c>
      <c r="Q459" t="n">
        <v>1</v>
      </c>
      <c r="R459" s="2" t="inlineStr">
        <is>
          <t>Spillkråka</t>
        </is>
      </c>
      <c r="S459">
        <f>HYPERLINK("https://klasma.github.io/Logging_1814/artfynd/A 19176-2025 artfynd.xlsx", "A 19176-2025")</f>
        <v/>
      </c>
      <c r="T459">
        <f>HYPERLINK("https://klasma.github.io/Logging_1814/kartor/A 19176-2025 karta.png", "A 19176-2025")</f>
        <v/>
      </c>
      <c r="V459">
        <f>HYPERLINK("https://klasma.github.io/Logging_1814/klagomål/A 19176-2025 FSC-klagomål.docx", "A 19176-2025")</f>
        <v/>
      </c>
      <c r="W459">
        <f>HYPERLINK("https://klasma.github.io/Logging_1814/klagomålsmail/A 19176-2025 FSC-klagomål mail.docx", "A 19176-2025")</f>
        <v/>
      </c>
      <c r="X459">
        <f>HYPERLINK("https://klasma.github.io/Logging_1814/tillsyn/A 19176-2025 tillsynsbegäran.docx", "A 19176-2025")</f>
        <v/>
      </c>
      <c r="Y459">
        <f>HYPERLINK("https://klasma.github.io/Logging_1814/tillsynsmail/A 19176-2025 tillsynsbegäran mail.docx", "A 19176-2025")</f>
        <v/>
      </c>
      <c r="Z459">
        <f>HYPERLINK("https://klasma.github.io/Logging_1814/fåglar/A 19176-2025 prioriterade fågelarter.docx", "A 19176-2025")</f>
        <v/>
      </c>
    </row>
    <row r="460" ht="15" customHeight="1">
      <c r="A460" t="inlineStr">
        <is>
          <t>A 9508-2025</t>
        </is>
      </c>
      <c r="B460" s="1" t="n">
        <v>45714</v>
      </c>
      <c r="C460" s="1" t="n">
        <v>46132</v>
      </c>
      <c r="D460" t="inlineStr">
        <is>
          <t>ÖREBRO LÄN</t>
        </is>
      </c>
      <c r="E460" t="inlineStr">
        <is>
          <t>ASKERSUND</t>
        </is>
      </c>
      <c r="F460" t="inlineStr">
        <is>
          <t>Övriga Aktiebolag</t>
        </is>
      </c>
      <c r="G460" t="n">
        <v>4.6</v>
      </c>
      <c r="H460" t="n">
        <v>1</v>
      </c>
      <c r="I460" t="n">
        <v>0</v>
      </c>
      <c r="J460" t="n">
        <v>0</v>
      </c>
      <c r="K460" t="n">
        <v>0</v>
      </c>
      <c r="L460" t="n">
        <v>0</v>
      </c>
      <c r="M460" t="n">
        <v>0</v>
      </c>
      <c r="N460" t="n">
        <v>0</v>
      </c>
      <c r="O460" t="n">
        <v>0</v>
      </c>
      <c r="P460" t="n">
        <v>0</v>
      </c>
      <c r="Q460" t="n">
        <v>1</v>
      </c>
      <c r="R460" s="2" t="inlineStr">
        <is>
          <t>Mattlummer</t>
        </is>
      </c>
      <c r="S460">
        <f>HYPERLINK("https://klasma.github.io/Logging_1882/artfynd/A 9508-2025 artfynd.xlsx", "A 9508-2025")</f>
        <v/>
      </c>
      <c r="T460">
        <f>HYPERLINK("https://klasma.github.io/Logging_1882/kartor/A 9508-2025 karta.png", "A 9508-2025")</f>
        <v/>
      </c>
      <c r="V460">
        <f>HYPERLINK("https://klasma.github.io/Logging_1882/klagomål/A 9508-2025 FSC-klagomål.docx", "A 9508-2025")</f>
        <v/>
      </c>
      <c r="W460">
        <f>HYPERLINK("https://klasma.github.io/Logging_1882/klagomålsmail/A 9508-2025 FSC-klagomål mail.docx", "A 9508-2025")</f>
        <v/>
      </c>
      <c r="X460">
        <f>HYPERLINK("https://klasma.github.io/Logging_1882/tillsyn/A 9508-2025 tillsynsbegäran.docx", "A 9508-2025")</f>
        <v/>
      </c>
      <c r="Y460">
        <f>HYPERLINK("https://klasma.github.io/Logging_1882/tillsynsmail/A 9508-2025 tillsynsbegäran mail.docx", "A 9508-2025")</f>
        <v/>
      </c>
    </row>
    <row r="461" ht="15" customHeight="1">
      <c r="A461" t="inlineStr">
        <is>
          <t>A 40528-2024</t>
        </is>
      </c>
      <c r="B461" s="1" t="n">
        <v>45555.60616898148</v>
      </c>
      <c r="C461" s="1" t="n">
        <v>46132</v>
      </c>
      <c r="D461" t="inlineStr">
        <is>
          <t>ÖREBRO LÄN</t>
        </is>
      </c>
      <c r="E461" t="inlineStr">
        <is>
          <t>KARLSKOGA</t>
        </is>
      </c>
      <c r="G461" t="n">
        <v>2.8</v>
      </c>
      <c r="H461" t="n">
        <v>1</v>
      </c>
      <c r="I461" t="n">
        <v>0</v>
      </c>
      <c r="J461" t="n">
        <v>0</v>
      </c>
      <c r="K461" t="n">
        <v>0</v>
      </c>
      <c r="L461" t="n">
        <v>0</v>
      </c>
      <c r="M461" t="n">
        <v>0</v>
      </c>
      <c r="N461" t="n">
        <v>0</v>
      </c>
      <c r="O461" t="n">
        <v>0</v>
      </c>
      <c r="P461" t="n">
        <v>0</v>
      </c>
      <c r="Q461" t="n">
        <v>1</v>
      </c>
      <c r="R461" s="2" t="inlineStr">
        <is>
          <t>Mattlummer</t>
        </is>
      </c>
      <c r="S461">
        <f>HYPERLINK("https://klasma.github.io/Logging_1883/artfynd/A 40528-2024 artfynd.xlsx", "A 40528-2024")</f>
        <v/>
      </c>
      <c r="T461">
        <f>HYPERLINK("https://klasma.github.io/Logging_1883/kartor/A 40528-2024 karta.png", "A 40528-2024")</f>
        <v/>
      </c>
      <c r="V461">
        <f>HYPERLINK("https://klasma.github.io/Logging_1883/klagomål/A 40528-2024 FSC-klagomål.docx", "A 40528-2024")</f>
        <v/>
      </c>
      <c r="W461">
        <f>HYPERLINK("https://klasma.github.io/Logging_1883/klagomålsmail/A 40528-2024 FSC-klagomål mail.docx", "A 40528-2024")</f>
        <v/>
      </c>
      <c r="X461">
        <f>HYPERLINK("https://klasma.github.io/Logging_1883/tillsyn/A 40528-2024 tillsynsbegäran.docx", "A 40528-2024")</f>
        <v/>
      </c>
      <c r="Y461">
        <f>HYPERLINK("https://klasma.github.io/Logging_1883/tillsynsmail/A 40528-2024 tillsynsbegäran mail.docx", "A 40528-2024")</f>
        <v/>
      </c>
    </row>
    <row r="462" ht="15" customHeight="1">
      <c r="A462" t="inlineStr">
        <is>
          <t>A 39105-2024</t>
        </is>
      </c>
      <c r="B462" s="1" t="n">
        <v>45548.57174768519</v>
      </c>
      <c r="C462" s="1" t="n">
        <v>46132</v>
      </c>
      <c r="D462" t="inlineStr">
        <is>
          <t>ÖREBRO LÄN</t>
        </is>
      </c>
      <c r="E462" t="inlineStr">
        <is>
          <t>HÄLLEFORS</t>
        </is>
      </c>
      <c r="G462" t="n">
        <v>3.3</v>
      </c>
      <c r="H462" t="n">
        <v>0</v>
      </c>
      <c r="I462" t="n">
        <v>0</v>
      </c>
      <c r="J462" t="n">
        <v>0</v>
      </c>
      <c r="K462" t="n">
        <v>1</v>
      </c>
      <c r="L462" t="n">
        <v>0</v>
      </c>
      <c r="M462" t="n">
        <v>0</v>
      </c>
      <c r="N462" t="n">
        <v>0</v>
      </c>
      <c r="O462" t="n">
        <v>1</v>
      </c>
      <c r="P462" t="n">
        <v>1</v>
      </c>
      <c r="Q462" t="n">
        <v>1</v>
      </c>
      <c r="R462" s="2" t="inlineStr">
        <is>
          <t>Trollsmultron</t>
        </is>
      </c>
      <c r="S462">
        <f>HYPERLINK("https://klasma.github.io/Logging_1863/artfynd/A 39105-2024 artfynd.xlsx", "A 39105-2024")</f>
        <v/>
      </c>
      <c r="T462">
        <f>HYPERLINK("https://klasma.github.io/Logging_1863/kartor/A 39105-2024 karta.png", "A 39105-2024")</f>
        <v/>
      </c>
      <c r="V462">
        <f>HYPERLINK("https://klasma.github.io/Logging_1863/klagomål/A 39105-2024 FSC-klagomål.docx", "A 39105-2024")</f>
        <v/>
      </c>
      <c r="W462">
        <f>HYPERLINK("https://klasma.github.io/Logging_1863/klagomålsmail/A 39105-2024 FSC-klagomål mail.docx", "A 39105-2024")</f>
        <v/>
      </c>
      <c r="X462">
        <f>HYPERLINK("https://klasma.github.io/Logging_1863/tillsyn/A 39105-2024 tillsynsbegäran.docx", "A 39105-2024")</f>
        <v/>
      </c>
      <c r="Y462">
        <f>HYPERLINK("https://klasma.github.io/Logging_1863/tillsynsmail/A 39105-2024 tillsynsbegäran mail.docx", "A 39105-2024")</f>
        <v/>
      </c>
    </row>
    <row r="463" ht="15" customHeight="1">
      <c r="A463" t="inlineStr">
        <is>
          <t>A 9679-2024</t>
        </is>
      </c>
      <c r="B463" s="1" t="n">
        <v>45362</v>
      </c>
      <c r="C463" s="1" t="n">
        <v>46132</v>
      </c>
      <c r="D463" t="inlineStr">
        <is>
          <t>ÖREBRO LÄN</t>
        </is>
      </c>
      <c r="E463" t="inlineStr">
        <is>
          <t>HALLSBERG</t>
        </is>
      </c>
      <c r="G463" t="n">
        <v>10.9</v>
      </c>
      <c r="H463" t="n">
        <v>0</v>
      </c>
      <c r="I463" t="n">
        <v>1</v>
      </c>
      <c r="J463" t="n">
        <v>0</v>
      </c>
      <c r="K463" t="n">
        <v>0</v>
      </c>
      <c r="L463" t="n">
        <v>0</v>
      </c>
      <c r="M463" t="n">
        <v>0</v>
      </c>
      <c r="N463" t="n">
        <v>0</v>
      </c>
      <c r="O463" t="n">
        <v>0</v>
      </c>
      <c r="P463" t="n">
        <v>0</v>
      </c>
      <c r="Q463" t="n">
        <v>1</v>
      </c>
      <c r="R463" s="2" t="inlineStr">
        <is>
          <t>Flagellkvastmossa</t>
        </is>
      </c>
      <c r="S463">
        <f>HYPERLINK("https://klasma.github.io/Logging_1861/artfynd/A 9679-2024 artfynd.xlsx", "A 9679-2024")</f>
        <v/>
      </c>
      <c r="T463">
        <f>HYPERLINK("https://klasma.github.io/Logging_1861/kartor/A 9679-2024 karta.png", "A 9679-2024")</f>
        <v/>
      </c>
      <c r="V463">
        <f>HYPERLINK("https://klasma.github.io/Logging_1861/klagomål/A 9679-2024 FSC-klagomål.docx", "A 9679-2024")</f>
        <v/>
      </c>
      <c r="W463">
        <f>HYPERLINK("https://klasma.github.io/Logging_1861/klagomålsmail/A 9679-2024 FSC-klagomål mail.docx", "A 9679-2024")</f>
        <v/>
      </c>
      <c r="X463">
        <f>HYPERLINK("https://klasma.github.io/Logging_1861/tillsyn/A 9679-2024 tillsynsbegäran.docx", "A 9679-2024")</f>
        <v/>
      </c>
      <c r="Y463">
        <f>HYPERLINK("https://klasma.github.io/Logging_1861/tillsynsmail/A 9679-2024 tillsynsbegäran mail.docx", "A 9679-2024")</f>
        <v/>
      </c>
    </row>
    <row r="464" ht="15" customHeight="1">
      <c r="A464" t="inlineStr">
        <is>
          <t>A 10680-2024</t>
        </is>
      </c>
      <c r="B464" s="1" t="n">
        <v>45368</v>
      </c>
      <c r="C464" s="1" t="n">
        <v>46132</v>
      </c>
      <c r="D464" t="inlineStr">
        <is>
          <t>ÖREBRO LÄN</t>
        </is>
      </c>
      <c r="E464" t="inlineStr">
        <is>
          <t>LEKEBERG</t>
        </is>
      </c>
      <c r="G464" t="n">
        <v>0.9</v>
      </c>
      <c r="H464" t="n">
        <v>0</v>
      </c>
      <c r="I464" t="n">
        <v>0</v>
      </c>
      <c r="J464" t="n">
        <v>0</v>
      </c>
      <c r="K464" t="n">
        <v>0</v>
      </c>
      <c r="L464" t="n">
        <v>1</v>
      </c>
      <c r="M464" t="n">
        <v>0</v>
      </c>
      <c r="N464" t="n">
        <v>0</v>
      </c>
      <c r="O464" t="n">
        <v>1</v>
      </c>
      <c r="P464" t="n">
        <v>1</v>
      </c>
      <c r="Q464" t="n">
        <v>1</v>
      </c>
      <c r="R464" s="2" t="inlineStr">
        <is>
          <t>Ask</t>
        </is>
      </c>
      <c r="S464">
        <f>HYPERLINK("https://klasma.github.io/Logging_1814/artfynd/A 10680-2024 artfynd.xlsx", "A 10680-2024")</f>
        <v/>
      </c>
      <c r="T464">
        <f>HYPERLINK("https://klasma.github.io/Logging_1814/kartor/A 10680-2024 karta.png", "A 10680-2024")</f>
        <v/>
      </c>
      <c r="V464">
        <f>HYPERLINK("https://klasma.github.io/Logging_1814/klagomål/A 10680-2024 FSC-klagomål.docx", "A 10680-2024")</f>
        <v/>
      </c>
      <c r="W464">
        <f>HYPERLINK("https://klasma.github.io/Logging_1814/klagomålsmail/A 10680-2024 FSC-klagomål mail.docx", "A 10680-2024")</f>
        <v/>
      </c>
      <c r="X464">
        <f>HYPERLINK("https://klasma.github.io/Logging_1814/tillsyn/A 10680-2024 tillsynsbegäran.docx", "A 10680-2024")</f>
        <v/>
      </c>
      <c r="Y464">
        <f>HYPERLINK("https://klasma.github.io/Logging_1814/tillsynsmail/A 10680-2024 tillsynsbegäran mail.docx", "A 10680-2024")</f>
        <v/>
      </c>
    </row>
    <row r="465" ht="15" customHeight="1">
      <c r="A465" t="inlineStr">
        <is>
          <t>A 45051-2024</t>
        </is>
      </c>
      <c r="B465" s="1" t="n">
        <v>45575.54934027778</v>
      </c>
      <c r="C465" s="1" t="n">
        <v>46132</v>
      </c>
      <c r="D465" t="inlineStr">
        <is>
          <t>ÖREBRO LÄN</t>
        </is>
      </c>
      <c r="E465" t="inlineStr">
        <is>
          <t>LINDESBERG</t>
        </is>
      </c>
      <c r="F465" t="inlineStr">
        <is>
          <t>Sveaskog</t>
        </is>
      </c>
      <c r="G465" t="n">
        <v>2.2</v>
      </c>
      <c r="H465" t="n">
        <v>1</v>
      </c>
      <c r="I465" t="n">
        <v>0</v>
      </c>
      <c r="J465" t="n">
        <v>1</v>
      </c>
      <c r="K465" t="n">
        <v>0</v>
      </c>
      <c r="L465" t="n">
        <v>0</v>
      </c>
      <c r="M465" t="n">
        <v>0</v>
      </c>
      <c r="N465" t="n">
        <v>0</v>
      </c>
      <c r="O465" t="n">
        <v>1</v>
      </c>
      <c r="P465" t="n">
        <v>0</v>
      </c>
      <c r="Q465" t="n">
        <v>1</v>
      </c>
      <c r="R465" s="2" t="inlineStr">
        <is>
          <t>Spillkråka</t>
        </is>
      </c>
      <c r="S465">
        <f>HYPERLINK("https://klasma.github.io/Logging_1885/artfynd/A 45051-2024 artfynd.xlsx", "A 45051-2024")</f>
        <v/>
      </c>
      <c r="T465">
        <f>HYPERLINK("https://klasma.github.io/Logging_1885/kartor/A 45051-2024 karta.png", "A 45051-2024")</f>
        <v/>
      </c>
      <c r="V465">
        <f>HYPERLINK("https://klasma.github.io/Logging_1885/klagomål/A 45051-2024 FSC-klagomål.docx", "A 45051-2024")</f>
        <v/>
      </c>
      <c r="W465">
        <f>HYPERLINK("https://klasma.github.io/Logging_1885/klagomålsmail/A 45051-2024 FSC-klagomål mail.docx", "A 45051-2024")</f>
        <v/>
      </c>
      <c r="X465">
        <f>HYPERLINK("https://klasma.github.io/Logging_1885/tillsyn/A 45051-2024 tillsynsbegäran.docx", "A 45051-2024")</f>
        <v/>
      </c>
      <c r="Y465">
        <f>HYPERLINK("https://klasma.github.io/Logging_1885/tillsynsmail/A 45051-2024 tillsynsbegäran mail.docx", "A 45051-2024")</f>
        <v/>
      </c>
      <c r="Z465">
        <f>HYPERLINK("https://klasma.github.io/Logging_1885/fåglar/A 45051-2024 prioriterade fågelarter.docx", "A 45051-2024")</f>
        <v/>
      </c>
    </row>
    <row r="466" ht="15" customHeight="1">
      <c r="A466" t="inlineStr">
        <is>
          <t>A 16677-2023</t>
        </is>
      </c>
      <c r="B466" s="1" t="n">
        <v>45030</v>
      </c>
      <c r="C466" s="1" t="n">
        <v>46132</v>
      </c>
      <c r="D466" t="inlineStr">
        <is>
          <t>ÖREBRO LÄN</t>
        </is>
      </c>
      <c r="E466" t="inlineStr">
        <is>
          <t>ASKERSUND</t>
        </is>
      </c>
      <c r="G466" t="n">
        <v>0.9</v>
      </c>
      <c r="H466" t="n">
        <v>0</v>
      </c>
      <c r="I466" t="n">
        <v>1</v>
      </c>
      <c r="J466" t="n">
        <v>0</v>
      </c>
      <c r="K466" t="n">
        <v>0</v>
      </c>
      <c r="L466" t="n">
        <v>0</v>
      </c>
      <c r="M466" t="n">
        <v>0</v>
      </c>
      <c r="N466" t="n">
        <v>0</v>
      </c>
      <c r="O466" t="n">
        <v>0</v>
      </c>
      <c r="P466" t="n">
        <v>0</v>
      </c>
      <c r="Q466" t="n">
        <v>1</v>
      </c>
      <c r="R466" s="2" t="inlineStr">
        <is>
          <t>Svart trolldruva</t>
        </is>
      </c>
      <c r="S466">
        <f>HYPERLINK("https://klasma.github.io/Logging_1882/artfynd/A 16677-2023 artfynd.xlsx", "A 16677-2023")</f>
        <v/>
      </c>
      <c r="T466">
        <f>HYPERLINK("https://klasma.github.io/Logging_1882/kartor/A 16677-2023 karta.png", "A 16677-2023")</f>
        <v/>
      </c>
      <c r="V466">
        <f>HYPERLINK("https://klasma.github.io/Logging_1882/klagomål/A 16677-2023 FSC-klagomål.docx", "A 16677-2023")</f>
        <v/>
      </c>
      <c r="W466">
        <f>HYPERLINK("https://klasma.github.io/Logging_1882/klagomålsmail/A 16677-2023 FSC-klagomål mail.docx", "A 16677-2023")</f>
        <v/>
      </c>
      <c r="X466">
        <f>HYPERLINK("https://klasma.github.io/Logging_1882/tillsyn/A 16677-2023 tillsynsbegäran.docx", "A 16677-2023")</f>
        <v/>
      </c>
      <c r="Y466">
        <f>HYPERLINK("https://klasma.github.io/Logging_1882/tillsynsmail/A 16677-2023 tillsynsbegäran mail.docx", "A 16677-2023")</f>
        <v/>
      </c>
    </row>
    <row r="467" ht="15" customHeight="1">
      <c r="A467" t="inlineStr">
        <is>
          <t>A 64513-2023</t>
        </is>
      </c>
      <c r="B467" s="1" t="n">
        <v>45281</v>
      </c>
      <c r="C467" s="1" t="n">
        <v>46132</v>
      </c>
      <c r="D467" t="inlineStr">
        <is>
          <t>ÖREBRO LÄN</t>
        </is>
      </c>
      <c r="E467" t="inlineStr">
        <is>
          <t>LINDESBERG</t>
        </is>
      </c>
      <c r="G467" t="n">
        <v>4.7</v>
      </c>
      <c r="H467" t="n">
        <v>0</v>
      </c>
      <c r="I467" t="n">
        <v>1</v>
      </c>
      <c r="J467" t="n">
        <v>0</v>
      </c>
      <c r="K467" t="n">
        <v>0</v>
      </c>
      <c r="L467" t="n">
        <v>0</v>
      </c>
      <c r="M467" t="n">
        <v>0</v>
      </c>
      <c r="N467" t="n">
        <v>0</v>
      </c>
      <c r="O467" t="n">
        <v>0</v>
      </c>
      <c r="P467" t="n">
        <v>0</v>
      </c>
      <c r="Q467" t="n">
        <v>1</v>
      </c>
      <c r="R467" s="2" t="inlineStr">
        <is>
          <t>Västlig hakmossa</t>
        </is>
      </c>
      <c r="S467">
        <f>HYPERLINK("https://klasma.github.io/Logging_1885/artfynd/A 64513-2023 artfynd.xlsx", "A 64513-2023")</f>
        <v/>
      </c>
      <c r="T467">
        <f>HYPERLINK("https://klasma.github.io/Logging_1885/kartor/A 64513-2023 karta.png", "A 64513-2023")</f>
        <v/>
      </c>
      <c r="V467">
        <f>HYPERLINK("https://klasma.github.io/Logging_1885/klagomål/A 64513-2023 FSC-klagomål.docx", "A 64513-2023")</f>
        <v/>
      </c>
      <c r="W467">
        <f>HYPERLINK("https://klasma.github.io/Logging_1885/klagomålsmail/A 64513-2023 FSC-klagomål mail.docx", "A 64513-2023")</f>
        <v/>
      </c>
      <c r="X467">
        <f>HYPERLINK("https://klasma.github.io/Logging_1885/tillsyn/A 64513-2023 tillsynsbegäran.docx", "A 64513-2023")</f>
        <v/>
      </c>
      <c r="Y467">
        <f>HYPERLINK("https://klasma.github.io/Logging_1885/tillsynsmail/A 64513-2023 tillsynsbegäran mail.docx", "A 64513-2023")</f>
        <v/>
      </c>
    </row>
    <row r="468" ht="15" customHeight="1">
      <c r="A468" t="inlineStr">
        <is>
          <t>A 2077-2023</t>
        </is>
      </c>
      <c r="B468" s="1" t="n">
        <v>44939</v>
      </c>
      <c r="C468" s="1" t="n">
        <v>46132</v>
      </c>
      <c r="D468" t="inlineStr">
        <is>
          <t>ÖREBRO LÄN</t>
        </is>
      </c>
      <c r="E468" t="inlineStr">
        <is>
          <t>ÖREBRO</t>
        </is>
      </c>
      <c r="G468" t="n">
        <v>1.4</v>
      </c>
      <c r="H468" t="n">
        <v>1</v>
      </c>
      <c r="I468" t="n">
        <v>0</v>
      </c>
      <c r="J468" t="n">
        <v>1</v>
      </c>
      <c r="K468" t="n">
        <v>0</v>
      </c>
      <c r="L468" t="n">
        <v>0</v>
      </c>
      <c r="M468" t="n">
        <v>0</v>
      </c>
      <c r="N468" t="n">
        <v>0</v>
      </c>
      <c r="O468" t="n">
        <v>1</v>
      </c>
      <c r="P468" t="n">
        <v>0</v>
      </c>
      <c r="Q468" t="n">
        <v>1</v>
      </c>
      <c r="R468" s="2" t="inlineStr">
        <is>
          <t>Rödvingetrast</t>
        </is>
      </c>
      <c r="S468">
        <f>HYPERLINK("https://klasma.github.io/Logging_1880/artfynd/A 2077-2023 artfynd.xlsx", "A 2077-2023")</f>
        <v/>
      </c>
      <c r="T468">
        <f>HYPERLINK("https://klasma.github.io/Logging_1880/kartor/A 2077-2023 karta.png", "A 2077-2023")</f>
        <v/>
      </c>
      <c r="V468">
        <f>HYPERLINK("https://klasma.github.io/Logging_1880/klagomål/A 2077-2023 FSC-klagomål.docx", "A 2077-2023")</f>
        <v/>
      </c>
      <c r="W468">
        <f>HYPERLINK("https://klasma.github.io/Logging_1880/klagomålsmail/A 2077-2023 FSC-klagomål mail.docx", "A 2077-2023")</f>
        <v/>
      </c>
      <c r="X468">
        <f>HYPERLINK("https://klasma.github.io/Logging_1880/tillsyn/A 2077-2023 tillsynsbegäran.docx", "A 2077-2023")</f>
        <v/>
      </c>
      <c r="Y468">
        <f>HYPERLINK("https://klasma.github.io/Logging_1880/tillsynsmail/A 2077-2023 tillsynsbegäran mail.docx", "A 2077-2023")</f>
        <v/>
      </c>
      <c r="Z468">
        <f>HYPERLINK("https://klasma.github.io/Logging_1880/fåglar/A 2077-2023 prioriterade fågelarter.docx", "A 2077-2023")</f>
        <v/>
      </c>
    </row>
    <row r="469" ht="15" customHeight="1">
      <c r="A469" t="inlineStr">
        <is>
          <t>A 44389-2021</t>
        </is>
      </c>
      <c r="B469" s="1" t="n">
        <v>44435</v>
      </c>
      <c r="C469" s="1" t="n">
        <v>46132</v>
      </c>
      <c r="D469" t="inlineStr">
        <is>
          <t>ÖREBRO LÄN</t>
        </is>
      </c>
      <c r="E469" t="inlineStr">
        <is>
          <t>ÖREBRO</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HYPERLINK("https://klasma.github.io/Logging_1880/artfynd/A 44389-2021 artfynd.xlsx", "A 44389-2021")</f>
        <v/>
      </c>
      <c r="T469">
        <f>HYPERLINK("https://klasma.github.io/Logging_1880/kartor/A 44389-2021 karta.png", "A 44389-2021")</f>
        <v/>
      </c>
      <c r="U469">
        <f>HYPERLINK("https://klasma.github.io/Logging_1880/knärot/A 44389-2021 karta knärot.png", "A 44389-2021")</f>
        <v/>
      </c>
      <c r="V469">
        <f>HYPERLINK("https://klasma.github.io/Logging_1880/klagomål/A 44389-2021 FSC-klagomål.docx", "A 44389-2021")</f>
        <v/>
      </c>
      <c r="W469">
        <f>HYPERLINK("https://klasma.github.io/Logging_1880/klagomålsmail/A 44389-2021 FSC-klagomål mail.docx", "A 44389-2021")</f>
        <v/>
      </c>
      <c r="X469">
        <f>HYPERLINK("https://klasma.github.io/Logging_1880/tillsyn/A 44389-2021 tillsynsbegäran.docx", "A 44389-2021")</f>
        <v/>
      </c>
      <c r="Y469">
        <f>HYPERLINK("https://klasma.github.io/Logging_1880/tillsynsmail/A 44389-2021 tillsynsbegäran mail.docx", "A 44389-2021")</f>
        <v/>
      </c>
    </row>
    <row r="470" ht="15" customHeight="1">
      <c r="A470" t="inlineStr">
        <is>
          <t>A 28569-2024</t>
        </is>
      </c>
      <c r="B470" s="1" t="n">
        <v>45478.39592592593</v>
      </c>
      <c r="C470" s="1" t="n">
        <v>46132</v>
      </c>
      <c r="D470" t="inlineStr">
        <is>
          <t>ÖREBRO LÄN</t>
        </is>
      </c>
      <c r="E470" t="inlineStr">
        <is>
          <t>LINDESBERG</t>
        </is>
      </c>
      <c r="F470" t="inlineStr">
        <is>
          <t>Sveaskog</t>
        </is>
      </c>
      <c r="G470" t="n">
        <v>2.6</v>
      </c>
      <c r="H470" t="n">
        <v>0</v>
      </c>
      <c r="I470" t="n">
        <v>0</v>
      </c>
      <c r="J470" t="n">
        <v>1</v>
      </c>
      <c r="K470" t="n">
        <v>0</v>
      </c>
      <c r="L470" t="n">
        <v>0</v>
      </c>
      <c r="M470" t="n">
        <v>0</v>
      </c>
      <c r="N470" t="n">
        <v>0</v>
      </c>
      <c r="O470" t="n">
        <v>1</v>
      </c>
      <c r="P470" t="n">
        <v>0</v>
      </c>
      <c r="Q470" t="n">
        <v>1</v>
      </c>
      <c r="R470" s="2" t="inlineStr">
        <is>
          <t>Granticka</t>
        </is>
      </c>
      <c r="S470">
        <f>HYPERLINK("https://klasma.github.io/Logging_1885/artfynd/A 28569-2024 artfynd.xlsx", "A 28569-2024")</f>
        <v/>
      </c>
      <c r="T470">
        <f>HYPERLINK("https://klasma.github.io/Logging_1885/kartor/A 28569-2024 karta.png", "A 28569-2024")</f>
        <v/>
      </c>
      <c r="V470">
        <f>HYPERLINK("https://klasma.github.io/Logging_1885/klagomål/A 28569-2024 FSC-klagomål.docx", "A 28569-2024")</f>
        <v/>
      </c>
      <c r="W470">
        <f>HYPERLINK("https://klasma.github.io/Logging_1885/klagomålsmail/A 28569-2024 FSC-klagomål mail.docx", "A 28569-2024")</f>
        <v/>
      </c>
      <c r="X470">
        <f>HYPERLINK("https://klasma.github.io/Logging_1885/tillsyn/A 28569-2024 tillsynsbegäran.docx", "A 28569-2024")</f>
        <v/>
      </c>
      <c r="Y470">
        <f>HYPERLINK("https://klasma.github.io/Logging_1885/tillsynsmail/A 28569-2024 tillsynsbegäran mail.docx", "A 28569-2024")</f>
        <v/>
      </c>
    </row>
    <row r="471" ht="15" customHeight="1">
      <c r="A471" t="inlineStr">
        <is>
          <t>A 22580-2024</t>
        </is>
      </c>
      <c r="B471" s="1" t="n">
        <v>45447.5825462963</v>
      </c>
      <c r="C471" s="1" t="n">
        <v>46132</v>
      </c>
      <c r="D471" t="inlineStr">
        <is>
          <t>ÖREBRO LÄN</t>
        </is>
      </c>
      <c r="E471" t="inlineStr">
        <is>
          <t>LEKEBERG</t>
        </is>
      </c>
      <c r="G471" t="n">
        <v>7.3</v>
      </c>
      <c r="H471" t="n">
        <v>1</v>
      </c>
      <c r="I471" t="n">
        <v>0</v>
      </c>
      <c r="J471" t="n">
        <v>1</v>
      </c>
      <c r="K471" t="n">
        <v>0</v>
      </c>
      <c r="L471" t="n">
        <v>0</v>
      </c>
      <c r="M471" t="n">
        <v>0</v>
      </c>
      <c r="N471" t="n">
        <v>0</v>
      </c>
      <c r="O471" t="n">
        <v>1</v>
      </c>
      <c r="P471" t="n">
        <v>0</v>
      </c>
      <c r="Q471" t="n">
        <v>1</v>
      </c>
      <c r="R471" s="2" t="inlineStr">
        <is>
          <t>Spillkråka</t>
        </is>
      </c>
      <c r="S471">
        <f>HYPERLINK("https://klasma.github.io/Logging_1814/artfynd/A 22580-2024 artfynd.xlsx", "A 22580-2024")</f>
        <v/>
      </c>
      <c r="T471">
        <f>HYPERLINK("https://klasma.github.io/Logging_1814/kartor/A 22580-2024 karta.png", "A 22580-2024")</f>
        <v/>
      </c>
      <c r="V471">
        <f>HYPERLINK("https://klasma.github.io/Logging_1814/klagomål/A 22580-2024 FSC-klagomål.docx", "A 22580-2024")</f>
        <v/>
      </c>
      <c r="W471">
        <f>HYPERLINK("https://klasma.github.io/Logging_1814/klagomålsmail/A 22580-2024 FSC-klagomål mail.docx", "A 22580-2024")</f>
        <v/>
      </c>
      <c r="X471">
        <f>HYPERLINK("https://klasma.github.io/Logging_1814/tillsyn/A 22580-2024 tillsynsbegäran.docx", "A 22580-2024")</f>
        <v/>
      </c>
      <c r="Y471">
        <f>HYPERLINK("https://klasma.github.io/Logging_1814/tillsynsmail/A 22580-2024 tillsynsbegäran mail.docx", "A 22580-2024")</f>
        <v/>
      </c>
      <c r="Z471">
        <f>HYPERLINK("https://klasma.github.io/Logging_1814/fåglar/A 22580-2024 prioriterade fågelarter.docx", "A 22580-2024")</f>
        <v/>
      </c>
    </row>
    <row r="472" ht="15" customHeight="1">
      <c r="A472" t="inlineStr">
        <is>
          <t>A 61129-2024</t>
        </is>
      </c>
      <c r="B472" s="1" t="n">
        <v>45645</v>
      </c>
      <c r="C472" s="1" t="n">
        <v>46132</v>
      </c>
      <c r="D472" t="inlineStr">
        <is>
          <t>ÖREBRO LÄN</t>
        </is>
      </c>
      <c r="E472" t="inlineStr">
        <is>
          <t>LINDESBERG</t>
        </is>
      </c>
      <c r="F472" t="inlineStr">
        <is>
          <t>Sveaskog</t>
        </is>
      </c>
      <c r="G472" t="n">
        <v>6.6</v>
      </c>
      <c r="H472" t="n">
        <v>1</v>
      </c>
      <c r="I472" t="n">
        <v>0</v>
      </c>
      <c r="J472" t="n">
        <v>1</v>
      </c>
      <c r="K472" t="n">
        <v>0</v>
      </c>
      <c r="L472" t="n">
        <v>0</v>
      </c>
      <c r="M472" t="n">
        <v>0</v>
      </c>
      <c r="N472" t="n">
        <v>0</v>
      </c>
      <c r="O472" t="n">
        <v>1</v>
      </c>
      <c r="P472" t="n">
        <v>0</v>
      </c>
      <c r="Q472" t="n">
        <v>1</v>
      </c>
      <c r="R472" s="2" t="inlineStr">
        <is>
          <t>Tretåig hackspett</t>
        </is>
      </c>
      <c r="S472">
        <f>HYPERLINK("https://klasma.github.io/Logging_1885/artfynd/A 61129-2024 artfynd.xlsx", "A 61129-2024")</f>
        <v/>
      </c>
      <c r="T472">
        <f>HYPERLINK("https://klasma.github.io/Logging_1885/kartor/A 61129-2024 karta.png", "A 61129-2024")</f>
        <v/>
      </c>
      <c r="V472">
        <f>HYPERLINK("https://klasma.github.io/Logging_1885/klagomål/A 61129-2024 FSC-klagomål.docx", "A 61129-2024")</f>
        <v/>
      </c>
      <c r="W472">
        <f>HYPERLINK("https://klasma.github.io/Logging_1885/klagomålsmail/A 61129-2024 FSC-klagomål mail.docx", "A 61129-2024")</f>
        <v/>
      </c>
      <c r="X472">
        <f>HYPERLINK("https://klasma.github.io/Logging_1885/tillsyn/A 61129-2024 tillsynsbegäran.docx", "A 61129-2024")</f>
        <v/>
      </c>
      <c r="Y472">
        <f>HYPERLINK("https://klasma.github.io/Logging_1885/tillsynsmail/A 61129-2024 tillsynsbegäran mail.docx", "A 61129-2024")</f>
        <v/>
      </c>
      <c r="Z472">
        <f>HYPERLINK("https://klasma.github.io/Logging_1885/fåglar/A 61129-2024 prioriterade fågelarter.docx", "A 61129-2024")</f>
        <v/>
      </c>
    </row>
    <row r="473" ht="15" customHeight="1">
      <c r="A473" t="inlineStr">
        <is>
          <t>A 54857-2024</t>
        </is>
      </c>
      <c r="B473" s="1" t="n">
        <v>45618.58876157407</v>
      </c>
      <c r="C473" s="1" t="n">
        <v>46132</v>
      </c>
      <c r="D473" t="inlineStr">
        <is>
          <t>ÖREBRO LÄN</t>
        </is>
      </c>
      <c r="E473" t="inlineStr">
        <is>
          <t>LINDESBERG</t>
        </is>
      </c>
      <c r="F473" t="inlineStr">
        <is>
          <t>Sveaskog</t>
        </is>
      </c>
      <c r="G473" t="n">
        <v>6.1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HYPERLINK("https://klasma.github.io/Logging_1885/artfynd/A 54857-2024 artfynd.xlsx", "A 54857-2024")</f>
        <v/>
      </c>
      <c r="T473">
        <f>HYPERLINK("https://klasma.github.io/Logging_1885/kartor/A 54857-2024 karta.png", "A 54857-2024")</f>
        <v/>
      </c>
      <c r="V473">
        <f>HYPERLINK("https://klasma.github.io/Logging_1885/klagomål/A 54857-2024 FSC-klagomål.docx", "A 54857-2024")</f>
        <v/>
      </c>
      <c r="W473">
        <f>HYPERLINK("https://klasma.github.io/Logging_1885/klagomålsmail/A 54857-2024 FSC-klagomål mail.docx", "A 54857-2024")</f>
        <v/>
      </c>
      <c r="X473">
        <f>HYPERLINK("https://klasma.github.io/Logging_1885/tillsyn/A 54857-2024 tillsynsbegäran.docx", "A 54857-2024")</f>
        <v/>
      </c>
      <c r="Y473">
        <f>HYPERLINK("https://klasma.github.io/Logging_1885/tillsynsmail/A 54857-2024 tillsynsbegäran mail.docx", "A 54857-2024")</f>
        <v/>
      </c>
    </row>
    <row r="474" ht="15" customHeight="1">
      <c r="A474" t="inlineStr">
        <is>
          <t>A 4683-2025</t>
        </is>
      </c>
      <c r="B474" s="1" t="n">
        <v>45687.86934027778</v>
      </c>
      <c r="C474" s="1" t="n">
        <v>46132</v>
      </c>
      <c r="D474" t="inlineStr">
        <is>
          <t>ÖREBRO LÄN</t>
        </is>
      </c>
      <c r="E474" t="inlineStr">
        <is>
          <t>ASKERSUND</t>
        </is>
      </c>
      <c r="G474" t="n">
        <v>1.2</v>
      </c>
      <c r="H474" t="n">
        <v>1</v>
      </c>
      <c r="I474" t="n">
        <v>0</v>
      </c>
      <c r="J474" t="n">
        <v>0</v>
      </c>
      <c r="K474" t="n">
        <v>0</v>
      </c>
      <c r="L474" t="n">
        <v>0</v>
      </c>
      <c r="M474" t="n">
        <v>0</v>
      </c>
      <c r="N474" t="n">
        <v>0</v>
      </c>
      <c r="O474" t="n">
        <v>0</v>
      </c>
      <c r="P474" t="n">
        <v>0</v>
      </c>
      <c r="Q474" t="n">
        <v>1</v>
      </c>
      <c r="R474" s="2" t="inlineStr">
        <is>
          <t>Mattlummer</t>
        </is>
      </c>
      <c r="S474">
        <f>HYPERLINK("https://klasma.github.io/Logging_1882/artfynd/A 4683-2025 artfynd.xlsx", "A 4683-2025")</f>
        <v/>
      </c>
      <c r="T474">
        <f>HYPERLINK("https://klasma.github.io/Logging_1882/kartor/A 4683-2025 karta.png", "A 4683-2025")</f>
        <v/>
      </c>
      <c r="V474">
        <f>HYPERLINK("https://klasma.github.io/Logging_1882/klagomål/A 4683-2025 FSC-klagomål.docx", "A 4683-2025")</f>
        <v/>
      </c>
      <c r="W474">
        <f>HYPERLINK("https://klasma.github.io/Logging_1882/klagomålsmail/A 4683-2025 FSC-klagomål mail.docx", "A 4683-2025")</f>
        <v/>
      </c>
      <c r="X474">
        <f>HYPERLINK("https://klasma.github.io/Logging_1882/tillsyn/A 4683-2025 tillsynsbegäran.docx", "A 4683-2025")</f>
        <v/>
      </c>
      <c r="Y474">
        <f>HYPERLINK("https://klasma.github.io/Logging_1882/tillsynsmail/A 4683-2025 tillsynsbegäran mail.docx", "A 4683-2025")</f>
        <v/>
      </c>
    </row>
    <row r="475" ht="15" customHeight="1">
      <c r="A475" t="inlineStr">
        <is>
          <t>A 31695-2024</t>
        </is>
      </c>
      <c r="B475" s="1" t="n">
        <v>45508</v>
      </c>
      <c r="C475" s="1" t="n">
        <v>46132</v>
      </c>
      <c r="D475" t="inlineStr">
        <is>
          <t>ÖREBRO LÄN</t>
        </is>
      </c>
      <c r="E475" t="inlineStr">
        <is>
          <t>ÖREBRO</t>
        </is>
      </c>
      <c r="G475" t="n">
        <v>1.3</v>
      </c>
      <c r="H475" t="n">
        <v>1</v>
      </c>
      <c r="I475" t="n">
        <v>1</v>
      </c>
      <c r="J475" t="n">
        <v>0</v>
      </c>
      <c r="K475" t="n">
        <v>0</v>
      </c>
      <c r="L475" t="n">
        <v>0</v>
      </c>
      <c r="M475" t="n">
        <v>0</v>
      </c>
      <c r="N475" t="n">
        <v>0</v>
      </c>
      <c r="O475" t="n">
        <v>0</v>
      </c>
      <c r="P475" t="n">
        <v>0</v>
      </c>
      <c r="Q475" t="n">
        <v>1</v>
      </c>
      <c r="R475" s="2" t="inlineStr">
        <is>
          <t>Skogsknipprot</t>
        </is>
      </c>
      <c r="S475">
        <f>HYPERLINK("https://klasma.github.io/Logging_1880/artfynd/A 31695-2024 artfynd.xlsx", "A 31695-2024")</f>
        <v/>
      </c>
      <c r="T475">
        <f>HYPERLINK("https://klasma.github.io/Logging_1880/kartor/A 31695-2024 karta.png", "A 31695-2024")</f>
        <v/>
      </c>
      <c r="V475">
        <f>HYPERLINK("https://klasma.github.io/Logging_1880/klagomål/A 31695-2024 FSC-klagomål.docx", "A 31695-2024")</f>
        <v/>
      </c>
      <c r="W475">
        <f>HYPERLINK("https://klasma.github.io/Logging_1880/klagomålsmail/A 31695-2024 FSC-klagomål mail.docx", "A 31695-2024")</f>
        <v/>
      </c>
      <c r="X475">
        <f>HYPERLINK("https://klasma.github.io/Logging_1880/tillsyn/A 31695-2024 tillsynsbegäran.docx", "A 31695-2024")</f>
        <v/>
      </c>
      <c r="Y475">
        <f>HYPERLINK("https://klasma.github.io/Logging_1880/tillsynsmail/A 31695-2024 tillsynsbegäran mail.docx", "A 31695-2024")</f>
        <v/>
      </c>
    </row>
    <row r="476" ht="15" customHeight="1">
      <c r="A476" t="inlineStr">
        <is>
          <t>A 67013-2021</t>
        </is>
      </c>
      <c r="B476" s="1" t="n">
        <v>44522</v>
      </c>
      <c r="C476" s="1" t="n">
        <v>46132</v>
      </c>
      <c r="D476" t="inlineStr">
        <is>
          <t>ÖREBRO LÄN</t>
        </is>
      </c>
      <c r="E476" t="inlineStr">
        <is>
          <t>LINDESBERG</t>
        </is>
      </c>
      <c r="G476" t="n">
        <v>0.5</v>
      </c>
      <c r="H476" t="n">
        <v>0</v>
      </c>
      <c r="I476" t="n">
        <v>0</v>
      </c>
      <c r="J476" t="n">
        <v>1</v>
      </c>
      <c r="K476" t="n">
        <v>0</v>
      </c>
      <c r="L476" t="n">
        <v>0</v>
      </c>
      <c r="M476" t="n">
        <v>0</v>
      </c>
      <c r="N476" t="n">
        <v>0</v>
      </c>
      <c r="O476" t="n">
        <v>1</v>
      </c>
      <c r="P476" t="n">
        <v>0</v>
      </c>
      <c r="Q476" t="n">
        <v>1</v>
      </c>
      <c r="R476" s="2" t="inlineStr">
        <is>
          <t>Skogsklocka</t>
        </is>
      </c>
      <c r="S476">
        <f>HYPERLINK("https://klasma.github.io/Logging_1885/artfynd/A 67013-2021 artfynd.xlsx", "A 67013-2021")</f>
        <v/>
      </c>
      <c r="T476">
        <f>HYPERLINK("https://klasma.github.io/Logging_1885/kartor/A 67013-2021 karta.png", "A 67013-2021")</f>
        <v/>
      </c>
      <c r="V476">
        <f>HYPERLINK("https://klasma.github.io/Logging_1885/klagomål/A 67013-2021 FSC-klagomål.docx", "A 67013-2021")</f>
        <v/>
      </c>
      <c r="W476">
        <f>HYPERLINK("https://klasma.github.io/Logging_1885/klagomålsmail/A 67013-2021 FSC-klagomål mail.docx", "A 67013-2021")</f>
        <v/>
      </c>
      <c r="X476">
        <f>HYPERLINK("https://klasma.github.io/Logging_1885/tillsyn/A 67013-2021 tillsynsbegäran.docx", "A 67013-2021")</f>
        <v/>
      </c>
      <c r="Y476">
        <f>HYPERLINK("https://klasma.github.io/Logging_1885/tillsynsmail/A 67013-2021 tillsynsbegäran mail.docx", "A 67013-2021")</f>
        <v/>
      </c>
    </row>
    <row r="477" ht="15" customHeight="1">
      <c r="A477" t="inlineStr">
        <is>
          <t>A 41834-2023</t>
        </is>
      </c>
      <c r="B477" s="1" t="n">
        <v>45176</v>
      </c>
      <c r="C477" s="1" t="n">
        <v>46132</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32037-2024</t>
        </is>
      </c>
      <c r="B478" s="1" t="n">
        <v>45510</v>
      </c>
      <c r="C478" s="1" t="n">
        <v>46132</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46325-2024</t>
        </is>
      </c>
      <c r="B479" s="1" t="n">
        <v>45581.85145833333</v>
      </c>
      <c r="C479" s="1" t="n">
        <v>46132</v>
      </c>
      <c r="D479" t="inlineStr">
        <is>
          <t>ÖREBRO LÄN</t>
        </is>
      </c>
      <c r="E479" t="inlineStr">
        <is>
          <t>HALLSBERG</t>
        </is>
      </c>
      <c r="F479" t="inlineStr">
        <is>
          <t>Övriga Aktiebolag</t>
        </is>
      </c>
      <c r="G479" t="n">
        <v>1.9</v>
      </c>
      <c r="H479" t="n">
        <v>1</v>
      </c>
      <c r="I479" t="n">
        <v>0</v>
      </c>
      <c r="J479" t="n">
        <v>0</v>
      </c>
      <c r="K479" t="n">
        <v>0</v>
      </c>
      <c r="L479" t="n">
        <v>0</v>
      </c>
      <c r="M479" t="n">
        <v>0</v>
      </c>
      <c r="N479" t="n">
        <v>0</v>
      </c>
      <c r="O479" t="n">
        <v>0</v>
      </c>
      <c r="P479" t="n">
        <v>0</v>
      </c>
      <c r="Q479" t="n">
        <v>1</v>
      </c>
      <c r="R479" s="2" t="inlineStr">
        <is>
          <t>Grönvit nattviol</t>
        </is>
      </c>
      <c r="S479">
        <f>HYPERLINK("https://klasma.github.io/Logging_1861/artfynd/A 46325-2024 artfynd.xlsx", "A 46325-2024")</f>
        <v/>
      </c>
      <c r="T479">
        <f>HYPERLINK("https://klasma.github.io/Logging_1861/kartor/A 46325-2024 karta.png", "A 46325-2024")</f>
        <v/>
      </c>
      <c r="V479">
        <f>HYPERLINK("https://klasma.github.io/Logging_1861/klagomål/A 46325-2024 FSC-klagomål.docx", "A 46325-2024")</f>
        <v/>
      </c>
      <c r="W479">
        <f>HYPERLINK("https://klasma.github.io/Logging_1861/klagomålsmail/A 46325-2024 FSC-klagomål mail.docx", "A 46325-2024")</f>
        <v/>
      </c>
      <c r="X479">
        <f>HYPERLINK("https://klasma.github.io/Logging_1861/tillsyn/A 46325-2024 tillsynsbegäran.docx", "A 46325-2024")</f>
        <v/>
      </c>
      <c r="Y479">
        <f>HYPERLINK("https://klasma.github.io/Logging_1861/tillsynsmail/A 46325-2024 tillsynsbegäran mail.docx", "A 46325-2024")</f>
        <v/>
      </c>
    </row>
    <row r="480" ht="15" customHeight="1">
      <c r="A480" t="inlineStr">
        <is>
          <t>A 16791-2024</t>
        </is>
      </c>
      <c r="B480" s="1" t="n">
        <v>45411.42858796296</v>
      </c>
      <c r="C480" s="1" t="n">
        <v>46132</v>
      </c>
      <c r="D480" t="inlineStr">
        <is>
          <t>ÖREBRO LÄN</t>
        </is>
      </c>
      <c r="E480" t="inlineStr">
        <is>
          <t>LINDESBERG</t>
        </is>
      </c>
      <c r="G480" t="n">
        <v>16.1</v>
      </c>
      <c r="H480" t="n">
        <v>1</v>
      </c>
      <c r="I480" t="n">
        <v>0</v>
      </c>
      <c r="J480" t="n">
        <v>1</v>
      </c>
      <c r="K480" t="n">
        <v>0</v>
      </c>
      <c r="L480" t="n">
        <v>0</v>
      </c>
      <c r="M480" t="n">
        <v>0</v>
      </c>
      <c r="N480" t="n">
        <v>0</v>
      </c>
      <c r="O480" t="n">
        <v>1</v>
      </c>
      <c r="P480" t="n">
        <v>0</v>
      </c>
      <c r="Q480" t="n">
        <v>1</v>
      </c>
      <c r="R480" s="2" t="inlineStr">
        <is>
          <t>Spillkråka</t>
        </is>
      </c>
      <c r="S480">
        <f>HYPERLINK("https://klasma.github.io/Logging_1885/artfynd/A 16791-2024 artfynd.xlsx", "A 16791-2024")</f>
        <v/>
      </c>
      <c r="T480">
        <f>HYPERLINK("https://klasma.github.io/Logging_1885/kartor/A 16791-2024 karta.png", "A 16791-2024")</f>
        <v/>
      </c>
      <c r="V480">
        <f>HYPERLINK("https://klasma.github.io/Logging_1885/klagomål/A 16791-2024 FSC-klagomål.docx", "A 16791-2024")</f>
        <v/>
      </c>
      <c r="W480">
        <f>HYPERLINK("https://klasma.github.io/Logging_1885/klagomålsmail/A 16791-2024 FSC-klagomål mail.docx", "A 16791-2024")</f>
        <v/>
      </c>
      <c r="X480">
        <f>HYPERLINK("https://klasma.github.io/Logging_1885/tillsyn/A 16791-2024 tillsynsbegäran.docx", "A 16791-2024")</f>
        <v/>
      </c>
      <c r="Y480">
        <f>HYPERLINK("https://klasma.github.io/Logging_1885/tillsynsmail/A 16791-2024 tillsynsbegäran mail.docx", "A 16791-2024")</f>
        <v/>
      </c>
      <c r="Z480">
        <f>HYPERLINK("https://klasma.github.io/Logging_1885/fåglar/A 16791-2024 prioriterade fågelarter.docx", "A 16791-2024")</f>
        <v/>
      </c>
    </row>
    <row r="481" ht="15" customHeight="1">
      <c r="A481" t="inlineStr">
        <is>
          <t>A 28786-2023</t>
        </is>
      </c>
      <c r="B481" s="1" t="n">
        <v>45104</v>
      </c>
      <c r="C481" s="1" t="n">
        <v>46132</v>
      </c>
      <c r="D481" t="inlineStr">
        <is>
          <t>ÖREBRO LÄN</t>
        </is>
      </c>
      <c r="E481" t="inlineStr">
        <is>
          <t>ASKERSUND</t>
        </is>
      </c>
      <c r="G481" t="n">
        <v>9.800000000000001</v>
      </c>
      <c r="H481" t="n">
        <v>0</v>
      </c>
      <c r="I481" t="n">
        <v>1</v>
      </c>
      <c r="J481" t="n">
        <v>0</v>
      </c>
      <c r="K481" t="n">
        <v>0</v>
      </c>
      <c r="L481" t="n">
        <v>0</v>
      </c>
      <c r="M481" t="n">
        <v>0</v>
      </c>
      <c r="N481" t="n">
        <v>0</v>
      </c>
      <c r="O481" t="n">
        <v>0</v>
      </c>
      <c r="P481" t="n">
        <v>0</v>
      </c>
      <c r="Q481" t="n">
        <v>1</v>
      </c>
      <c r="R481" s="2" t="inlineStr">
        <is>
          <t>Vedticka</t>
        </is>
      </c>
      <c r="S481">
        <f>HYPERLINK("https://klasma.github.io/Logging_1882/artfynd/A 28786-2023 artfynd.xlsx", "A 28786-2023")</f>
        <v/>
      </c>
      <c r="T481">
        <f>HYPERLINK("https://klasma.github.io/Logging_1882/kartor/A 28786-2023 karta.png", "A 28786-2023")</f>
        <v/>
      </c>
      <c r="V481">
        <f>HYPERLINK("https://klasma.github.io/Logging_1882/klagomål/A 28786-2023 FSC-klagomål.docx", "A 28786-2023")</f>
        <v/>
      </c>
      <c r="W481">
        <f>HYPERLINK("https://klasma.github.io/Logging_1882/klagomålsmail/A 28786-2023 FSC-klagomål mail.docx", "A 28786-2023")</f>
        <v/>
      </c>
      <c r="X481">
        <f>HYPERLINK("https://klasma.github.io/Logging_1882/tillsyn/A 28786-2023 tillsynsbegäran.docx", "A 28786-2023")</f>
        <v/>
      </c>
      <c r="Y481">
        <f>HYPERLINK("https://klasma.github.io/Logging_1882/tillsynsmail/A 28786-2023 tillsynsbegäran mail.docx", "A 28786-2023")</f>
        <v/>
      </c>
    </row>
    <row r="482" ht="15" customHeight="1">
      <c r="A482" t="inlineStr">
        <is>
          <t>A 13233-2023</t>
        </is>
      </c>
      <c r="B482" s="1" t="n">
        <v>45002.7306712963</v>
      </c>
      <c r="C482" s="1" t="n">
        <v>46132</v>
      </c>
      <c r="D482" t="inlineStr">
        <is>
          <t>ÖREBRO LÄN</t>
        </is>
      </c>
      <c r="E482" t="inlineStr">
        <is>
          <t>LJUSNARSBERG</t>
        </is>
      </c>
      <c r="G482" t="n">
        <v>6</v>
      </c>
      <c r="H482" t="n">
        <v>0</v>
      </c>
      <c r="I482" t="n">
        <v>0</v>
      </c>
      <c r="J482" t="n">
        <v>0</v>
      </c>
      <c r="K482" t="n">
        <v>1</v>
      </c>
      <c r="L482" t="n">
        <v>0</v>
      </c>
      <c r="M482" t="n">
        <v>0</v>
      </c>
      <c r="N482" t="n">
        <v>0</v>
      </c>
      <c r="O482" t="n">
        <v>1</v>
      </c>
      <c r="P482" t="n">
        <v>1</v>
      </c>
      <c r="Q482" t="n">
        <v>1</v>
      </c>
      <c r="R482" s="2" t="inlineStr">
        <is>
          <t>Tunnvingemätare</t>
        </is>
      </c>
      <c r="S482">
        <f>HYPERLINK("https://klasma.github.io/Logging_1864/artfynd/A 13233-2023 artfynd.xlsx", "A 13233-2023")</f>
        <v/>
      </c>
      <c r="T482">
        <f>HYPERLINK("https://klasma.github.io/Logging_1864/kartor/A 13233-2023 karta.png", "A 13233-2023")</f>
        <v/>
      </c>
      <c r="V482">
        <f>HYPERLINK("https://klasma.github.io/Logging_1864/klagomål/A 13233-2023 FSC-klagomål.docx", "A 13233-2023")</f>
        <v/>
      </c>
      <c r="W482">
        <f>HYPERLINK("https://klasma.github.io/Logging_1864/klagomålsmail/A 13233-2023 FSC-klagomål mail.docx", "A 13233-2023")</f>
        <v/>
      </c>
      <c r="X482">
        <f>HYPERLINK("https://klasma.github.io/Logging_1864/tillsyn/A 13233-2023 tillsynsbegäran.docx", "A 13233-2023")</f>
        <v/>
      </c>
      <c r="Y482">
        <f>HYPERLINK("https://klasma.github.io/Logging_1864/tillsynsmail/A 13233-2023 tillsynsbegäran mail.docx", "A 13233-2023")</f>
        <v/>
      </c>
    </row>
    <row r="483" ht="15" customHeight="1">
      <c r="A483" t="inlineStr">
        <is>
          <t>A 1195-2023</t>
        </is>
      </c>
      <c r="B483" s="1" t="n">
        <v>44935</v>
      </c>
      <c r="C483" s="1" t="n">
        <v>46132</v>
      </c>
      <c r="D483" t="inlineStr">
        <is>
          <t>ÖREBRO LÄN</t>
        </is>
      </c>
      <c r="E483" t="inlineStr">
        <is>
          <t>HALLSBERG</t>
        </is>
      </c>
      <c r="G483" t="n">
        <v>11.2</v>
      </c>
      <c r="H483" t="n">
        <v>0</v>
      </c>
      <c r="I483" t="n">
        <v>1</v>
      </c>
      <c r="J483" t="n">
        <v>0</v>
      </c>
      <c r="K483" t="n">
        <v>0</v>
      </c>
      <c r="L483" t="n">
        <v>0</v>
      </c>
      <c r="M483" t="n">
        <v>0</v>
      </c>
      <c r="N483" t="n">
        <v>0</v>
      </c>
      <c r="O483" t="n">
        <v>0</v>
      </c>
      <c r="P483" t="n">
        <v>0</v>
      </c>
      <c r="Q483" t="n">
        <v>1</v>
      </c>
      <c r="R483" s="2" t="inlineStr">
        <is>
          <t>Hasselticka</t>
        </is>
      </c>
      <c r="S483">
        <f>HYPERLINK("https://klasma.github.io/Logging_1861/artfynd/A 1195-2023 artfynd.xlsx", "A 1195-2023")</f>
        <v/>
      </c>
      <c r="T483">
        <f>HYPERLINK("https://klasma.github.io/Logging_1861/kartor/A 1195-2023 karta.png", "A 1195-2023")</f>
        <v/>
      </c>
      <c r="V483">
        <f>HYPERLINK("https://klasma.github.io/Logging_1861/klagomål/A 1195-2023 FSC-klagomål.docx", "A 1195-2023")</f>
        <v/>
      </c>
      <c r="W483">
        <f>HYPERLINK("https://klasma.github.io/Logging_1861/klagomålsmail/A 1195-2023 FSC-klagomål mail.docx", "A 1195-2023")</f>
        <v/>
      </c>
      <c r="X483">
        <f>HYPERLINK("https://klasma.github.io/Logging_1861/tillsyn/A 1195-2023 tillsynsbegäran.docx", "A 1195-2023")</f>
        <v/>
      </c>
      <c r="Y483">
        <f>HYPERLINK("https://klasma.github.io/Logging_1861/tillsynsmail/A 1195-2023 tillsynsbegäran mail.docx", "A 1195-2023")</f>
        <v/>
      </c>
    </row>
    <row r="484" ht="15" customHeight="1">
      <c r="A484" t="inlineStr">
        <is>
          <t>A 61132-2024</t>
        </is>
      </c>
      <c r="B484" s="1" t="n">
        <v>45645</v>
      </c>
      <c r="C484" s="1" t="n">
        <v>46132</v>
      </c>
      <c r="D484" t="inlineStr">
        <is>
          <t>ÖREBRO LÄN</t>
        </is>
      </c>
      <c r="E484" t="inlineStr">
        <is>
          <t>LINDESBERG</t>
        </is>
      </c>
      <c r="F484" t="inlineStr">
        <is>
          <t>Sveaskog</t>
        </is>
      </c>
      <c r="G484" t="n">
        <v>2.5</v>
      </c>
      <c r="H484" t="n">
        <v>0</v>
      </c>
      <c r="I484" t="n">
        <v>1</v>
      </c>
      <c r="J484" t="n">
        <v>0</v>
      </c>
      <c r="K484" t="n">
        <v>0</v>
      </c>
      <c r="L484" t="n">
        <v>0</v>
      </c>
      <c r="M484" t="n">
        <v>0</v>
      </c>
      <c r="N484" t="n">
        <v>0</v>
      </c>
      <c r="O484" t="n">
        <v>0</v>
      </c>
      <c r="P484" t="n">
        <v>0</v>
      </c>
      <c r="Q484" t="n">
        <v>1</v>
      </c>
      <c r="R484" s="2" t="inlineStr">
        <is>
          <t>Bollvitmossa</t>
        </is>
      </c>
      <c r="S484">
        <f>HYPERLINK("https://klasma.github.io/Logging_1885/artfynd/A 61132-2024 artfynd.xlsx", "A 61132-2024")</f>
        <v/>
      </c>
      <c r="T484">
        <f>HYPERLINK("https://klasma.github.io/Logging_1885/kartor/A 61132-2024 karta.png", "A 61132-2024")</f>
        <v/>
      </c>
      <c r="V484">
        <f>HYPERLINK("https://klasma.github.io/Logging_1885/klagomål/A 61132-2024 FSC-klagomål.docx", "A 61132-2024")</f>
        <v/>
      </c>
      <c r="W484">
        <f>HYPERLINK("https://klasma.github.io/Logging_1885/klagomålsmail/A 61132-2024 FSC-klagomål mail.docx", "A 61132-2024")</f>
        <v/>
      </c>
      <c r="X484">
        <f>HYPERLINK("https://klasma.github.io/Logging_1885/tillsyn/A 61132-2024 tillsynsbegäran.docx", "A 61132-2024")</f>
        <v/>
      </c>
      <c r="Y484">
        <f>HYPERLINK("https://klasma.github.io/Logging_1885/tillsynsmail/A 61132-2024 tillsynsbegäran mail.docx", "A 61132-2024")</f>
        <v/>
      </c>
    </row>
    <row r="485" ht="15" customHeight="1">
      <c r="A485" t="inlineStr">
        <is>
          <t>A 9690-2024</t>
        </is>
      </c>
      <c r="B485" s="1" t="n">
        <v>45362</v>
      </c>
      <c r="C485" s="1" t="n">
        <v>46132</v>
      </c>
      <c r="D485" t="inlineStr">
        <is>
          <t>ÖREBRO LÄN</t>
        </is>
      </c>
      <c r="E485" t="inlineStr">
        <is>
          <t>LEKEBERG</t>
        </is>
      </c>
      <c r="G485" t="n">
        <v>1.8</v>
      </c>
      <c r="H485" t="n">
        <v>1</v>
      </c>
      <c r="I485" t="n">
        <v>0</v>
      </c>
      <c r="J485" t="n">
        <v>1</v>
      </c>
      <c r="K485" t="n">
        <v>0</v>
      </c>
      <c r="L485" t="n">
        <v>0</v>
      </c>
      <c r="M485" t="n">
        <v>0</v>
      </c>
      <c r="N485" t="n">
        <v>0</v>
      </c>
      <c r="O485" t="n">
        <v>1</v>
      </c>
      <c r="P485" t="n">
        <v>0</v>
      </c>
      <c r="Q485" t="n">
        <v>1</v>
      </c>
      <c r="R485" s="2" t="inlineStr">
        <is>
          <t>Spillkråka</t>
        </is>
      </c>
      <c r="S485">
        <f>HYPERLINK("https://klasma.github.io/Logging_1814/artfynd/A 9690-2024 artfynd.xlsx", "A 9690-2024")</f>
        <v/>
      </c>
      <c r="T485">
        <f>HYPERLINK("https://klasma.github.io/Logging_1814/kartor/A 9690-2024 karta.png", "A 9690-2024")</f>
        <v/>
      </c>
      <c r="V485">
        <f>HYPERLINK("https://klasma.github.io/Logging_1814/klagomål/A 9690-2024 FSC-klagomål.docx", "A 9690-2024")</f>
        <v/>
      </c>
      <c r="W485">
        <f>HYPERLINK("https://klasma.github.io/Logging_1814/klagomålsmail/A 9690-2024 FSC-klagomål mail.docx", "A 9690-2024")</f>
        <v/>
      </c>
      <c r="X485">
        <f>HYPERLINK("https://klasma.github.io/Logging_1814/tillsyn/A 9690-2024 tillsynsbegäran.docx", "A 9690-2024")</f>
        <v/>
      </c>
      <c r="Y485">
        <f>HYPERLINK("https://klasma.github.io/Logging_1814/tillsynsmail/A 9690-2024 tillsynsbegäran mail.docx", "A 9690-2024")</f>
        <v/>
      </c>
      <c r="Z485">
        <f>HYPERLINK("https://klasma.github.io/Logging_1814/fåglar/A 9690-2024 prioriterade fågelarter.docx", "A 9690-2024")</f>
        <v/>
      </c>
    </row>
    <row r="486" ht="15" customHeight="1">
      <c r="A486" t="inlineStr">
        <is>
          <t>A 35540-2023</t>
        </is>
      </c>
      <c r="B486" s="1" t="n">
        <v>45147</v>
      </c>
      <c r="C486" s="1" t="n">
        <v>46132</v>
      </c>
      <c r="D486" t="inlineStr">
        <is>
          <t>ÖREBRO LÄN</t>
        </is>
      </c>
      <c r="E486" t="inlineStr">
        <is>
          <t>LAXÅ</t>
        </is>
      </c>
      <c r="G486" t="n">
        <v>6.4</v>
      </c>
      <c r="H486" t="n">
        <v>0</v>
      </c>
      <c r="I486" t="n">
        <v>1</v>
      </c>
      <c r="J486" t="n">
        <v>0</v>
      </c>
      <c r="K486" t="n">
        <v>0</v>
      </c>
      <c r="L486" t="n">
        <v>0</v>
      </c>
      <c r="M486" t="n">
        <v>0</v>
      </c>
      <c r="N486" t="n">
        <v>0</v>
      </c>
      <c r="O486" t="n">
        <v>0</v>
      </c>
      <c r="P486" t="n">
        <v>0</v>
      </c>
      <c r="Q486" t="n">
        <v>1</v>
      </c>
      <c r="R486" s="2" t="inlineStr">
        <is>
          <t>Vedticka</t>
        </is>
      </c>
      <c r="S486">
        <f>HYPERLINK("https://klasma.github.io/Logging_1860/artfynd/A 35540-2023 artfynd.xlsx", "A 35540-2023")</f>
        <v/>
      </c>
      <c r="T486">
        <f>HYPERLINK("https://klasma.github.io/Logging_1860/kartor/A 35540-2023 karta.png", "A 35540-2023")</f>
        <v/>
      </c>
      <c r="V486">
        <f>HYPERLINK("https://klasma.github.io/Logging_1860/klagomål/A 35540-2023 FSC-klagomål.docx", "A 35540-2023")</f>
        <v/>
      </c>
      <c r="W486">
        <f>HYPERLINK("https://klasma.github.io/Logging_1860/klagomålsmail/A 35540-2023 FSC-klagomål mail.docx", "A 35540-2023")</f>
        <v/>
      </c>
      <c r="X486">
        <f>HYPERLINK("https://klasma.github.io/Logging_1860/tillsyn/A 35540-2023 tillsynsbegäran.docx", "A 35540-2023")</f>
        <v/>
      </c>
      <c r="Y486">
        <f>HYPERLINK("https://klasma.github.io/Logging_1860/tillsynsmail/A 35540-2023 tillsynsbegäran mail.docx", "A 35540-2023")</f>
        <v/>
      </c>
    </row>
    <row r="487" ht="15" customHeight="1">
      <c r="A487" t="inlineStr">
        <is>
          <t>A 43675-2024</t>
        </is>
      </c>
      <c r="B487" s="1" t="n">
        <v>45569</v>
      </c>
      <c r="C487" s="1" t="n">
        <v>46132</v>
      </c>
      <c r="D487" t="inlineStr">
        <is>
          <t>ÖREBRO LÄN</t>
        </is>
      </c>
      <c r="E487" t="inlineStr">
        <is>
          <t>LAXÅ</t>
        </is>
      </c>
      <c r="F487" t="inlineStr">
        <is>
          <t>Sveaskog</t>
        </is>
      </c>
      <c r="G487" t="n">
        <v>1.6</v>
      </c>
      <c r="H487" t="n">
        <v>1</v>
      </c>
      <c r="I487" t="n">
        <v>0</v>
      </c>
      <c r="J487" t="n">
        <v>0</v>
      </c>
      <c r="K487" t="n">
        <v>0</v>
      </c>
      <c r="L487" t="n">
        <v>0</v>
      </c>
      <c r="M487" t="n">
        <v>0</v>
      </c>
      <c r="N487" t="n">
        <v>0</v>
      </c>
      <c r="O487" t="n">
        <v>0</v>
      </c>
      <c r="P487" t="n">
        <v>0</v>
      </c>
      <c r="Q487" t="n">
        <v>1</v>
      </c>
      <c r="R487" s="2" t="inlineStr">
        <is>
          <t>Tjäder</t>
        </is>
      </c>
      <c r="S487">
        <f>HYPERLINK("https://klasma.github.io/Logging_1860/artfynd/A 43675-2024 artfynd.xlsx", "A 43675-2024")</f>
        <v/>
      </c>
      <c r="T487">
        <f>HYPERLINK("https://klasma.github.io/Logging_1860/kartor/A 43675-2024 karta.png", "A 43675-2024")</f>
        <v/>
      </c>
      <c r="V487">
        <f>HYPERLINK("https://klasma.github.io/Logging_1860/klagomål/A 43675-2024 FSC-klagomål.docx", "A 43675-2024")</f>
        <v/>
      </c>
      <c r="W487">
        <f>HYPERLINK("https://klasma.github.io/Logging_1860/klagomålsmail/A 43675-2024 FSC-klagomål mail.docx", "A 43675-2024")</f>
        <v/>
      </c>
      <c r="X487">
        <f>HYPERLINK("https://klasma.github.io/Logging_1860/tillsyn/A 43675-2024 tillsynsbegäran.docx", "A 43675-2024")</f>
        <v/>
      </c>
      <c r="Y487">
        <f>HYPERLINK("https://klasma.github.io/Logging_1860/tillsynsmail/A 43675-2024 tillsynsbegäran mail.docx", "A 43675-2024")</f>
        <v/>
      </c>
      <c r="Z487">
        <f>HYPERLINK("https://klasma.github.io/Logging_1860/fåglar/A 43675-2024 prioriterade fågelarter.docx", "A 43675-2024")</f>
        <v/>
      </c>
    </row>
    <row r="488" ht="15" customHeight="1">
      <c r="A488" t="inlineStr">
        <is>
          <t>A 60162-2022</t>
        </is>
      </c>
      <c r="B488" s="1" t="n">
        <v>44909</v>
      </c>
      <c r="C488" s="1" t="n">
        <v>46132</v>
      </c>
      <c r="D488" t="inlineStr">
        <is>
          <t>ÖREBRO LÄN</t>
        </is>
      </c>
      <c r="E488" t="inlineStr">
        <is>
          <t>HÄLLEFORS</t>
        </is>
      </c>
      <c r="G488" t="n">
        <v>5.2</v>
      </c>
      <c r="H488" t="n">
        <v>1</v>
      </c>
      <c r="I488" t="n">
        <v>0</v>
      </c>
      <c r="J488" t="n">
        <v>0</v>
      </c>
      <c r="K488" t="n">
        <v>0</v>
      </c>
      <c r="L488" t="n">
        <v>0</v>
      </c>
      <c r="M488" t="n">
        <v>0</v>
      </c>
      <c r="N488" t="n">
        <v>0</v>
      </c>
      <c r="O488" t="n">
        <v>0</v>
      </c>
      <c r="P488" t="n">
        <v>0</v>
      </c>
      <c r="Q488" t="n">
        <v>1</v>
      </c>
      <c r="R488" s="2" t="inlineStr">
        <is>
          <t>Revlummer</t>
        </is>
      </c>
      <c r="S488">
        <f>HYPERLINK("https://klasma.github.io/Logging_1863/artfynd/A 60162-2022 artfynd.xlsx", "A 60162-2022")</f>
        <v/>
      </c>
      <c r="T488">
        <f>HYPERLINK("https://klasma.github.io/Logging_1863/kartor/A 60162-2022 karta.png", "A 60162-2022")</f>
        <v/>
      </c>
      <c r="V488">
        <f>HYPERLINK("https://klasma.github.io/Logging_1863/klagomål/A 60162-2022 FSC-klagomål.docx", "A 60162-2022")</f>
        <v/>
      </c>
      <c r="W488">
        <f>HYPERLINK("https://klasma.github.io/Logging_1863/klagomålsmail/A 60162-2022 FSC-klagomål mail.docx", "A 60162-2022")</f>
        <v/>
      </c>
      <c r="X488">
        <f>HYPERLINK("https://klasma.github.io/Logging_1863/tillsyn/A 60162-2022 tillsynsbegäran.docx", "A 60162-2022")</f>
        <v/>
      </c>
      <c r="Y488">
        <f>HYPERLINK("https://klasma.github.io/Logging_1863/tillsynsmail/A 60162-2022 tillsynsbegäran mail.docx", "A 60162-2022")</f>
        <v/>
      </c>
    </row>
    <row r="489" ht="15" customHeight="1">
      <c r="A489" t="inlineStr">
        <is>
          <t>A 11637-2025</t>
        </is>
      </c>
      <c r="B489" s="1" t="n">
        <v>45727.46729166667</v>
      </c>
      <c r="C489" s="1" t="n">
        <v>46132</v>
      </c>
      <c r="D489" t="inlineStr">
        <is>
          <t>ÖREBRO LÄN</t>
        </is>
      </c>
      <c r="E489" t="inlineStr">
        <is>
          <t>LEKEBERG</t>
        </is>
      </c>
      <c r="F489" t="inlineStr">
        <is>
          <t>Sveaskog</t>
        </is>
      </c>
      <c r="G489" t="n">
        <v>2.1</v>
      </c>
      <c r="H489" t="n">
        <v>0</v>
      </c>
      <c r="I489" t="n">
        <v>0</v>
      </c>
      <c r="J489" t="n">
        <v>0</v>
      </c>
      <c r="K489" t="n">
        <v>0</v>
      </c>
      <c r="L489" t="n">
        <v>1</v>
      </c>
      <c r="M489" t="n">
        <v>0</v>
      </c>
      <c r="N489" t="n">
        <v>0</v>
      </c>
      <c r="O489" t="n">
        <v>1</v>
      </c>
      <c r="P489" t="n">
        <v>1</v>
      </c>
      <c r="Q489" t="n">
        <v>1</v>
      </c>
      <c r="R489" s="2" t="inlineStr">
        <is>
          <t>Ask</t>
        </is>
      </c>
      <c r="S489">
        <f>HYPERLINK("https://klasma.github.io/Logging_1814/artfynd/A 11637-2025 artfynd.xlsx", "A 11637-2025")</f>
        <v/>
      </c>
      <c r="T489">
        <f>HYPERLINK("https://klasma.github.io/Logging_1814/kartor/A 11637-2025 karta.png", "A 11637-2025")</f>
        <v/>
      </c>
      <c r="V489">
        <f>HYPERLINK("https://klasma.github.io/Logging_1814/klagomål/A 11637-2025 FSC-klagomål.docx", "A 11637-2025")</f>
        <v/>
      </c>
      <c r="W489">
        <f>HYPERLINK("https://klasma.github.io/Logging_1814/klagomålsmail/A 11637-2025 FSC-klagomål mail.docx", "A 11637-2025")</f>
        <v/>
      </c>
      <c r="X489">
        <f>HYPERLINK("https://klasma.github.io/Logging_1814/tillsyn/A 11637-2025 tillsynsbegäran.docx", "A 11637-2025")</f>
        <v/>
      </c>
      <c r="Y489">
        <f>HYPERLINK("https://klasma.github.io/Logging_1814/tillsynsmail/A 11637-2025 tillsynsbegäran mail.docx", "A 11637-2025")</f>
        <v/>
      </c>
    </row>
    <row r="490" ht="15" customHeight="1">
      <c r="A490" t="inlineStr">
        <is>
          <t>A 59657-2022</t>
        </is>
      </c>
      <c r="B490" s="1" t="n">
        <v>44908.25326388889</v>
      </c>
      <c r="C490" s="1" t="n">
        <v>46132</v>
      </c>
      <c r="D490" t="inlineStr">
        <is>
          <t>ÖREBRO LÄN</t>
        </is>
      </c>
      <c r="E490" t="inlineStr">
        <is>
          <t>LAXÅ</t>
        </is>
      </c>
      <c r="G490" t="n">
        <v>3.3</v>
      </c>
      <c r="H490" t="n">
        <v>0</v>
      </c>
      <c r="I490" t="n">
        <v>0</v>
      </c>
      <c r="J490" t="n">
        <v>1</v>
      </c>
      <c r="K490" t="n">
        <v>0</v>
      </c>
      <c r="L490" t="n">
        <v>0</v>
      </c>
      <c r="M490" t="n">
        <v>0</v>
      </c>
      <c r="N490" t="n">
        <v>0</v>
      </c>
      <c r="O490" t="n">
        <v>1</v>
      </c>
      <c r="P490" t="n">
        <v>0</v>
      </c>
      <c r="Q490" t="n">
        <v>1</v>
      </c>
      <c r="R490" s="2" t="inlineStr">
        <is>
          <t>Svinrot</t>
        </is>
      </c>
      <c r="S490">
        <f>HYPERLINK("https://klasma.github.io/Logging_1860/artfynd/A 59657-2022 artfynd.xlsx", "A 59657-2022")</f>
        <v/>
      </c>
      <c r="T490">
        <f>HYPERLINK("https://klasma.github.io/Logging_1860/kartor/A 59657-2022 karta.png", "A 59657-2022")</f>
        <v/>
      </c>
      <c r="V490">
        <f>HYPERLINK("https://klasma.github.io/Logging_1860/klagomål/A 59657-2022 FSC-klagomål.docx", "A 59657-2022")</f>
        <v/>
      </c>
      <c r="W490">
        <f>HYPERLINK("https://klasma.github.io/Logging_1860/klagomålsmail/A 59657-2022 FSC-klagomål mail.docx", "A 59657-2022")</f>
        <v/>
      </c>
      <c r="X490">
        <f>HYPERLINK("https://klasma.github.io/Logging_1860/tillsyn/A 59657-2022 tillsynsbegäran.docx", "A 59657-2022")</f>
        <v/>
      </c>
      <c r="Y490">
        <f>HYPERLINK("https://klasma.github.io/Logging_1860/tillsynsmail/A 59657-2022 tillsynsbegäran mail.docx", "A 59657-2022")</f>
        <v/>
      </c>
    </row>
    <row r="491" ht="15" customHeight="1">
      <c r="A491" t="inlineStr">
        <is>
          <t>A 290-2025</t>
        </is>
      </c>
      <c r="B491" s="1" t="n">
        <v>45656</v>
      </c>
      <c r="C491" s="1" t="n">
        <v>46132</v>
      </c>
      <c r="D491" t="inlineStr">
        <is>
          <t>ÖREBRO LÄN</t>
        </is>
      </c>
      <c r="E491" t="inlineStr">
        <is>
          <t>LEKEBERG</t>
        </is>
      </c>
      <c r="G491" t="n">
        <v>3.9</v>
      </c>
      <c r="H491" t="n">
        <v>0</v>
      </c>
      <c r="I491" t="n">
        <v>1</v>
      </c>
      <c r="J491" t="n">
        <v>0</v>
      </c>
      <c r="K491" t="n">
        <v>0</v>
      </c>
      <c r="L491" t="n">
        <v>0</v>
      </c>
      <c r="M491" t="n">
        <v>0</v>
      </c>
      <c r="N491" t="n">
        <v>0</v>
      </c>
      <c r="O491" t="n">
        <v>0</v>
      </c>
      <c r="P491" t="n">
        <v>0</v>
      </c>
      <c r="Q491" t="n">
        <v>1</v>
      </c>
      <c r="R491" s="2" t="inlineStr">
        <is>
          <t>Brandticka</t>
        </is>
      </c>
      <c r="S491">
        <f>HYPERLINK("https://klasma.github.io/Logging_1814/artfynd/A 290-2025 artfynd.xlsx", "A 290-2025")</f>
        <v/>
      </c>
      <c r="T491">
        <f>HYPERLINK("https://klasma.github.io/Logging_1814/kartor/A 290-2025 karta.png", "A 290-2025")</f>
        <v/>
      </c>
      <c r="V491">
        <f>HYPERLINK("https://klasma.github.io/Logging_1814/klagomål/A 290-2025 FSC-klagomål.docx", "A 290-2025")</f>
        <v/>
      </c>
      <c r="W491">
        <f>HYPERLINK("https://klasma.github.io/Logging_1814/klagomålsmail/A 290-2025 FSC-klagomål mail.docx", "A 290-2025")</f>
        <v/>
      </c>
      <c r="X491">
        <f>HYPERLINK("https://klasma.github.io/Logging_1814/tillsyn/A 290-2025 tillsynsbegäran.docx", "A 290-2025")</f>
        <v/>
      </c>
      <c r="Y491">
        <f>HYPERLINK("https://klasma.github.io/Logging_1814/tillsynsmail/A 290-2025 tillsynsbegäran mail.docx", "A 290-2025")</f>
        <v/>
      </c>
    </row>
    <row r="492" ht="15" customHeight="1">
      <c r="A492" t="inlineStr">
        <is>
          <t>A 28821-2024</t>
        </is>
      </c>
      <c r="B492" s="1" t="n">
        <v>45478.65488425926</v>
      </c>
      <c r="C492" s="1" t="n">
        <v>46132</v>
      </c>
      <c r="D492" t="inlineStr">
        <is>
          <t>ÖREBRO LÄN</t>
        </is>
      </c>
      <c r="E492" t="inlineStr">
        <is>
          <t>LEKEBERG</t>
        </is>
      </c>
      <c r="F492" t="inlineStr">
        <is>
          <t>Sveaskog</t>
        </is>
      </c>
      <c r="G492" t="n">
        <v>4.7</v>
      </c>
      <c r="H492" t="n">
        <v>0</v>
      </c>
      <c r="I492" t="n">
        <v>1</v>
      </c>
      <c r="J492" t="n">
        <v>0</v>
      </c>
      <c r="K492" t="n">
        <v>0</v>
      </c>
      <c r="L492" t="n">
        <v>0</v>
      </c>
      <c r="M492" t="n">
        <v>0</v>
      </c>
      <c r="N492" t="n">
        <v>0</v>
      </c>
      <c r="O492" t="n">
        <v>0</v>
      </c>
      <c r="P492" t="n">
        <v>0</v>
      </c>
      <c r="Q492" t="n">
        <v>1</v>
      </c>
      <c r="R492" s="2" t="inlineStr">
        <is>
          <t>Blåmossa</t>
        </is>
      </c>
      <c r="S492">
        <f>HYPERLINK("https://klasma.github.io/Logging_1814/artfynd/A 28821-2024 artfynd.xlsx", "A 28821-2024")</f>
        <v/>
      </c>
      <c r="T492">
        <f>HYPERLINK("https://klasma.github.io/Logging_1814/kartor/A 28821-2024 karta.png", "A 28821-2024")</f>
        <v/>
      </c>
      <c r="V492">
        <f>HYPERLINK("https://klasma.github.io/Logging_1814/klagomål/A 28821-2024 FSC-klagomål.docx", "A 28821-2024")</f>
        <v/>
      </c>
      <c r="W492">
        <f>HYPERLINK("https://klasma.github.io/Logging_1814/klagomålsmail/A 28821-2024 FSC-klagomål mail.docx", "A 28821-2024")</f>
        <v/>
      </c>
      <c r="X492">
        <f>HYPERLINK("https://klasma.github.io/Logging_1814/tillsyn/A 28821-2024 tillsynsbegäran.docx", "A 28821-2024")</f>
        <v/>
      </c>
      <c r="Y492">
        <f>HYPERLINK("https://klasma.github.io/Logging_1814/tillsynsmail/A 28821-2024 tillsynsbegäran mail.docx", "A 28821-2024")</f>
        <v/>
      </c>
    </row>
    <row r="493" ht="15" customHeight="1">
      <c r="A493" t="inlineStr">
        <is>
          <t>A 20659-2025</t>
        </is>
      </c>
      <c r="B493" s="1" t="n">
        <v>45776.41106481481</v>
      </c>
      <c r="C493" s="1" t="n">
        <v>46132</v>
      </c>
      <c r="D493" t="inlineStr">
        <is>
          <t>ÖREBRO LÄN</t>
        </is>
      </c>
      <c r="E493" t="inlineStr">
        <is>
          <t>NORA</t>
        </is>
      </c>
      <c r="G493" t="n">
        <v>11.1</v>
      </c>
      <c r="H493" t="n">
        <v>1</v>
      </c>
      <c r="I493" t="n">
        <v>0</v>
      </c>
      <c r="J493" t="n">
        <v>0</v>
      </c>
      <c r="K493" t="n">
        <v>0</v>
      </c>
      <c r="L493" t="n">
        <v>0</v>
      </c>
      <c r="M493" t="n">
        <v>0</v>
      </c>
      <c r="N493" t="n">
        <v>0</v>
      </c>
      <c r="O493" t="n">
        <v>0</v>
      </c>
      <c r="P493" t="n">
        <v>0</v>
      </c>
      <c r="Q493" t="n">
        <v>1</v>
      </c>
      <c r="R493" s="2" t="inlineStr">
        <is>
          <t>Fläcknycklar</t>
        </is>
      </c>
      <c r="S493">
        <f>HYPERLINK("https://klasma.github.io/Logging_1884/artfynd/A 20659-2025 artfynd.xlsx", "A 20659-2025")</f>
        <v/>
      </c>
      <c r="T493">
        <f>HYPERLINK("https://klasma.github.io/Logging_1884/kartor/A 20659-2025 karta.png", "A 20659-2025")</f>
        <v/>
      </c>
      <c r="V493">
        <f>HYPERLINK("https://klasma.github.io/Logging_1884/klagomål/A 20659-2025 FSC-klagomål.docx", "A 20659-2025")</f>
        <v/>
      </c>
      <c r="W493">
        <f>HYPERLINK("https://klasma.github.io/Logging_1884/klagomålsmail/A 20659-2025 FSC-klagomål mail.docx", "A 20659-2025")</f>
        <v/>
      </c>
      <c r="X493">
        <f>HYPERLINK("https://klasma.github.io/Logging_1884/tillsyn/A 20659-2025 tillsynsbegäran.docx", "A 20659-2025")</f>
        <v/>
      </c>
      <c r="Y493">
        <f>HYPERLINK("https://klasma.github.io/Logging_1884/tillsynsmail/A 20659-2025 tillsynsbegäran mail.docx", "A 20659-2025")</f>
        <v/>
      </c>
    </row>
    <row r="494" ht="15" customHeight="1">
      <c r="A494" t="inlineStr">
        <is>
          <t>A 50772-2022</t>
        </is>
      </c>
      <c r="B494" s="1" t="n">
        <v>44867.42917824074</v>
      </c>
      <c r="C494" s="1" t="n">
        <v>46132</v>
      </c>
      <c r="D494" t="inlineStr">
        <is>
          <t>ÖREBRO LÄN</t>
        </is>
      </c>
      <c r="E494" t="inlineStr">
        <is>
          <t>LAXÅ</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36798-2022</t>
        </is>
      </c>
      <c r="B495" s="1" t="n">
        <v>44805</v>
      </c>
      <c r="C495" s="1" t="n">
        <v>46132</v>
      </c>
      <c r="D495" t="inlineStr">
        <is>
          <t>ÖREBRO LÄN</t>
        </is>
      </c>
      <c r="E495" t="inlineStr">
        <is>
          <t>DEGERFORS</t>
        </is>
      </c>
      <c r="G495" t="n">
        <v>1.1</v>
      </c>
      <c r="H495" t="n">
        <v>0</v>
      </c>
      <c r="I495" t="n">
        <v>0</v>
      </c>
      <c r="J495" t="n">
        <v>0</v>
      </c>
      <c r="K495" t="n">
        <v>0</v>
      </c>
      <c r="L495" t="n">
        <v>0</v>
      </c>
      <c r="M495" t="n">
        <v>0</v>
      </c>
      <c r="N495" t="n">
        <v>0</v>
      </c>
      <c r="O495" t="n">
        <v>0</v>
      </c>
      <c r="P495" t="n">
        <v>0</v>
      </c>
      <c r="Q495" t="n">
        <v>0</v>
      </c>
      <c r="R495" s="2" t="inlineStr"/>
    </row>
    <row r="496" ht="15" customHeight="1">
      <c r="A496" t="inlineStr">
        <is>
          <t>A 53165-2022</t>
        </is>
      </c>
      <c r="B496" s="1" t="n">
        <v>44876.5034375</v>
      </c>
      <c r="C496" s="1" t="n">
        <v>46132</v>
      </c>
      <c r="D496" t="inlineStr">
        <is>
          <t>ÖREBRO LÄN</t>
        </is>
      </c>
      <c r="E496" t="inlineStr">
        <is>
          <t>NORA</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23606-2021</t>
        </is>
      </c>
      <c r="B497" s="1" t="n">
        <v>44334</v>
      </c>
      <c r="C497" s="1" t="n">
        <v>46132</v>
      </c>
      <c r="D497" t="inlineStr">
        <is>
          <t>ÖREBRO LÄN</t>
        </is>
      </c>
      <c r="E497" t="inlineStr">
        <is>
          <t>ÖREBRO</t>
        </is>
      </c>
      <c r="G497" t="n">
        <v>2.4</v>
      </c>
      <c r="H497" t="n">
        <v>0</v>
      </c>
      <c r="I497" t="n">
        <v>0</v>
      </c>
      <c r="J497" t="n">
        <v>0</v>
      </c>
      <c r="K497" t="n">
        <v>0</v>
      </c>
      <c r="L497" t="n">
        <v>0</v>
      </c>
      <c r="M497" t="n">
        <v>0</v>
      </c>
      <c r="N497" t="n">
        <v>0</v>
      </c>
      <c r="O497" t="n">
        <v>0</v>
      </c>
      <c r="P497" t="n">
        <v>0</v>
      </c>
      <c r="Q497" t="n">
        <v>0</v>
      </c>
      <c r="R497" s="2" t="inlineStr"/>
    </row>
    <row r="498" ht="15" customHeight="1">
      <c r="A498" t="inlineStr">
        <is>
          <t>A 48296-2021</t>
        </is>
      </c>
      <c r="B498" s="1" t="n">
        <v>44449.96079861111</v>
      </c>
      <c r="C498" s="1" t="n">
        <v>46132</v>
      </c>
      <c r="D498" t="inlineStr">
        <is>
          <t>ÖREBRO LÄN</t>
        </is>
      </c>
      <c r="E498" t="inlineStr">
        <is>
          <t>LEKEBERG</t>
        </is>
      </c>
      <c r="G498" t="n">
        <v>1.6</v>
      </c>
      <c r="H498" t="n">
        <v>0</v>
      </c>
      <c r="I498" t="n">
        <v>0</v>
      </c>
      <c r="J498" t="n">
        <v>0</v>
      </c>
      <c r="K498" t="n">
        <v>0</v>
      </c>
      <c r="L498" t="n">
        <v>0</v>
      </c>
      <c r="M498" t="n">
        <v>0</v>
      </c>
      <c r="N498" t="n">
        <v>0</v>
      </c>
      <c r="O498" t="n">
        <v>0</v>
      </c>
      <c r="P498" t="n">
        <v>0</v>
      </c>
      <c r="Q498" t="n">
        <v>0</v>
      </c>
      <c r="R498" s="2" t="inlineStr"/>
    </row>
    <row r="499" ht="15" customHeight="1">
      <c r="A499" t="inlineStr">
        <is>
          <t>A 56049-2022</t>
        </is>
      </c>
      <c r="B499" s="1" t="n">
        <v>44889.5746875</v>
      </c>
      <c r="C499" s="1" t="n">
        <v>46132</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33865-2021</t>
        </is>
      </c>
      <c r="B500" s="1" t="n">
        <v>44378.62756944444</v>
      </c>
      <c r="C500" s="1" t="n">
        <v>46132</v>
      </c>
      <c r="D500" t="inlineStr">
        <is>
          <t>ÖREBRO LÄN</t>
        </is>
      </c>
      <c r="E500" t="inlineStr">
        <is>
          <t>ÖREBRO</t>
        </is>
      </c>
      <c r="F500" t="inlineStr">
        <is>
          <t>Kommuner</t>
        </is>
      </c>
      <c r="G500" t="n">
        <v>2.8</v>
      </c>
      <c r="H500" t="n">
        <v>0</v>
      </c>
      <c r="I500" t="n">
        <v>0</v>
      </c>
      <c r="J500" t="n">
        <v>0</v>
      </c>
      <c r="K500" t="n">
        <v>0</v>
      </c>
      <c r="L500" t="n">
        <v>0</v>
      </c>
      <c r="M500" t="n">
        <v>0</v>
      </c>
      <c r="N500" t="n">
        <v>0</v>
      </c>
      <c r="O500" t="n">
        <v>0</v>
      </c>
      <c r="P500" t="n">
        <v>0</v>
      </c>
      <c r="Q500" t="n">
        <v>0</v>
      </c>
      <c r="R500" s="2" t="inlineStr"/>
    </row>
    <row r="501" ht="15" customHeight="1">
      <c r="A501" t="inlineStr">
        <is>
          <t>A 31050-2021</t>
        </is>
      </c>
      <c r="B501" s="1" t="n">
        <v>44368</v>
      </c>
      <c r="C501" s="1" t="n">
        <v>46132</v>
      </c>
      <c r="D501" t="inlineStr">
        <is>
          <t>ÖREBRO LÄN</t>
        </is>
      </c>
      <c r="E501" t="inlineStr">
        <is>
          <t>LJUSNARSBERG</t>
        </is>
      </c>
      <c r="G501" t="n">
        <v>5</v>
      </c>
      <c r="H501" t="n">
        <v>0</v>
      </c>
      <c r="I501" t="n">
        <v>0</v>
      </c>
      <c r="J501" t="n">
        <v>0</v>
      </c>
      <c r="K501" t="n">
        <v>0</v>
      </c>
      <c r="L501" t="n">
        <v>0</v>
      </c>
      <c r="M501" t="n">
        <v>0</v>
      </c>
      <c r="N501" t="n">
        <v>0</v>
      </c>
      <c r="O501" t="n">
        <v>0</v>
      </c>
      <c r="P501" t="n">
        <v>0</v>
      </c>
      <c r="Q501" t="n">
        <v>0</v>
      </c>
      <c r="R501" s="2" t="inlineStr"/>
    </row>
    <row r="502" ht="15" customHeight="1">
      <c r="A502" t="inlineStr">
        <is>
          <t>A 21539-2021</t>
        </is>
      </c>
      <c r="B502" s="1" t="n">
        <v>44321.59518518519</v>
      </c>
      <c r="C502" s="1" t="n">
        <v>46132</v>
      </c>
      <c r="D502" t="inlineStr">
        <is>
          <t>ÖREBRO LÄN</t>
        </is>
      </c>
      <c r="E502" t="inlineStr">
        <is>
          <t>LAXÅ</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60240-2021</t>
        </is>
      </c>
      <c r="B503" s="1" t="n">
        <v>44495</v>
      </c>
      <c r="C503" s="1" t="n">
        <v>46132</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64400-2021</t>
        </is>
      </c>
      <c r="B504" s="1" t="n">
        <v>44511</v>
      </c>
      <c r="C504" s="1" t="n">
        <v>46132</v>
      </c>
      <c r="D504" t="inlineStr">
        <is>
          <t>ÖREBRO LÄN</t>
        </is>
      </c>
      <c r="E504" t="inlineStr">
        <is>
          <t>LJUSNARSBERG</t>
        </is>
      </c>
      <c r="G504" t="n">
        <v>0.6</v>
      </c>
      <c r="H504" t="n">
        <v>0</v>
      </c>
      <c r="I504" t="n">
        <v>0</v>
      </c>
      <c r="J504" t="n">
        <v>0</v>
      </c>
      <c r="K504" t="n">
        <v>0</v>
      </c>
      <c r="L504" t="n">
        <v>0</v>
      </c>
      <c r="M504" t="n">
        <v>0</v>
      </c>
      <c r="N504" t="n">
        <v>0</v>
      </c>
      <c r="O504" t="n">
        <v>0</v>
      </c>
      <c r="P504" t="n">
        <v>0</v>
      </c>
      <c r="Q504" t="n">
        <v>0</v>
      </c>
      <c r="R504" s="2" t="inlineStr"/>
    </row>
    <row r="505" ht="15" customHeight="1">
      <c r="A505" t="inlineStr">
        <is>
          <t>A 58462-2021</t>
        </is>
      </c>
      <c r="B505" s="1" t="n">
        <v>44488</v>
      </c>
      <c r="C505" s="1" t="n">
        <v>46132</v>
      </c>
      <c r="D505" t="inlineStr">
        <is>
          <t>ÖREBRO LÄN</t>
        </is>
      </c>
      <c r="E505" t="inlineStr">
        <is>
          <t>HALLSBERG</t>
        </is>
      </c>
      <c r="G505" t="n">
        <v>2.9</v>
      </c>
      <c r="H505" t="n">
        <v>0</v>
      </c>
      <c r="I505" t="n">
        <v>0</v>
      </c>
      <c r="J505" t="n">
        <v>0</v>
      </c>
      <c r="K505" t="n">
        <v>0</v>
      </c>
      <c r="L505" t="n">
        <v>0</v>
      </c>
      <c r="M505" t="n">
        <v>0</v>
      </c>
      <c r="N505" t="n">
        <v>0</v>
      </c>
      <c r="O505" t="n">
        <v>0</v>
      </c>
      <c r="P505" t="n">
        <v>0</v>
      </c>
      <c r="Q505" t="n">
        <v>0</v>
      </c>
      <c r="R505" s="2" t="inlineStr"/>
    </row>
    <row r="506" ht="15" customHeight="1">
      <c r="A506" t="inlineStr">
        <is>
          <t>A 70289-2021</t>
        </is>
      </c>
      <c r="B506" s="1" t="n">
        <v>44536</v>
      </c>
      <c r="C506" s="1" t="n">
        <v>46132</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22964-2021</t>
        </is>
      </c>
      <c r="B507" s="1" t="n">
        <v>44328</v>
      </c>
      <c r="C507" s="1" t="n">
        <v>46132</v>
      </c>
      <c r="D507" t="inlineStr">
        <is>
          <t>ÖREBRO LÄN</t>
        </is>
      </c>
      <c r="E507" t="inlineStr">
        <is>
          <t>LAXÅ</t>
        </is>
      </c>
      <c r="G507" t="n">
        <v>6.3</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46132</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53299-2021</t>
        </is>
      </c>
      <c r="B509" s="1" t="n">
        <v>44467</v>
      </c>
      <c r="C509" s="1" t="n">
        <v>46132</v>
      </c>
      <c r="D509" t="inlineStr">
        <is>
          <t>ÖREBRO LÄN</t>
        </is>
      </c>
      <c r="E509" t="inlineStr">
        <is>
          <t>LEKEBERG</t>
        </is>
      </c>
      <c r="F509" t="inlineStr">
        <is>
          <t>Naturvårdsverket</t>
        </is>
      </c>
      <c r="G509" t="n">
        <v>6</v>
      </c>
      <c r="H509" t="n">
        <v>0</v>
      </c>
      <c r="I509" t="n">
        <v>0</v>
      </c>
      <c r="J509" t="n">
        <v>0</v>
      </c>
      <c r="K509" t="n">
        <v>0</v>
      </c>
      <c r="L509" t="n">
        <v>0</v>
      </c>
      <c r="M509" t="n">
        <v>0</v>
      </c>
      <c r="N509" t="n">
        <v>0</v>
      </c>
      <c r="O509" t="n">
        <v>0</v>
      </c>
      <c r="P509" t="n">
        <v>0</v>
      </c>
      <c r="Q509" t="n">
        <v>0</v>
      </c>
      <c r="R509" s="2" t="inlineStr"/>
    </row>
    <row r="510" ht="15" customHeight="1">
      <c r="A510" t="inlineStr">
        <is>
          <t>A 39057-2021</t>
        </is>
      </c>
      <c r="B510" s="1" t="n">
        <v>44412.54666666667</v>
      </c>
      <c r="C510" s="1" t="n">
        <v>46132</v>
      </c>
      <c r="D510" t="inlineStr">
        <is>
          <t>ÖREBRO LÄN</t>
        </is>
      </c>
      <c r="E510" t="inlineStr">
        <is>
          <t>HALLSBERG</t>
        </is>
      </c>
      <c r="G510" t="n">
        <v>1</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46132</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68859-2021</t>
        </is>
      </c>
      <c r="B512" s="1" t="n">
        <v>44530.40655092592</v>
      </c>
      <c r="C512" s="1" t="n">
        <v>46132</v>
      </c>
      <c r="D512" t="inlineStr">
        <is>
          <t>ÖREBRO LÄN</t>
        </is>
      </c>
      <c r="E512" t="inlineStr">
        <is>
          <t>ASKERSUND</t>
        </is>
      </c>
      <c r="G512" t="n">
        <v>2.1</v>
      </c>
      <c r="H512" t="n">
        <v>0</v>
      </c>
      <c r="I512" t="n">
        <v>0</v>
      </c>
      <c r="J512" t="n">
        <v>0</v>
      </c>
      <c r="K512" t="n">
        <v>0</v>
      </c>
      <c r="L512" t="n">
        <v>0</v>
      </c>
      <c r="M512" t="n">
        <v>0</v>
      </c>
      <c r="N512" t="n">
        <v>0</v>
      </c>
      <c r="O512" t="n">
        <v>0</v>
      </c>
      <c r="P512" t="n">
        <v>0</v>
      </c>
      <c r="Q512" t="n">
        <v>0</v>
      </c>
      <c r="R512" s="2" t="inlineStr"/>
    </row>
    <row r="513" ht="15" customHeight="1">
      <c r="A513" t="inlineStr">
        <is>
          <t>A 40980-2021</t>
        </is>
      </c>
      <c r="B513" s="1" t="n">
        <v>44421.6018287037</v>
      </c>
      <c r="C513" s="1" t="n">
        <v>46132</v>
      </c>
      <c r="D513" t="inlineStr">
        <is>
          <t>ÖREBRO LÄN</t>
        </is>
      </c>
      <c r="E513" t="inlineStr">
        <is>
          <t>LAXÅ</t>
        </is>
      </c>
      <c r="G513" t="n">
        <v>1.7</v>
      </c>
      <c r="H513" t="n">
        <v>0</v>
      </c>
      <c r="I513" t="n">
        <v>0</v>
      </c>
      <c r="J513" t="n">
        <v>0</v>
      </c>
      <c r="K513" t="n">
        <v>0</v>
      </c>
      <c r="L513" t="n">
        <v>0</v>
      </c>
      <c r="M513" t="n">
        <v>0</v>
      </c>
      <c r="N513" t="n">
        <v>0</v>
      </c>
      <c r="O513" t="n">
        <v>0</v>
      </c>
      <c r="P513" t="n">
        <v>0</v>
      </c>
      <c r="Q513" t="n">
        <v>0</v>
      </c>
      <c r="R513" s="2" t="inlineStr"/>
    </row>
    <row r="514" ht="15" customHeight="1">
      <c r="A514" t="inlineStr">
        <is>
          <t>A 51186-2021</t>
        </is>
      </c>
      <c r="B514" s="1" t="n">
        <v>44461.47859953704</v>
      </c>
      <c r="C514" s="1" t="n">
        <v>46132</v>
      </c>
      <c r="D514" t="inlineStr">
        <is>
          <t>ÖREBRO LÄN</t>
        </is>
      </c>
      <c r="E514" t="inlineStr">
        <is>
          <t>ASKERSUND</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38359-2022</t>
        </is>
      </c>
      <c r="B515" s="1" t="n">
        <v>44812</v>
      </c>
      <c r="C515" s="1" t="n">
        <v>46132</v>
      </c>
      <c r="D515" t="inlineStr">
        <is>
          <t>ÖREBRO LÄN</t>
        </is>
      </c>
      <c r="E515" t="inlineStr">
        <is>
          <t>ASKERSUND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73701-2021</t>
        </is>
      </c>
      <c r="B516" s="1" t="n">
        <v>44552.49849537037</v>
      </c>
      <c r="C516" s="1" t="n">
        <v>46132</v>
      </c>
      <c r="D516" t="inlineStr">
        <is>
          <t>ÖREBRO LÄN</t>
        </is>
      </c>
      <c r="E516" t="inlineStr">
        <is>
          <t>KARLSKOGA</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29560-2021</t>
        </is>
      </c>
      <c r="B517" s="1" t="n">
        <v>44361.89840277778</v>
      </c>
      <c r="C517" s="1" t="n">
        <v>46132</v>
      </c>
      <c r="D517" t="inlineStr">
        <is>
          <t>ÖREBRO LÄN</t>
        </is>
      </c>
      <c r="E517" t="inlineStr">
        <is>
          <t>LAXÅ</t>
        </is>
      </c>
      <c r="G517" t="n">
        <v>3.4</v>
      </c>
      <c r="H517" t="n">
        <v>0</v>
      </c>
      <c r="I517" t="n">
        <v>0</v>
      </c>
      <c r="J517" t="n">
        <v>0</v>
      </c>
      <c r="K517" t="n">
        <v>0</v>
      </c>
      <c r="L517" t="n">
        <v>0</v>
      </c>
      <c r="M517" t="n">
        <v>0</v>
      </c>
      <c r="N517" t="n">
        <v>0</v>
      </c>
      <c r="O517" t="n">
        <v>0</v>
      </c>
      <c r="P517" t="n">
        <v>0</v>
      </c>
      <c r="Q517" t="n">
        <v>0</v>
      </c>
      <c r="R517" s="2" t="inlineStr"/>
    </row>
    <row r="518" ht="15" customHeight="1">
      <c r="A518" t="inlineStr">
        <is>
          <t>A 67298-2021</t>
        </is>
      </c>
      <c r="B518" s="1" t="n">
        <v>44523</v>
      </c>
      <c r="C518" s="1" t="n">
        <v>46132</v>
      </c>
      <c r="D518" t="inlineStr">
        <is>
          <t>ÖREBRO LÄN</t>
        </is>
      </c>
      <c r="E518" t="inlineStr">
        <is>
          <t>NORA</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70540-2021</t>
        </is>
      </c>
      <c r="B519" s="1" t="n">
        <v>44537</v>
      </c>
      <c r="C519" s="1" t="n">
        <v>46132</v>
      </c>
      <c r="D519" t="inlineStr">
        <is>
          <t>ÖREBRO LÄN</t>
        </is>
      </c>
      <c r="E519" t="inlineStr">
        <is>
          <t>ÖREBRO</t>
        </is>
      </c>
      <c r="G519" t="n">
        <v>7.1</v>
      </c>
      <c r="H519" t="n">
        <v>0</v>
      </c>
      <c r="I519" t="n">
        <v>0</v>
      </c>
      <c r="J519" t="n">
        <v>0</v>
      </c>
      <c r="K519" t="n">
        <v>0</v>
      </c>
      <c r="L519" t="n">
        <v>0</v>
      </c>
      <c r="M519" t="n">
        <v>0</v>
      </c>
      <c r="N519" t="n">
        <v>0</v>
      </c>
      <c r="O519" t="n">
        <v>0</v>
      </c>
      <c r="P519" t="n">
        <v>0</v>
      </c>
      <c r="Q519" t="n">
        <v>0</v>
      </c>
      <c r="R519" s="2" t="inlineStr"/>
    </row>
    <row r="520" ht="15" customHeight="1">
      <c r="A520" t="inlineStr">
        <is>
          <t>A 66235-2021</t>
        </is>
      </c>
      <c r="B520" s="1" t="n">
        <v>44518</v>
      </c>
      <c r="C520" s="1" t="n">
        <v>46132</v>
      </c>
      <c r="D520" t="inlineStr">
        <is>
          <t>ÖREBRO LÄN</t>
        </is>
      </c>
      <c r="E520" t="inlineStr">
        <is>
          <t>ASKERSUND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20354-2022</t>
        </is>
      </c>
      <c r="B521" s="1" t="n">
        <v>44699</v>
      </c>
      <c r="C521" s="1" t="n">
        <v>46132</v>
      </c>
      <c r="D521" t="inlineStr">
        <is>
          <t>ÖREBRO LÄN</t>
        </is>
      </c>
      <c r="E521" t="inlineStr">
        <is>
          <t>HÄLLEFORS</t>
        </is>
      </c>
      <c r="G521" t="n">
        <v>0.8</v>
      </c>
      <c r="H521" t="n">
        <v>0</v>
      </c>
      <c r="I521" t="n">
        <v>0</v>
      </c>
      <c r="J521" t="n">
        <v>0</v>
      </c>
      <c r="K521" t="n">
        <v>0</v>
      </c>
      <c r="L521" t="n">
        <v>0</v>
      </c>
      <c r="M521" t="n">
        <v>0</v>
      </c>
      <c r="N521" t="n">
        <v>0</v>
      </c>
      <c r="O521" t="n">
        <v>0</v>
      </c>
      <c r="P521" t="n">
        <v>0</v>
      </c>
      <c r="Q521" t="n">
        <v>0</v>
      </c>
      <c r="R521" s="2" t="inlineStr"/>
    </row>
    <row r="522" ht="15" customHeight="1">
      <c r="A522" t="inlineStr">
        <is>
          <t>A 35303-2022</t>
        </is>
      </c>
      <c r="B522" s="1" t="n">
        <v>44798</v>
      </c>
      <c r="C522" s="1" t="n">
        <v>46132</v>
      </c>
      <c r="D522" t="inlineStr">
        <is>
          <t>ÖREBRO LÄN</t>
        </is>
      </c>
      <c r="E522" t="inlineStr">
        <is>
          <t>ASKERSUND</t>
        </is>
      </c>
      <c r="G522" t="n">
        <v>4.4</v>
      </c>
      <c r="H522" t="n">
        <v>0</v>
      </c>
      <c r="I522" t="n">
        <v>0</v>
      </c>
      <c r="J522" t="n">
        <v>0</v>
      </c>
      <c r="K522" t="n">
        <v>0</v>
      </c>
      <c r="L522" t="n">
        <v>0</v>
      </c>
      <c r="M522" t="n">
        <v>0</v>
      </c>
      <c r="N522" t="n">
        <v>0</v>
      </c>
      <c r="O522" t="n">
        <v>0</v>
      </c>
      <c r="P522" t="n">
        <v>0</v>
      </c>
      <c r="Q522" t="n">
        <v>0</v>
      </c>
      <c r="R522" s="2" t="inlineStr"/>
    </row>
    <row r="523" ht="15" customHeight="1">
      <c r="A523" t="inlineStr">
        <is>
          <t>A 47336-2021</t>
        </is>
      </c>
      <c r="B523" s="1" t="n">
        <v>44447.51184027778</v>
      </c>
      <c r="C523" s="1" t="n">
        <v>46132</v>
      </c>
      <c r="D523" t="inlineStr">
        <is>
          <t>ÖREBRO LÄN</t>
        </is>
      </c>
      <c r="E523" t="inlineStr">
        <is>
          <t>LINDESBERG</t>
        </is>
      </c>
      <c r="F523" t="inlineStr">
        <is>
          <t>Kommuner</t>
        </is>
      </c>
      <c r="G523" t="n">
        <v>3.6</v>
      </c>
      <c r="H523" t="n">
        <v>0</v>
      </c>
      <c r="I523" t="n">
        <v>0</v>
      </c>
      <c r="J523" t="n">
        <v>0</v>
      </c>
      <c r="K523" t="n">
        <v>0</v>
      </c>
      <c r="L523" t="n">
        <v>0</v>
      </c>
      <c r="M523" t="n">
        <v>0</v>
      </c>
      <c r="N523" t="n">
        <v>0</v>
      </c>
      <c r="O523" t="n">
        <v>0</v>
      </c>
      <c r="P523" t="n">
        <v>0</v>
      </c>
      <c r="Q523" t="n">
        <v>0</v>
      </c>
      <c r="R523" s="2" t="inlineStr"/>
    </row>
    <row r="524" ht="15" customHeight="1">
      <c r="A524" t="inlineStr">
        <is>
          <t>A 23700-2022</t>
        </is>
      </c>
      <c r="B524" s="1" t="n">
        <v>44721</v>
      </c>
      <c r="C524" s="1" t="n">
        <v>46132</v>
      </c>
      <c r="D524" t="inlineStr">
        <is>
          <t>ÖREBRO LÄN</t>
        </is>
      </c>
      <c r="E524" t="inlineStr">
        <is>
          <t>ASKERSUND</t>
        </is>
      </c>
      <c r="G524" t="n">
        <v>2.6</v>
      </c>
      <c r="H524" t="n">
        <v>0</v>
      </c>
      <c r="I524" t="n">
        <v>0</v>
      </c>
      <c r="J524" t="n">
        <v>0</v>
      </c>
      <c r="K524" t="n">
        <v>0</v>
      </c>
      <c r="L524" t="n">
        <v>0</v>
      </c>
      <c r="M524" t="n">
        <v>0</v>
      </c>
      <c r="N524" t="n">
        <v>0</v>
      </c>
      <c r="O524" t="n">
        <v>0</v>
      </c>
      <c r="P524" t="n">
        <v>0</v>
      </c>
      <c r="Q524" t="n">
        <v>0</v>
      </c>
      <c r="R524" s="2" t="inlineStr"/>
    </row>
    <row r="525" ht="15" customHeight="1">
      <c r="A525" t="inlineStr">
        <is>
          <t>A 44807-2021</t>
        </is>
      </c>
      <c r="B525" s="1" t="n">
        <v>44438.49981481482</v>
      </c>
      <c r="C525" s="1" t="n">
        <v>46132</v>
      </c>
      <c r="D525" t="inlineStr">
        <is>
          <t>ÖREBRO LÄN</t>
        </is>
      </c>
      <c r="E525" t="inlineStr">
        <is>
          <t>LJUSNARSBERG</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44858-2021</t>
        </is>
      </c>
      <c r="B526" s="1" t="n">
        <v>44438.59085648148</v>
      </c>
      <c r="C526" s="1" t="n">
        <v>46132</v>
      </c>
      <c r="D526" t="inlineStr">
        <is>
          <t>ÖREBRO LÄN</t>
        </is>
      </c>
      <c r="E526" t="inlineStr">
        <is>
          <t>LJUSNARSBERG</t>
        </is>
      </c>
      <c r="G526" t="n">
        <v>1.8</v>
      </c>
      <c r="H526" t="n">
        <v>0</v>
      </c>
      <c r="I526" t="n">
        <v>0</v>
      </c>
      <c r="J526" t="n">
        <v>0</v>
      </c>
      <c r="K526" t="n">
        <v>0</v>
      </c>
      <c r="L526" t="n">
        <v>0</v>
      </c>
      <c r="M526" t="n">
        <v>0</v>
      </c>
      <c r="N526" t="n">
        <v>0</v>
      </c>
      <c r="O526" t="n">
        <v>0</v>
      </c>
      <c r="P526" t="n">
        <v>0</v>
      </c>
      <c r="Q526" t="n">
        <v>0</v>
      </c>
      <c r="R526" s="2" t="inlineStr"/>
    </row>
    <row r="527" ht="15" customHeight="1">
      <c r="A527" t="inlineStr">
        <is>
          <t>A 47457-2022</t>
        </is>
      </c>
      <c r="B527" s="1" t="n">
        <v>44853.61925925926</v>
      </c>
      <c r="C527" s="1" t="n">
        <v>46132</v>
      </c>
      <c r="D527" t="inlineStr">
        <is>
          <t>ÖREBRO LÄN</t>
        </is>
      </c>
      <c r="E527" t="inlineStr">
        <is>
          <t>LINDESBERG</t>
        </is>
      </c>
      <c r="G527" t="n">
        <v>3.7</v>
      </c>
      <c r="H527" t="n">
        <v>0</v>
      </c>
      <c r="I527" t="n">
        <v>0</v>
      </c>
      <c r="J527" t="n">
        <v>0</v>
      </c>
      <c r="K527" t="n">
        <v>0</v>
      </c>
      <c r="L527" t="n">
        <v>0</v>
      </c>
      <c r="M527" t="n">
        <v>0</v>
      </c>
      <c r="N527" t="n">
        <v>0</v>
      </c>
      <c r="O527" t="n">
        <v>0</v>
      </c>
      <c r="P527" t="n">
        <v>0</v>
      </c>
      <c r="Q527" t="n">
        <v>0</v>
      </c>
      <c r="R527" s="2" t="inlineStr"/>
    </row>
    <row r="528" ht="15" customHeight="1">
      <c r="A528" t="inlineStr">
        <is>
          <t>A 60302-2021</t>
        </is>
      </c>
      <c r="B528" s="1" t="n">
        <v>44495.87667824074</v>
      </c>
      <c r="C528" s="1" t="n">
        <v>46132</v>
      </c>
      <c r="D528" t="inlineStr">
        <is>
          <t>ÖREBRO LÄN</t>
        </is>
      </c>
      <c r="E528" t="inlineStr">
        <is>
          <t>LINDESBERG</t>
        </is>
      </c>
      <c r="G528" t="n">
        <v>3.2</v>
      </c>
      <c r="H528" t="n">
        <v>0</v>
      </c>
      <c r="I528" t="n">
        <v>0</v>
      </c>
      <c r="J528" t="n">
        <v>0</v>
      </c>
      <c r="K528" t="n">
        <v>0</v>
      </c>
      <c r="L528" t="n">
        <v>0</v>
      </c>
      <c r="M528" t="n">
        <v>0</v>
      </c>
      <c r="N528" t="n">
        <v>0</v>
      </c>
      <c r="O528" t="n">
        <v>0</v>
      </c>
      <c r="P528" t="n">
        <v>0</v>
      </c>
      <c r="Q528" t="n">
        <v>0</v>
      </c>
      <c r="R528" s="2" t="inlineStr"/>
    </row>
    <row r="529" ht="15" customHeight="1">
      <c r="A529" t="inlineStr">
        <is>
          <t>A 43154-2021</t>
        </is>
      </c>
      <c r="B529" s="1" t="n">
        <v>44431.69783564815</v>
      </c>
      <c r="C529" s="1" t="n">
        <v>46132</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36784-2022</t>
        </is>
      </c>
      <c r="B530" s="1" t="n">
        <v>44805</v>
      </c>
      <c r="C530" s="1" t="n">
        <v>46132</v>
      </c>
      <c r="D530" t="inlineStr">
        <is>
          <t>ÖREBRO LÄN</t>
        </is>
      </c>
      <c r="E530" t="inlineStr">
        <is>
          <t>DEGERFORS</t>
        </is>
      </c>
      <c r="G530" t="n">
        <v>1</v>
      </c>
      <c r="H530" t="n">
        <v>0</v>
      </c>
      <c r="I530" t="n">
        <v>0</v>
      </c>
      <c r="J530" t="n">
        <v>0</v>
      </c>
      <c r="K530" t="n">
        <v>0</v>
      </c>
      <c r="L530" t="n">
        <v>0</v>
      </c>
      <c r="M530" t="n">
        <v>0</v>
      </c>
      <c r="N530" t="n">
        <v>0</v>
      </c>
      <c r="O530" t="n">
        <v>0</v>
      </c>
      <c r="P530" t="n">
        <v>0</v>
      </c>
      <c r="Q530" t="n">
        <v>0</v>
      </c>
      <c r="R530" s="2" t="inlineStr"/>
    </row>
    <row r="531" ht="15" customHeight="1">
      <c r="A531" t="inlineStr">
        <is>
          <t>A 45859-2021</t>
        </is>
      </c>
      <c r="B531" s="1" t="n">
        <v>44441</v>
      </c>
      <c r="C531" s="1" t="n">
        <v>46132</v>
      </c>
      <c r="D531" t="inlineStr">
        <is>
          <t>ÖREBRO LÄN</t>
        </is>
      </c>
      <c r="E531" t="inlineStr">
        <is>
          <t>LJUSNARSBERG</t>
        </is>
      </c>
      <c r="G531" t="n">
        <v>4</v>
      </c>
      <c r="H531" t="n">
        <v>0</v>
      </c>
      <c r="I531" t="n">
        <v>0</v>
      </c>
      <c r="J531" t="n">
        <v>0</v>
      </c>
      <c r="K531" t="n">
        <v>0</v>
      </c>
      <c r="L531" t="n">
        <v>0</v>
      </c>
      <c r="M531" t="n">
        <v>0</v>
      </c>
      <c r="N531" t="n">
        <v>0</v>
      </c>
      <c r="O531" t="n">
        <v>0</v>
      </c>
      <c r="P531" t="n">
        <v>0</v>
      </c>
      <c r="Q531" t="n">
        <v>0</v>
      </c>
      <c r="R531" s="2" t="inlineStr"/>
    </row>
    <row r="532" ht="15" customHeight="1">
      <c r="A532" t="inlineStr">
        <is>
          <t>A 48986-2021</t>
        </is>
      </c>
      <c r="B532" s="1" t="n">
        <v>44453</v>
      </c>
      <c r="C532" s="1" t="n">
        <v>46132</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49016-2021</t>
        </is>
      </c>
      <c r="B533" s="1" t="n">
        <v>44453</v>
      </c>
      <c r="C533" s="1" t="n">
        <v>46132</v>
      </c>
      <c r="D533" t="inlineStr">
        <is>
          <t>ÖREBRO LÄN</t>
        </is>
      </c>
      <c r="E533" t="inlineStr">
        <is>
          <t>ÖREBRO</t>
        </is>
      </c>
      <c r="G533" t="n">
        <v>4.5</v>
      </c>
      <c r="H533" t="n">
        <v>0</v>
      </c>
      <c r="I533" t="n">
        <v>0</v>
      </c>
      <c r="J533" t="n">
        <v>0</v>
      </c>
      <c r="K533" t="n">
        <v>0</v>
      </c>
      <c r="L533" t="n">
        <v>0</v>
      </c>
      <c r="M533" t="n">
        <v>0</v>
      </c>
      <c r="N533" t="n">
        <v>0</v>
      </c>
      <c r="O533" t="n">
        <v>0</v>
      </c>
      <c r="P533" t="n">
        <v>0</v>
      </c>
      <c r="Q533" t="n">
        <v>0</v>
      </c>
      <c r="R533" s="2" t="inlineStr"/>
    </row>
    <row r="534" ht="15" customHeight="1">
      <c r="A534" t="inlineStr">
        <is>
          <t>A 42839-2021</t>
        </is>
      </c>
      <c r="B534" s="1" t="n">
        <v>44430</v>
      </c>
      <c r="C534" s="1" t="n">
        <v>46132</v>
      </c>
      <c r="D534" t="inlineStr">
        <is>
          <t>ÖREBRO LÄN</t>
        </is>
      </c>
      <c r="E534" t="inlineStr">
        <is>
          <t>ASKERSUND</t>
        </is>
      </c>
      <c r="G534" t="n">
        <v>10.7</v>
      </c>
      <c r="H534" t="n">
        <v>0</v>
      </c>
      <c r="I534" t="n">
        <v>0</v>
      </c>
      <c r="J534" t="n">
        <v>0</v>
      </c>
      <c r="K534" t="n">
        <v>0</v>
      </c>
      <c r="L534" t="n">
        <v>0</v>
      </c>
      <c r="M534" t="n">
        <v>0</v>
      </c>
      <c r="N534" t="n">
        <v>0</v>
      </c>
      <c r="O534" t="n">
        <v>0</v>
      </c>
      <c r="P534" t="n">
        <v>0</v>
      </c>
      <c r="Q534" t="n">
        <v>0</v>
      </c>
      <c r="R534" s="2" t="inlineStr"/>
    </row>
    <row r="535" ht="15" customHeight="1">
      <c r="A535" t="inlineStr">
        <is>
          <t>A 57817-2021</t>
        </is>
      </c>
      <c r="B535" s="1" t="n">
        <v>44484</v>
      </c>
      <c r="C535" s="1" t="n">
        <v>46132</v>
      </c>
      <c r="D535" t="inlineStr">
        <is>
          <t>ÖREBRO LÄN</t>
        </is>
      </c>
      <c r="E535" t="inlineStr">
        <is>
          <t>LINDESBERG</t>
        </is>
      </c>
      <c r="G535" t="n">
        <v>2.3</v>
      </c>
      <c r="H535" t="n">
        <v>0</v>
      </c>
      <c r="I535" t="n">
        <v>0</v>
      </c>
      <c r="J535" t="n">
        <v>0</v>
      </c>
      <c r="K535" t="n">
        <v>0</v>
      </c>
      <c r="L535" t="n">
        <v>0</v>
      </c>
      <c r="M535" t="n">
        <v>0</v>
      </c>
      <c r="N535" t="n">
        <v>0</v>
      </c>
      <c r="O535" t="n">
        <v>0</v>
      </c>
      <c r="P535" t="n">
        <v>0</v>
      </c>
      <c r="Q535" t="n">
        <v>0</v>
      </c>
      <c r="R535" s="2" t="inlineStr"/>
    </row>
    <row r="536" ht="15" customHeight="1">
      <c r="A536" t="inlineStr">
        <is>
          <t>A 5441-2022</t>
        </is>
      </c>
      <c r="B536" s="1" t="n">
        <v>44595</v>
      </c>
      <c r="C536" s="1" t="n">
        <v>46132</v>
      </c>
      <c r="D536" t="inlineStr">
        <is>
          <t>ÖREBRO LÄN</t>
        </is>
      </c>
      <c r="E536" t="inlineStr">
        <is>
          <t>LAXÅ</t>
        </is>
      </c>
      <c r="G536" t="n">
        <v>6.5</v>
      </c>
      <c r="H536" t="n">
        <v>0</v>
      </c>
      <c r="I536" t="n">
        <v>0</v>
      </c>
      <c r="J536" t="n">
        <v>0</v>
      </c>
      <c r="K536" t="n">
        <v>0</v>
      </c>
      <c r="L536" t="n">
        <v>0</v>
      </c>
      <c r="M536" t="n">
        <v>0</v>
      </c>
      <c r="N536" t="n">
        <v>0</v>
      </c>
      <c r="O536" t="n">
        <v>0</v>
      </c>
      <c r="P536" t="n">
        <v>0</v>
      </c>
      <c r="Q536" t="n">
        <v>0</v>
      </c>
      <c r="R536" s="2" t="inlineStr"/>
    </row>
    <row r="537" ht="15" customHeight="1">
      <c r="A537" t="inlineStr">
        <is>
          <t>A 46570-2021</t>
        </is>
      </c>
      <c r="B537" s="1" t="n">
        <v>44445.4953587963</v>
      </c>
      <c r="C537" s="1" t="n">
        <v>46132</v>
      </c>
      <c r="D537" t="inlineStr">
        <is>
          <t>ÖREBRO LÄN</t>
        </is>
      </c>
      <c r="E537" t="inlineStr">
        <is>
          <t>LINDESBERG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63285-2021</t>
        </is>
      </c>
      <c r="B538" s="1" t="n">
        <v>44508</v>
      </c>
      <c r="C538" s="1" t="n">
        <v>46132</v>
      </c>
      <c r="D538" t="inlineStr">
        <is>
          <t>ÖREBRO LÄN</t>
        </is>
      </c>
      <c r="E538" t="inlineStr">
        <is>
          <t>LINDESBERG</t>
        </is>
      </c>
      <c r="G538" t="n">
        <v>0.9</v>
      </c>
      <c r="H538" t="n">
        <v>0</v>
      </c>
      <c r="I538" t="n">
        <v>0</v>
      </c>
      <c r="J538" t="n">
        <v>0</v>
      </c>
      <c r="K538" t="n">
        <v>0</v>
      </c>
      <c r="L538" t="n">
        <v>0</v>
      </c>
      <c r="M538" t="n">
        <v>0</v>
      </c>
      <c r="N538" t="n">
        <v>0</v>
      </c>
      <c r="O538" t="n">
        <v>0</v>
      </c>
      <c r="P538" t="n">
        <v>0</v>
      </c>
      <c r="Q538" t="n">
        <v>0</v>
      </c>
      <c r="R538" s="2" t="inlineStr"/>
    </row>
    <row r="539" ht="15" customHeight="1">
      <c r="A539" t="inlineStr">
        <is>
          <t>A 59557-2021</t>
        </is>
      </c>
      <c r="B539" s="1" t="n">
        <v>44491</v>
      </c>
      <c r="C539" s="1" t="n">
        <v>46132</v>
      </c>
      <c r="D539" t="inlineStr">
        <is>
          <t>ÖREBRO LÄN</t>
        </is>
      </c>
      <c r="E539" t="inlineStr">
        <is>
          <t>ASKERSUND</t>
        </is>
      </c>
      <c r="G539" t="n">
        <v>2.4</v>
      </c>
      <c r="H539" t="n">
        <v>0</v>
      </c>
      <c r="I539" t="n">
        <v>0</v>
      </c>
      <c r="J539" t="n">
        <v>0</v>
      </c>
      <c r="K539" t="n">
        <v>0</v>
      </c>
      <c r="L539" t="n">
        <v>0</v>
      </c>
      <c r="M539" t="n">
        <v>0</v>
      </c>
      <c r="N539" t="n">
        <v>0</v>
      </c>
      <c r="O539" t="n">
        <v>0</v>
      </c>
      <c r="P539" t="n">
        <v>0</v>
      </c>
      <c r="Q539" t="n">
        <v>0</v>
      </c>
      <c r="R539" s="2" t="inlineStr"/>
    </row>
    <row r="540" ht="15" customHeight="1">
      <c r="A540" t="inlineStr">
        <is>
          <t>A 59584-2021</t>
        </is>
      </c>
      <c r="B540" s="1" t="n">
        <v>44491</v>
      </c>
      <c r="C540" s="1" t="n">
        <v>46132</v>
      </c>
      <c r="D540" t="inlineStr">
        <is>
          <t>ÖREBRO LÄN</t>
        </is>
      </c>
      <c r="E540" t="inlineStr">
        <is>
          <t>ÖREBRO</t>
        </is>
      </c>
      <c r="G540" t="n">
        <v>1.4</v>
      </c>
      <c r="H540" t="n">
        <v>0</v>
      </c>
      <c r="I540" t="n">
        <v>0</v>
      </c>
      <c r="J540" t="n">
        <v>0</v>
      </c>
      <c r="K540" t="n">
        <v>0</v>
      </c>
      <c r="L540" t="n">
        <v>0</v>
      </c>
      <c r="M540" t="n">
        <v>0</v>
      </c>
      <c r="N540" t="n">
        <v>0</v>
      </c>
      <c r="O540" t="n">
        <v>0</v>
      </c>
      <c r="P540" t="n">
        <v>0</v>
      </c>
      <c r="Q540" t="n">
        <v>0</v>
      </c>
      <c r="R540" s="2" t="inlineStr"/>
    </row>
    <row r="541" ht="15" customHeight="1">
      <c r="A541" t="inlineStr">
        <is>
          <t>A 63890-2021</t>
        </is>
      </c>
      <c r="B541" s="1" t="n">
        <v>44509</v>
      </c>
      <c r="C541" s="1" t="n">
        <v>46132</v>
      </c>
      <c r="D541" t="inlineStr">
        <is>
          <t>ÖREBRO LÄN</t>
        </is>
      </c>
      <c r="E541" t="inlineStr">
        <is>
          <t>ÖREBRO</t>
        </is>
      </c>
      <c r="G541" t="n">
        <v>2.1</v>
      </c>
      <c r="H541" t="n">
        <v>0</v>
      </c>
      <c r="I541" t="n">
        <v>0</v>
      </c>
      <c r="J541" t="n">
        <v>0</v>
      </c>
      <c r="K541" t="n">
        <v>0</v>
      </c>
      <c r="L541" t="n">
        <v>0</v>
      </c>
      <c r="M541" t="n">
        <v>0</v>
      </c>
      <c r="N541" t="n">
        <v>0</v>
      </c>
      <c r="O541" t="n">
        <v>0</v>
      </c>
      <c r="P541" t="n">
        <v>0</v>
      </c>
      <c r="Q541" t="n">
        <v>0</v>
      </c>
      <c r="R541" s="2" t="inlineStr"/>
    </row>
    <row r="542" ht="15" customHeight="1">
      <c r="A542" t="inlineStr">
        <is>
          <t>A 20506-2021</t>
        </is>
      </c>
      <c r="B542" s="1" t="n">
        <v>44315</v>
      </c>
      <c r="C542" s="1" t="n">
        <v>46132</v>
      </c>
      <c r="D542" t="inlineStr">
        <is>
          <t>ÖREBRO LÄN</t>
        </is>
      </c>
      <c r="E542" t="inlineStr">
        <is>
          <t>ASKERSUND</t>
        </is>
      </c>
      <c r="G542" t="n">
        <v>5.5</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46132</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22605-2021</t>
        </is>
      </c>
      <c r="B544" s="1" t="n">
        <v>44327</v>
      </c>
      <c r="C544" s="1" t="n">
        <v>46132</v>
      </c>
      <c r="D544" t="inlineStr">
        <is>
          <t>ÖREBRO LÄN</t>
        </is>
      </c>
      <c r="E544" t="inlineStr">
        <is>
          <t>LINDESBERG</t>
        </is>
      </c>
      <c r="F544" t="inlineStr">
        <is>
          <t>Kommuner</t>
        </is>
      </c>
      <c r="G544" t="n">
        <v>2</v>
      </c>
      <c r="H544" t="n">
        <v>0</v>
      </c>
      <c r="I544" t="n">
        <v>0</v>
      </c>
      <c r="J544" t="n">
        <v>0</v>
      </c>
      <c r="K544" t="n">
        <v>0</v>
      </c>
      <c r="L544" t="n">
        <v>0</v>
      </c>
      <c r="M544" t="n">
        <v>0</v>
      </c>
      <c r="N544" t="n">
        <v>0</v>
      </c>
      <c r="O544" t="n">
        <v>0</v>
      </c>
      <c r="P544" t="n">
        <v>0</v>
      </c>
      <c r="Q544" t="n">
        <v>0</v>
      </c>
      <c r="R544" s="2" t="inlineStr"/>
    </row>
    <row r="545" ht="15" customHeight="1">
      <c r="A545" t="inlineStr">
        <is>
          <t>A 72157-2021</t>
        </is>
      </c>
      <c r="B545" s="1" t="n">
        <v>44544</v>
      </c>
      <c r="C545" s="1" t="n">
        <v>46132</v>
      </c>
      <c r="D545" t="inlineStr">
        <is>
          <t>ÖREBRO LÄN</t>
        </is>
      </c>
      <c r="E545" t="inlineStr">
        <is>
          <t>LJUSNARSBERG</t>
        </is>
      </c>
      <c r="G545" t="n">
        <v>0.2</v>
      </c>
      <c r="H545" t="n">
        <v>0</v>
      </c>
      <c r="I545" t="n">
        <v>0</v>
      </c>
      <c r="J545" t="n">
        <v>0</v>
      </c>
      <c r="K545" t="n">
        <v>0</v>
      </c>
      <c r="L545" t="n">
        <v>0</v>
      </c>
      <c r="M545" t="n">
        <v>0</v>
      </c>
      <c r="N545" t="n">
        <v>0</v>
      </c>
      <c r="O545" t="n">
        <v>0</v>
      </c>
      <c r="P545" t="n">
        <v>0</v>
      </c>
      <c r="Q545" t="n">
        <v>0</v>
      </c>
      <c r="R545" s="2" t="inlineStr"/>
    </row>
    <row r="546" ht="15" customHeight="1">
      <c r="A546" t="inlineStr">
        <is>
          <t>A 6468-2022</t>
        </is>
      </c>
      <c r="B546" s="1" t="n">
        <v>44601</v>
      </c>
      <c r="C546" s="1" t="n">
        <v>46132</v>
      </c>
      <c r="D546" t="inlineStr">
        <is>
          <t>ÖREBRO LÄN</t>
        </is>
      </c>
      <c r="E546" t="inlineStr">
        <is>
          <t>LEKEBERG</t>
        </is>
      </c>
      <c r="G546" t="n">
        <v>3.2</v>
      </c>
      <c r="H546" t="n">
        <v>0</v>
      </c>
      <c r="I546" t="n">
        <v>0</v>
      </c>
      <c r="J546" t="n">
        <v>0</v>
      </c>
      <c r="K546" t="n">
        <v>0</v>
      </c>
      <c r="L546" t="n">
        <v>0</v>
      </c>
      <c r="M546" t="n">
        <v>0</v>
      </c>
      <c r="N546" t="n">
        <v>0</v>
      </c>
      <c r="O546" t="n">
        <v>0</v>
      </c>
      <c r="P546" t="n">
        <v>0</v>
      </c>
      <c r="Q546" t="n">
        <v>0</v>
      </c>
      <c r="R546" s="2" t="inlineStr"/>
    </row>
    <row r="547" ht="15" customHeight="1">
      <c r="A547" t="inlineStr">
        <is>
          <t>A 29839-2021</t>
        </is>
      </c>
      <c r="B547" s="1" t="n">
        <v>44362</v>
      </c>
      <c r="C547" s="1" t="n">
        <v>46132</v>
      </c>
      <c r="D547" t="inlineStr">
        <is>
          <t>ÖREBRO LÄN</t>
        </is>
      </c>
      <c r="E547" t="inlineStr">
        <is>
          <t>NORA</t>
        </is>
      </c>
      <c r="F547" t="inlineStr">
        <is>
          <t>Övriga Aktiebolag</t>
        </is>
      </c>
      <c r="G547" t="n">
        <v>0.6</v>
      </c>
      <c r="H547" t="n">
        <v>0</v>
      </c>
      <c r="I547" t="n">
        <v>0</v>
      </c>
      <c r="J547" t="n">
        <v>0</v>
      </c>
      <c r="K547" t="n">
        <v>0</v>
      </c>
      <c r="L547" t="n">
        <v>0</v>
      </c>
      <c r="M547" t="n">
        <v>0</v>
      </c>
      <c r="N547" t="n">
        <v>0</v>
      </c>
      <c r="O547" t="n">
        <v>0</v>
      </c>
      <c r="P547" t="n">
        <v>0</v>
      </c>
      <c r="Q547" t="n">
        <v>0</v>
      </c>
      <c r="R547" s="2" t="inlineStr"/>
    </row>
    <row r="548" ht="15" customHeight="1">
      <c r="A548" t="inlineStr">
        <is>
          <t>A 62586-2021</t>
        </is>
      </c>
      <c r="B548" s="1" t="n">
        <v>44503</v>
      </c>
      <c r="C548" s="1" t="n">
        <v>46132</v>
      </c>
      <c r="D548" t="inlineStr">
        <is>
          <t>ÖREBRO LÄN</t>
        </is>
      </c>
      <c r="E548" t="inlineStr">
        <is>
          <t>LINDESBERG</t>
        </is>
      </c>
      <c r="G548" t="n">
        <v>3.9</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46132</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46132</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33779-2021</t>
        </is>
      </c>
      <c r="B551" s="1" t="n">
        <v>44378.54952546296</v>
      </c>
      <c r="C551" s="1" t="n">
        <v>46132</v>
      </c>
      <c r="D551" t="inlineStr">
        <is>
          <t>ÖREBRO LÄN</t>
        </is>
      </c>
      <c r="E551" t="inlineStr">
        <is>
          <t>ÖREBRO</t>
        </is>
      </c>
      <c r="F551" t="inlineStr">
        <is>
          <t>Kommuner</t>
        </is>
      </c>
      <c r="G551" t="n">
        <v>4.5</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46132</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35739-2021</t>
        </is>
      </c>
      <c r="B553" s="1" t="n">
        <v>44386</v>
      </c>
      <c r="C553" s="1" t="n">
        <v>46132</v>
      </c>
      <c r="D553" t="inlineStr">
        <is>
          <t>ÖREBRO LÄN</t>
        </is>
      </c>
      <c r="E553" t="inlineStr">
        <is>
          <t>LINDESBERG</t>
        </is>
      </c>
      <c r="G553" t="n">
        <v>5.5</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46132</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64133-2021</t>
        </is>
      </c>
      <c r="B555" s="1" t="n">
        <v>44510.50043981482</v>
      </c>
      <c r="C555" s="1" t="n">
        <v>46132</v>
      </c>
      <c r="D555" t="inlineStr">
        <is>
          <t>ÖREBRO LÄN</t>
        </is>
      </c>
      <c r="E555" t="inlineStr">
        <is>
          <t>KARLSKOGA</t>
        </is>
      </c>
      <c r="G555" t="n">
        <v>3.7</v>
      </c>
      <c r="H555" t="n">
        <v>0</v>
      </c>
      <c r="I555" t="n">
        <v>0</v>
      </c>
      <c r="J555" t="n">
        <v>0</v>
      </c>
      <c r="K555" t="n">
        <v>0</v>
      </c>
      <c r="L555" t="n">
        <v>0</v>
      </c>
      <c r="M555" t="n">
        <v>0</v>
      </c>
      <c r="N555" t="n">
        <v>0</v>
      </c>
      <c r="O555" t="n">
        <v>0</v>
      </c>
      <c r="P555" t="n">
        <v>0</v>
      </c>
      <c r="Q555" t="n">
        <v>0</v>
      </c>
      <c r="R555" s="2" t="inlineStr"/>
    </row>
    <row r="556" ht="15" customHeight="1">
      <c r="A556" t="inlineStr">
        <is>
          <t>A 14830-2022</t>
        </is>
      </c>
      <c r="B556" s="1" t="n">
        <v>44656</v>
      </c>
      <c r="C556" s="1" t="n">
        <v>46132</v>
      </c>
      <c r="D556" t="inlineStr">
        <is>
          <t>ÖREBRO LÄN</t>
        </is>
      </c>
      <c r="E556" t="inlineStr">
        <is>
          <t>LEKEBERG</t>
        </is>
      </c>
      <c r="G556" t="n">
        <v>2.2</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46132</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46132</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56014-2022</t>
        </is>
      </c>
      <c r="B559" s="1" t="n">
        <v>44889.51722222222</v>
      </c>
      <c r="C559" s="1" t="n">
        <v>46132</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7468-2022</t>
        </is>
      </c>
      <c r="B560" s="1" t="n">
        <v>44607</v>
      </c>
      <c r="C560" s="1" t="n">
        <v>46132</v>
      </c>
      <c r="D560" t="inlineStr">
        <is>
          <t>ÖREBRO LÄN</t>
        </is>
      </c>
      <c r="E560" t="inlineStr">
        <is>
          <t>ASKERSUND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46132</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68719-2021</t>
        </is>
      </c>
      <c r="B562" s="1" t="n">
        <v>44529</v>
      </c>
      <c r="C562" s="1" t="n">
        <v>46132</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46132</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46132</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46132</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46132</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46132</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46132</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46132</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46132</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46132</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46132</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46132</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46132</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46132</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46132</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46132</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33157-2021</t>
        </is>
      </c>
      <c r="B578" s="1" t="n">
        <v>44376.68837962963</v>
      </c>
      <c r="C578" s="1" t="n">
        <v>46132</v>
      </c>
      <c r="D578" t="inlineStr">
        <is>
          <t>ÖREBRO LÄN</t>
        </is>
      </c>
      <c r="E578" t="inlineStr">
        <is>
          <t>ASKERSUND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46132</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46132</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46132</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46132</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25860-2022</t>
        </is>
      </c>
      <c r="B583" s="1" t="n">
        <v>44733</v>
      </c>
      <c r="C583" s="1" t="n">
        <v>46132</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64156-2021</t>
        </is>
      </c>
      <c r="B584" s="1" t="n">
        <v>44510.55405092592</v>
      </c>
      <c r="C584" s="1" t="n">
        <v>46132</v>
      </c>
      <c r="D584" t="inlineStr">
        <is>
          <t>ÖREBRO LÄN</t>
        </is>
      </c>
      <c r="E584" t="inlineStr">
        <is>
          <t>LEKEBERG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46132</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46132</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35673-2022</t>
        </is>
      </c>
      <c r="B587" s="1" t="n">
        <v>44799.59944444444</v>
      </c>
      <c r="C587" s="1" t="n">
        <v>46132</v>
      </c>
      <c r="D587" t="inlineStr">
        <is>
          <t>ÖREBRO LÄN</t>
        </is>
      </c>
      <c r="E587" t="inlineStr">
        <is>
          <t>NORA</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23971-2022</t>
        </is>
      </c>
      <c r="B588" s="1" t="n">
        <v>44722.78552083333</v>
      </c>
      <c r="C588" s="1" t="n">
        <v>46132</v>
      </c>
      <c r="D588" t="inlineStr">
        <is>
          <t>ÖREBRO LÄN</t>
        </is>
      </c>
      <c r="E588" t="inlineStr">
        <is>
          <t>LINDESBERG</t>
        </is>
      </c>
      <c r="G588" t="n">
        <v>6.1</v>
      </c>
      <c r="H588" t="n">
        <v>0</v>
      </c>
      <c r="I588" t="n">
        <v>0</v>
      </c>
      <c r="J588" t="n">
        <v>0</v>
      </c>
      <c r="K588" t="n">
        <v>0</v>
      </c>
      <c r="L588" t="n">
        <v>0</v>
      </c>
      <c r="M588" t="n">
        <v>0</v>
      </c>
      <c r="N588" t="n">
        <v>0</v>
      </c>
      <c r="O588" t="n">
        <v>0</v>
      </c>
      <c r="P588" t="n">
        <v>0</v>
      </c>
      <c r="Q588" t="n">
        <v>0</v>
      </c>
      <c r="R588" s="2" t="inlineStr"/>
    </row>
    <row r="589" ht="15" customHeight="1">
      <c r="A589" t="inlineStr">
        <is>
          <t>A 39709-2022</t>
        </is>
      </c>
      <c r="B589" s="1" t="n">
        <v>44818.95434027778</v>
      </c>
      <c r="C589" s="1" t="n">
        <v>46132</v>
      </c>
      <c r="D589" t="inlineStr">
        <is>
          <t>ÖREBRO LÄN</t>
        </is>
      </c>
      <c r="E589" t="inlineStr">
        <is>
          <t>NORA</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46132</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46132</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46132</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46132</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50600-2022</t>
        </is>
      </c>
      <c r="B594" s="1" t="n">
        <v>44861</v>
      </c>
      <c r="C594" s="1" t="n">
        <v>46132</v>
      </c>
      <c r="D594" t="inlineStr">
        <is>
          <t>ÖREBRO LÄN</t>
        </is>
      </c>
      <c r="E594" t="inlineStr">
        <is>
          <t>DEGERFORS</t>
        </is>
      </c>
      <c r="G594" t="n">
        <v>5.6</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46132</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42189-2021</t>
        </is>
      </c>
      <c r="B596" s="1" t="n">
        <v>44426</v>
      </c>
      <c r="C596" s="1" t="n">
        <v>46132</v>
      </c>
      <c r="D596" t="inlineStr">
        <is>
          <t>ÖREBRO LÄN</t>
        </is>
      </c>
      <c r="E596" t="inlineStr">
        <is>
          <t>LAXÅ</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46132</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46132</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45297-2022</t>
        </is>
      </c>
      <c r="B599" s="1" t="n">
        <v>44844</v>
      </c>
      <c r="C599" s="1" t="n">
        <v>46132</v>
      </c>
      <c r="D599" t="inlineStr">
        <is>
          <t>ÖREBRO LÄN</t>
        </is>
      </c>
      <c r="E599" t="inlineStr">
        <is>
          <t>ASKERSUND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46132</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2106-2022</t>
        </is>
      </c>
      <c r="B601" s="1" t="n">
        <v>44577.82805555555</v>
      </c>
      <c r="C601" s="1" t="n">
        <v>46132</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41892-2022</t>
        </is>
      </c>
      <c r="B602" s="1" t="n">
        <v>44830.33280092593</v>
      </c>
      <c r="C602" s="1" t="n">
        <v>46132</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38133-2021</t>
        </is>
      </c>
      <c r="B603" s="1" t="n">
        <v>44404</v>
      </c>
      <c r="C603" s="1" t="n">
        <v>46132</v>
      </c>
      <c r="D603" t="inlineStr">
        <is>
          <t>ÖREBRO LÄN</t>
        </is>
      </c>
      <c r="E603" t="inlineStr">
        <is>
          <t>ÖREBRO</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46397-2021</t>
        </is>
      </c>
      <c r="B604" s="1" t="n">
        <v>44443.76373842593</v>
      </c>
      <c r="C604" s="1" t="n">
        <v>46132</v>
      </c>
      <c r="D604" t="inlineStr">
        <is>
          <t>ÖREBRO LÄN</t>
        </is>
      </c>
      <c r="E604" t="inlineStr">
        <is>
          <t>LEKEBERG</t>
        </is>
      </c>
      <c r="G604" t="n">
        <v>1.2</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46132</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46132</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66778-2021</t>
        </is>
      </c>
      <c r="B607" s="1" t="n">
        <v>44519</v>
      </c>
      <c r="C607" s="1" t="n">
        <v>46132</v>
      </c>
      <c r="D607" t="inlineStr">
        <is>
          <t>ÖREBRO LÄN</t>
        </is>
      </c>
      <c r="E607" t="inlineStr">
        <is>
          <t>LEKEBERG</t>
        </is>
      </c>
      <c r="G607" t="n">
        <v>1.9</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46132</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46132</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46132</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46132</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46132</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46132</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46132</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46132</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46132</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46132</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46132</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46132</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46132</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46132</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46132</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46132</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46132</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46132</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46132</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46132</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46132</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46132</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46132</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46132</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68890-2021</t>
        </is>
      </c>
      <c r="B632" s="1" t="n">
        <v>44530</v>
      </c>
      <c r="C632" s="1" t="n">
        <v>46132</v>
      </c>
      <c r="D632" t="inlineStr">
        <is>
          <t>ÖREBRO LÄN</t>
        </is>
      </c>
      <c r="E632" t="inlineStr">
        <is>
          <t>NORA</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46132</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46132</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46132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16969-2022</t>
        </is>
      </c>
      <c r="B636" s="1" t="n">
        <v>44676</v>
      </c>
      <c r="C636" s="1" t="n">
        <v>46132</v>
      </c>
      <c r="D636" t="inlineStr">
        <is>
          <t>ÖREBRO LÄN</t>
        </is>
      </c>
      <c r="E636" t="inlineStr">
        <is>
          <t>ÖREBRO</t>
        </is>
      </c>
      <c r="G636" t="n">
        <v>4.2</v>
      </c>
      <c r="H636" t="n">
        <v>0</v>
      </c>
      <c r="I636" t="n">
        <v>0</v>
      </c>
      <c r="J636" t="n">
        <v>0</v>
      </c>
      <c r="K636" t="n">
        <v>0</v>
      </c>
      <c r="L636" t="n">
        <v>0</v>
      </c>
      <c r="M636" t="n">
        <v>0</v>
      </c>
      <c r="N636" t="n">
        <v>0</v>
      </c>
      <c r="O636" t="n">
        <v>0</v>
      </c>
      <c r="P636" t="n">
        <v>0</v>
      </c>
      <c r="Q636" t="n">
        <v>0</v>
      </c>
      <c r="R636" s="2" t="inlineStr"/>
    </row>
    <row r="637" ht="15" customHeight="1">
      <c r="A637" t="inlineStr">
        <is>
          <t>A 63567-2021</t>
        </is>
      </c>
      <c r="B637" s="1" t="n">
        <v>44508</v>
      </c>
      <c r="C637" s="1" t="n">
        <v>46132</v>
      </c>
      <c r="D637" t="inlineStr">
        <is>
          <t>ÖREBRO LÄN</t>
        </is>
      </c>
      <c r="E637" t="inlineStr">
        <is>
          <t>LEKEBERG</t>
        </is>
      </c>
      <c r="G637" t="n">
        <v>3.7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46132</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46132</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46132</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46132</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46132</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46132</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20070-2021</t>
        </is>
      </c>
      <c r="B644" s="1" t="n">
        <v>44314</v>
      </c>
      <c r="C644" s="1" t="n">
        <v>46132</v>
      </c>
      <c r="D644" t="inlineStr">
        <is>
          <t>ÖREBRO LÄN</t>
        </is>
      </c>
      <c r="E644" t="inlineStr">
        <is>
          <t>HÄLLEFORS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20071-2021</t>
        </is>
      </c>
      <c r="B645" s="1" t="n">
        <v>44314</v>
      </c>
      <c r="C645" s="1" t="n">
        <v>46132</v>
      </c>
      <c r="D645" t="inlineStr">
        <is>
          <t>ÖREBRO LÄN</t>
        </is>
      </c>
      <c r="E645" t="inlineStr">
        <is>
          <t>HÄLLEFORS</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46132</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46132</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46132</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46132</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46132</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46132</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46132</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46132</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46132</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46132</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46132</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46132</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46132</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16759-2022</t>
        </is>
      </c>
      <c r="B659" s="1" t="n">
        <v>44673</v>
      </c>
      <c r="C659" s="1" t="n">
        <v>46132</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16435-2022</t>
        </is>
      </c>
      <c r="B660" s="1" t="n">
        <v>44671</v>
      </c>
      <c r="C660" s="1" t="n">
        <v>46132</v>
      </c>
      <c r="D660" t="inlineStr">
        <is>
          <t>ÖREBRO LÄN</t>
        </is>
      </c>
      <c r="E660" t="inlineStr">
        <is>
          <t>LINDESBERG</t>
        </is>
      </c>
      <c r="G660" t="n">
        <v>3.2</v>
      </c>
      <c r="H660" t="n">
        <v>0</v>
      </c>
      <c r="I660" t="n">
        <v>0</v>
      </c>
      <c r="J660" t="n">
        <v>0</v>
      </c>
      <c r="K660" t="n">
        <v>0</v>
      </c>
      <c r="L660" t="n">
        <v>0</v>
      </c>
      <c r="M660" t="n">
        <v>0</v>
      </c>
      <c r="N660" t="n">
        <v>0</v>
      </c>
      <c r="O660" t="n">
        <v>0</v>
      </c>
      <c r="P660" t="n">
        <v>0</v>
      </c>
      <c r="Q660" t="n">
        <v>0</v>
      </c>
      <c r="R660" s="2" t="inlineStr"/>
    </row>
    <row r="661" ht="15" customHeight="1">
      <c r="A661" t="inlineStr">
        <is>
          <t>A 21606-2022</t>
        </is>
      </c>
      <c r="B661" s="1" t="n">
        <v>44706.65927083333</v>
      </c>
      <c r="C661" s="1" t="n">
        <v>46132</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13502-2022</t>
        </is>
      </c>
      <c r="B662" s="1" t="n">
        <v>44647.87050925926</v>
      </c>
      <c r="C662" s="1" t="n">
        <v>46132</v>
      </c>
      <c r="D662" t="inlineStr">
        <is>
          <t>ÖREBRO LÄN</t>
        </is>
      </c>
      <c r="E662" t="inlineStr">
        <is>
          <t>ASKERSUND</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46132</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30835-2021</t>
        </is>
      </c>
      <c r="B664" s="1" t="n">
        <v>44365</v>
      </c>
      <c r="C664" s="1" t="n">
        <v>46132</v>
      </c>
      <c r="D664" t="inlineStr">
        <is>
          <t>ÖREBRO LÄN</t>
        </is>
      </c>
      <c r="E664" t="inlineStr">
        <is>
          <t>KUMLA</t>
        </is>
      </c>
      <c r="G664" t="n">
        <v>0.9</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46132</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46132</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46132</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46132</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46132</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58145-2021</t>
        </is>
      </c>
      <c r="B670" s="1" t="n">
        <v>44487</v>
      </c>
      <c r="C670" s="1" t="n">
        <v>46132</v>
      </c>
      <c r="D670" t="inlineStr">
        <is>
          <t>ÖREBRO LÄN</t>
        </is>
      </c>
      <c r="E670" t="inlineStr">
        <is>
          <t>ASKERSUND</t>
        </is>
      </c>
      <c r="G670" t="n">
        <v>3.4</v>
      </c>
      <c r="H670" t="n">
        <v>0</v>
      </c>
      <c r="I670" t="n">
        <v>0</v>
      </c>
      <c r="J670" t="n">
        <v>0</v>
      </c>
      <c r="K670" t="n">
        <v>0</v>
      </c>
      <c r="L670" t="n">
        <v>0</v>
      </c>
      <c r="M670" t="n">
        <v>0</v>
      </c>
      <c r="N670" t="n">
        <v>0</v>
      </c>
      <c r="O670" t="n">
        <v>0</v>
      </c>
      <c r="P670" t="n">
        <v>0</v>
      </c>
      <c r="Q670" t="n">
        <v>0</v>
      </c>
      <c r="R670" s="2" t="inlineStr"/>
    </row>
    <row r="671" ht="15" customHeight="1">
      <c r="A671" t="inlineStr">
        <is>
          <t>A 8884-2022</t>
        </is>
      </c>
      <c r="B671" s="1" t="n">
        <v>44614.60990740741</v>
      </c>
      <c r="C671" s="1" t="n">
        <v>46132</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46132</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46132</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46132</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46132</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46132</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46132</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46132</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46132</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46132</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46132</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46132</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46132</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46132</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46132</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46132</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21343-2022</t>
        </is>
      </c>
      <c r="B687" s="1" t="n">
        <v>44705.64063657408</v>
      </c>
      <c r="C687" s="1" t="n">
        <v>46132</v>
      </c>
      <c r="D687" t="inlineStr">
        <is>
          <t>ÖREBRO LÄN</t>
        </is>
      </c>
      <c r="E687" t="inlineStr">
        <is>
          <t>HALLSBERG</t>
        </is>
      </c>
      <c r="G687" t="n">
        <v>3.4</v>
      </c>
      <c r="H687" t="n">
        <v>0</v>
      </c>
      <c r="I687" t="n">
        <v>0</v>
      </c>
      <c r="J687" t="n">
        <v>0</v>
      </c>
      <c r="K687" t="n">
        <v>0</v>
      </c>
      <c r="L687" t="n">
        <v>0</v>
      </c>
      <c r="M687" t="n">
        <v>0</v>
      </c>
      <c r="N687" t="n">
        <v>0</v>
      </c>
      <c r="O687" t="n">
        <v>0</v>
      </c>
      <c r="P687" t="n">
        <v>0</v>
      </c>
      <c r="Q687" t="n">
        <v>0</v>
      </c>
      <c r="R687" s="2" t="inlineStr"/>
    </row>
    <row r="688" ht="15" customHeight="1">
      <c r="A688" t="inlineStr">
        <is>
          <t>A 72713-2021</t>
        </is>
      </c>
      <c r="B688" s="1" t="n">
        <v>44546.67978009259</v>
      </c>
      <c r="C688" s="1" t="n">
        <v>46132</v>
      </c>
      <c r="D688" t="inlineStr">
        <is>
          <t>ÖREBRO LÄN</t>
        </is>
      </c>
      <c r="E688" t="inlineStr">
        <is>
          <t>LINDESBERG</t>
        </is>
      </c>
      <c r="G688" t="n">
        <v>0.3</v>
      </c>
      <c r="H688" t="n">
        <v>0</v>
      </c>
      <c r="I688" t="n">
        <v>0</v>
      </c>
      <c r="J688" t="n">
        <v>0</v>
      </c>
      <c r="K688" t="n">
        <v>0</v>
      </c>
      <c r="L688" t="n">
        <v>0</v>
      </c>
      <c r="M688" t="n">
        <v>0</v>
      </c>
      <c r="N688" t="n">
        <v>0</v>
      </c>
      <c r="O688" t="n">
        <v>0</v>
      </c>
      <c r="P688" t="n">
        <v>0</v>
      </c>
      <c r="Q688" t="n">
        <v>0</v>
      </c>
      <c r="R688" s="2" t="inlineStr"/>
    </row>
    <row r="689" ht="15" customHeight="1">
      <c r="A689" t="inlineStr">
        <is>
          <t>A 51402-2022</t>
        </is>
      </c>
      <c r="B689" s="1" t="n">
        <v>44866</v>
      </c>
      <c r="C689" s="1" t="n">
        <v>46132</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33058-2021</t>
        </is>
      </c>
      <c r="B690" s="1" t="n">
        <v>44375</v>
      </c>
      <c r="C690" s="1" t="n">
        <v>46132</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46132</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46132</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26052-2022</t>
        </is>
      </c>
      <c r="B693" s="1" t="n">
        <v>44734</v>
      </c>
      <c r="C693" s="1" t="n">
        <v>46132</v>
      </c>
      <c r="D693" t="inlineStr">
        <is>
          <t>ÖREBRO LÄN</t>
        </is>
      </c>
      <c r="E693" t="inlineStr">
        <is>
          <t>LEKEBERG</t>
        </is>
      </c>
      <c r="G693" t="n">
        <v>0.5</v>
      </c>
      <c r="H693" t="n">
        <v>0</v>
      </c>
      <c r="I693" t="n">
        <v>0</v>
      </c>
      <c r="J693" t="n">
        <v>0</v>
      </c>
      <c r="K693" t="n">
        <v>0</v>
      </c>
      <c r="L693" t="n">
        <v>0</v>
      </c>
      <c r="M693" t="n">
        <v>0</v>
      </c>
      <c r="N693" t="n">
        <v>0</v>
      </c>
      <c r="O693" t="n">
        <v>0</v>
      </c>
      <c r="P693" t="n">
        <v>0</v>
      </c>
      <c r="Q693" t="n">
        <v>0</v>
      </c>
      <c r="R693" s="2" t="inlineStr"/>
    </row>
    <row r="694" ht="15" customHeight="1">
      <c r="A694" t="inlineStr">
        <is>
          <t>A 38539-2022</t>
        </is>
      </c>
      <c r="B694" s="1" t="n">
        <v>44813</v>
      </c>
      <c r="C694" s="1" t="n">
        <v>46132</v>
      </c>
      <c r="D694" t="inlineStr">
        <is>
          <t>ÖREBRO LÄN</t>
        </is>
      </c>
      <c r="E694" t="inlineStr">
        <is>
          <t>LAXÅ</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42862-2022</t>
        </is>
      </c>
      <c r="B695" s="1" t="n">
        <v>44832.73575231482</v>
      </c>
      <c r="C695" s="1" t="n">
        <v>46132</v>
      </c>
      <c r="D695" t="inlineStr">
        <is>
          <t>ÖREBRO LÄN</t>
        </is>
      </c>
      <c r="E695" t="inlineStr">
        <is>
          <t>HÄLLEFORS</t>
        </is>
      </c>
      <c r="G695" t="n">
        <v>0.7</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46132</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46132</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46132</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46132</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46132</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46132</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46132</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25660-2021</t>
        </is>
      </c>
      <c r="B703" s="1" t="n">
        <v>44343.5619212963</v>
      </c>
      <c r="C703" s="1" t="n">
        <v>46132</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46132</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46132</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46132</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46132</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46132</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46132</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46132</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46132</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46132</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46132</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46132</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46132</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46132</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46132</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46132</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46132</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46132</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46132</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46132</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32573-2022</t>
        </is>
      </c>
      <c r="B723" s="1" t="n">
        <v>44783.38261574074</v>
      </c>
      <c r="C723" s="1" t="n">
        <v>46132</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46132</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46132</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46132</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46132</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46132</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46132</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46132</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36080-2021</t>
        </is>
      </c>
      <c r="B731" s="1" t="n">
        <v>44389</v>
      </c>
      <c r="C731" s="1" t="n">
        <v>46132</v>
      </c>
      <c r="D731" t="inlineStr">
        <is>
          <t>ÖREBRO LÄN</t>
        </is>
      </c>
      <c r="E731" t="inlineStr">
        <is>
          <t>ASKERSUND</t>
        </is>
      </c>
      <c r="G731" t="n">
        <v>1.6</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46132</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46132</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37265-2022</t>
        </is>
      </c>
      <c r="B734" s="1" t="n">
        <v>44807.46988425926</v>
      </c>
      <c r="C734" s="1" t="n">
        <v>46132</v>
      </c>
      <c r="D734" t="inlineStr">
        <is>
          <t>ÖREBRO LÄN</t>
        </is>
      </c>
      <c r="E734" t="inlineStr">
        <is>
          <t>NORA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46132</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46132</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32309-2022</t>
        </is>
      </c>
      <c r="B737" s="1" t="n">
        <v>44781.64625</v>
      </c>
      <c r="C737" s="1" t="n">
        <v>46132</v>
      </c>
      <c r="D737" t="inlineStr">
        <is>
          <t>ÖREBRO LÄN</t>
        </is>
      </c>
      <c r="E737" t="inlineStr">
        <is>
          <t>LJUSNARSBERG</t>
        </is>
      </c>
      <c r="G737" t="n">
        <v>3.4</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46132</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56295-2021</t>
        </is>
      </c>
      <c r="B739" s="1" t="n">
        <v>44477</v>
      </c>
      <c r="C739" s="1" t="n">
        <v>46132</v>
      </c>
      <c r="D739" t="inlineStr">
        <is>
          <t>ÖREBRO LÄN</t>
        </is>
      </c>
      <c r="E739" t="inlineStr">
        <is>
          <t>HÄLLEFORS</t>
        </is>
      </c>
      <c r="G739" t="n">
        <v>11.3</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46132</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35796-2021</t>
        </is>
      </c>
      <c r="B741" s="1" t="n">
        <v>44386</v>
      </c>
      <c r="C741" s="1" t="n">
        <v>46132</v>
      </c>
      <c r="D741" t="inlineStr">
        <is>
          <t>ÖREBRO LÄN</t>
        </is>
      </c>
      <c r="E741" t="inlineStr">
        <is>
          <t>ASKERSUND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46132</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36547-2021</t>
        </is>
      </c>
      <c r="B743" s="1" t="n">
        <v>44391</v>
      </c>
      <c r="C743" s="1" t="n">
        <v>46132</v>
      </c>
      <c r="D743" t="inlineStr">
        <is>
          <t>ÖREBRO LÄN</t>
        </is>
      </c>
      <c r="E743" t="inlineStr">
        <is>
          <t>LJUSNARSBERG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46132</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46132</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46132</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48428-2021</t>
        </is>
      </c>
      <c r="B747" s="1" t="n">
        <v>44449</v>
      </c>
      <c r="C747" s="1" t="n">
        <v>46132</v>
      </c>
      <c r="D747" t="inlineStr">
        <is>
          <t>ÖREBRO LÄN</t>
        </is>
      </c>
      <c r="E747" t="inlineStr">
        <is>
          <t>ASKERSUND</t>
        </is>
      </c>
      <c r="G747" t="n">
        <v>2</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46132</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48463-2021</t>
        </is>
      </c>
      <c r="B749" s="1" t="n">
        <v>44452.38803240741</v>
      </c>
      <c r="C749" s="1" t="n">
        <v>46132</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46132</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39187-2021</t>
        </is>
      </c>
      <c r="B751" s="1" t="n">
        <v>44412</v>
      </c>
      <c r="C751" s="1" t="n">
        <v>46132</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8047-2022</t>
        </is>
      </c>
      <c r="B752" s="1" t="n">
        <v>44609</v>
      </c>
      <c r="C752" s="1" t="n">
        <v>46132</v>
      </c>
      <c r="D752" t="inlineStr">
        <is>
          <t>ÖREBRO LÄN</t>
        </is>
      </c>
      <c r="E752" t="inlineStr">
        <is>
          <t>LEKEBERG</t>
        </is>
      </c>
      <c r="G752" t="n">
        <v>0.8</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46132</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46132</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46132</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46132</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46132</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46132</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46132</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19084-2021</t>
        </is>
      </c>
      <c r="B760" s="1" t="n">
        <v>44308</v>
      </c>
      <c r="C760" s="1" t="n">
        <v>46132</v>
      </c>
      <c r="D760" t="inlineStr">
        <is>
          <t>ÖREBRO LÄN</t>
        </is>
      </c>
      <c r="E760" t="inlineStr">
        <is>
          <t>DEGERFORS</t>
        </is>
      </c>
      <c r="G760" t="n">
        <v>2.2</v>
      </c>
      <c r="H760" t="n">
        <v>0</v>
      </c>
      <c r="I760" t="n">
        <v>0</v>
      </c>
      <c r="J760" t="n">
        <v>0</v>
      </c>
      <c r="K760" t="n">
        <v>0</v>
      </c>
      <c r="L760" t="n">
        <v>0</v>
      </c>
      <c r="M760" t="n">
        <v>0</v>
      </c>
      <c r="N760" t="n">
        <v>0</v>
      </c>
      <c r="O760" t="n">
        <v>0</v>
      </c>
      <c r="P760" t="n">
        <v>0</v>
      </c>
      <c r="Q760" t="n">
        <v>0</v>
      </c>
      <c r="R760" s="2" t="inlineStr"/>
    </row>
    <row r="761" ht="15" customHeight="1">
      <c r="A761" t="inlineStr">
        <is>
          <t>A 32408-2021</t>
        </is>
      </c>
      <c r="B761" s="1" t="n">
        <v>44371.6544212963</v>
      </c>
      <c r="C761" s="1" t="n">
        <v>46132</v>
      </c>
      <c r="D761" t="inlineStr">
        <is>
          <t>ÖREBRO LÄN</t>
        </is>
      </c>
      <c r="E761" t="inlineStr">
        <is>
          <t>KARLSKOGA</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49154-2021</t>
        </is>
      </c>
      <c r="B762" s="1" t="n">
        <v>44453</v>
      </c>
      <c r="C762" s="1" t="n">
        <v>46132</v>
      </c>
      <c r="D762" t="inlineStr">
        <is>
          <t>ÖREBRO LÄN</t>
        </is>
      </c>
      <c r="E762" t="inlineStr">
        <is>
          <t>HÄLLEFORS</t>
        </is>
      </c>
      <c r="G762" t="n">
        <v>0.7</v>
      </c>
      <c r="H762" t="n">
        <v>0</v>
      </c>
      <c r="I762" t="n">
        <v>0</v>
      </c>
      <c r="J762" t="n">
        <v>0</v>
      </c>
      <c r="K762" t="n">
        <v>0</v>
      </c>
      <c r="L762" t="n">
        <v>0</v>
      </c>
      <c r="M762" t="n">
        <v>0</v>
      </c>
      <c r="N762" t="n">
        <v>0</v>
      </c>
      <c r="O762" t="n">
        <v>0</v>
      </c>
      <c r="P762" t="n">
        <v>0</v>
      </c>
      <c r="Q762" t="n">
        <v>0</v>
      </c>
      <c r="R762" s="2" t="inlineStr"/>
    </row>
    <row r="763" ht="15" customHeight="1">
      <c r="A763" t="inlineStr">
        <is>
          <t>A 57765-2021</t>
        </is>
      </c>
      <c r="B763" s="1" t="n">
        <v>44484.56523148148</v>
      </c>
      <c r="C763" s="1" t="n">
        <v>46132</v>
      </c>
      <c r="D763" t="inlineStr">
        <is>
          <t>ÖREBRO LÄN</t>
        </is>
      </c>
      <c r="E763" t="inlineStr">
        <is>
          <t>LINDESBERG</t>
        </is>
      </c>
      <c r="G763" t="n">
        <v>3.4</v>
      </c>
      <c r="H763" t="n">
        <v>0</v>
      </c>
      <c r="I763" t="n">
        <v>0</v>
      </c>
      <c r="J763" t="n">
        <v>0</v>
      </c>
      <c r="K763" t="n">
        <v>0</v>
      </c>
      <c r="L763" t="n">
        <v>0</v>
      </c>
      <c r="M763" t="n">
        <v>0</v>
      </c>
      <c r="N763" t="n">
        <v>0</v>
      </c>
      <c r="O763" t="n">
        <v>0</v>
      </c>
      <c r="P763" t="n">
        <v>0</v>
      </c>
      <c r="Q763" t="n">
        <v>0</v>
      </c>
      <c r="R763" s="2" t="inlineStr"/>
    </row>
    <row r="764" ht="15" customHeight="1">
      <c r="A764" t="inlineStr">
        <is>
          <t>A 20244-2021</t>
        </is>
      </c>
      <c r="B764" s="1" t="n">
        <v>44314</v>
      </c>
      <c r="C764" s="1" t="n">
        <v>46132</v>
      </c>
      <c r="D764" t="inlineStr">
        <is>
          <t>ÖREBRO LÄN</t>
        </is>
      </c>
      <c r="E764" t="inlineStr">
        <is>
          <t>HÄLLEFORS</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64008-2021</t>
        </is>
      </c>
      <c r="B765" s="1" t="n">
        <v>44510.29388888889</v>
      </c>
      <c r="C765" s="1" t="n">
        <v>46132</v>
      </c>
      <c r="D765" t="inlineStr">
        <is>
          <t>ÖREBRO LÄN</t>
        </is>
      </c>
      <c r="E765" t="inlineStr">
        <is>
          <t>ASKERSUND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46132</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19612-2022</t>
        </is>
      </c>
      <c r="B767" s="1" t="n">
        <v>44694.29309027778</v>
      </c>
      <c r="C767" s="1" t="n">
        <v>46132</v>
      </c>
      <c r="D767" t="inlineStr">
        <is>
          <t>ÖREBRO LÄN</t>
        </is>
      </c>
      <c r="E767" t="inlineStr">
        <is>
          <t>LINDESBERG</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18402-2021</t>
        </is>
      </c>
      <c r="B768" s="1" t="n">
        <v>44305</v>
      </c>
      <c r="C768" s="1" t="n">
        <v>46132</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46132</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63071-2021</t>
        </is>
      </c>
      <c r="B770" s="1" t="n">
        <v>44505</v>
      </c>
      <c r="C770" s="1" t="n">
        <v>46132</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46132</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46132</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19562-2022</t>
        </is>
      </c>
      <c r="B773" s="1" t="n">
        <v>44693.66775462963</v>
      </c>
      <c r="C773" s="1" t="n">
        <v>46132</v>
      </c>
      <c r="D773" t="inlineStr">
        <is>
          <t>ÖREBRO LÄN</t>
        </is>
      </c>
      <c r="E773" t="inlineStr">
        <is>
          <t>LINDESBERG</t>
        </is>
      </c>
      <c r="F773" t="inlineStr">
        <is>
          <t>Kyrkan</t>
        </is>
      </c>
      <c r="G773" t="n">
        <v>4.2</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46132</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46132</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34460-2021</t>
        </is>
      </c>
      <c r="B776" s="1" t="n">
        <v>44381</v>
      </c>
      <c r="C776" s="1" t="n">
        <v>46132</v>
      </c>
      <c r="D776" t="inlineStr">
        <is>
          <t>ÖREBRO LÄN</t>
        </is>
      </c>
      <c r="E776" t="inlineStr">
        <is>
          <t>KARLSKOGA</t>
        </is>
      </c>
      <c r="G776" t="n">
        <v>3.4</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46132</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46132</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46132</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46132</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39466-2021</t>
        </is>
      </c>
      <c r="B781" s="1" t="n">
        <v>44414.60469907407</v>
      </c>
      <c r="C781" s="1" t="n">
        <v>46132</v>
      </c>
      <c r="D781" t="inlineStr">
        <is>
          <t>ÖREBRO LÄN</t>
        </is>
      </c>
      <c r="E781" t="inlineStr">
        <is>
          <t>HALLSBERG</t>
        </is>
      </c>
      <c r="G781" t="n">
        <v>2.8</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46132</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46132</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46132</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42395-2021</t>
        </is>
      </c>
      <c r="B785" s="1" t="n">
        <v>44427</v>
      </c>
      <c r="C785" s="1" t="n">
        <v>46132</v>
      </c>
      <c r="D785" t="inlineStr">
        <is>
          <t>ÖREBRO LÄN</t>
        </is>
      </c>
      <c r="E785" t="inlineStr">
        <is>
          <t>LAXÅ</t>
        </is>
      </c>
      <c r="G785" t="n">
        <v>1.8</v>
      </c>
      <c r="H785" t="n">
        <v>0</v>
      </c>
      <c r="I785" t="n">
        <v>0</v>
      </c>
      <c r="J785" t="n">
        <v>0</v>
      </c>
      <c r="K785" t="n">
        <v>0</v>
      </c>
      <c r="L785" t="n">
        <v>0</v>
      </c>
      <c r="M785" t="n">
        <v>0</v>
      </c>
      <c r="N785" t="n">
        <v>0</v>
      </c>
      <c r="O785" t="n">
        <v>0</v>
      </c>
      <c r="P785" t="n">
        <v>0</v>
      </c>
      <c r="Q785" t="n">
        <v>0</v>
      </c>
      <c r="R785" s="2" t="inlineStr"/>
    </row>
    <row r="786" ht="15" customHeight="1">
      <c r="A786" t="inlineStr">
        <is>
          <t>A 50498-2021</t>
        </is>
      </c>
      <c r="B786" s="1" t="n">
        <v>44459.57613425926</v>
      </c>
      <c r="C786" s="1" t="n">
        <v>46132</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22861-2022</t>
        </is>
      </c>
      <c r="B787" s="1" t="n">
        <v>44715.48209490741</v>
      </c>
      <c r="C787" s="1" t="n">
        <v>46132</v>
      </c>
      <c r="D787" t="inlineStr">
        <is>
          <t>ÖREBRO LÄN</t>
        </is>
      </c>
      <c r="E787" t="inlineStr">
        <is>
          <t>KARLSKOGA</t>
        </is>
      </c>
      <c r="G787" t="n">
        <v>0.6</v>
      </c>
      <c r="H787" t="n">
        <v>0</v>
      </c>
      <c r="I787" t="n">
        <v>0</v>
      </c>
      <c r="J787" t="n">
        <v>0</v>
      </c>
      <c r="K787" t="n">
        <v>0</v>
      </c>
      <c r="L787" t="n">
        <v>0</v>
      </c>
      <c r="M787" t="n">
        <v>0</v>
      </c>
      <c r="N787" t="n">
        <v>0</v>
      </c>
      <c r="O787" t="n">
        <v>0</v>
      </c>
      <c r="P787" t="n">
        <v>0</v>
      </c>
      <c r="Q787" t="n">
        <v>0</v>
      </c>
      <c r="R787" s="2" t="inlineStr"/>
    </row>
    <row r="788" ht="15" customHeight="1">
      <c r="A788" t="inlineStr">
        <is>
          <t>A 47425-2021</t>
        </is>
      </c>
      <c r="B788" s="1" t="n">
        <v>44447</v>
      </c>
      <c r="C788" s="1" t="n">
        <v>46132</v>
      </c>
      <c r="D788" t="inlineStr">
        <is>
          <t>ÖREBRO LÄN</t>
        </is>
      </c>
      <c r="E788" t="inlineStr">
        <is>
          <t>LINDESBERG</t>
        </is>
      </c>
      <c r="G788" t="n">
        <v>0.4</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46132</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46132</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46132</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46132</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46132</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30878-2022</t>
        </is>
      </c>
      <c r="B794" s="1" t="n">
        <v>44767</v>
      </c>
      <c r="C794" s="1" t="n">
        <v>46132</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30787-2022</t>
        </is>
      </c>
      <c r="B795" s="1" t="n">
        <v>44764</v>
      </c>
      <c r="C795" s="1" t="n">
        <v>46132</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46132</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43453-2021</t>
        </is>
      </c>
      <c r="B797" s="1" t="n">
        <v>44432.68241898148</v>
      </c>
      <c r="C797" s="1" t="n">
        <v>46132</v>
      </c>
      <c r="D797" t="inlineStr">
        <is>
          <t>ÖREBRO LÄN</t>
        </is>
      </c>
      <c r="E797" t="inlineStr">
        <is>
          <t>LINDESBERG</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44146-2021</t>
        </is>
      </c>
      <c r="B798" s="1" t="n">
        <v>44434</v>
      </c>
      <c r="C798" s="1" t="n">
        <v>46132</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41026-2021</t>
        </is>
      </c>
      <c r="B799" s="1" t="n">
        <v>44421.66028935185</v>
      </c>
      <c r="C799" s="1" t="n">
        <v>46132</v>
      </c>
      <c r="D799" t="inlineStr">
        <is>
          <t>ÖREBRO LÄN</t>
        </is>
      </c>
      <c r="E799" t="inlineStr">
        <is>
          <t>KARLSKOGA</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5338-2022</t>
        </is>
      </c>
      <c r="B800" s="1" t="n">
        <v>44594</v>
      </c>
      <c r="C800" s="1" t="n">
        <v>46132</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23665-2022</t>
        </is>
      </c>
      <c r="B801" s="1" t="n">
        <v>44721</v>
      </c>
      <c r="C801" s="1" t="n">
        <v>46132</v>
      </c>
      <c r="D801" t="inlineStr">
        <is>
          <t>ÖREBRO LÄN</t>
        </is>
      </c>
      <c r="E801" t="inlineStr">
        <is>
          <t>HÄLLEFORS</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55146-2021</t>
        </is>
      </c>
      <c r="B802" s="1" t="n">
        <v>44474</v>
      </c>
      <c r="C802" s="1" t="n">
        <v>46132</v>
      </c>
      <c r="D802" t="inlineStr">
        <is>
          <t>ÖREBRO LÄN</t>
        </is>
      </c>
      <c r="E802" t="inlineStr">
        <is>
          <t>KUMLA</t>
        </is>
      </c>
      <c r="G802" t="n">
        <v>3.1</v>
      </c>
      <c r="H802" t="n">
        <v>0</v>
      </c>
      <c r="I802" t="n">
        <v>0</v>
      </c>
      <c r="J802" t="n">
        <v>0</v>
      </c>
      <c r="K802" t="n">
        <v>0</v>
      </c>
      <c r="L802" t="n">
        <v>0</v>
      </c>
      <c r="M802" t="n">
        <v>0</v>
      </c>
      <c r="N802" t="n">
        <v>0</v>
      </c>
      <c r="O802" t="n">
        <v>0</v>
      </c>
      <c r="P802" t="n">
        <v>0</v>
      </c>
      <c r="Q802" t="n">
        <v>0</v>
      </c>
      <c r="R802" s="2" t="inlineStr"/>
    </row>
    <row r="803" ht="15" customHeight="1">
      <c r="A803" t="inlineStr">
        <is>
          <t>A 46966-2021</t>
        </is>
      </c>
      <c r="B803" s="1" t="n">
        <v>44446</v>
      </c>
      <c r="C803" s="1" t="n">
        <v>46132</v>
      </c>
      <c r="D803" t="inlineStr">
        <is>
          <t>ÖREBRO LÄN</t>
        </is>
      </c>
      <c r="E803" t="inlineStr">
        <is>
          <t>ASKERSUND</t>
        </is>
      </c>
      <c r="G803" t="n">
        <v>3.3</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46132</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46132</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46132</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46132</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46132</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56294-2021</t>
        </is>
      </c>
      <c r="B809" s="1" t="n">
        <v>44480</v>
      </c>
      <c r="C809" s="1" t="n">
        <v>46132</v>
      </c>
      <c r="D809" t="inlineStr">
        <is>
          <t>ÖREBRO LÄN</t>
        </is>
      </c>
      <c r="E809" t="inlineStr">
        <is>
          <t>ASKERSUND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28870-2021</t>
        </is>
      </c>
      <c r="B810" s="1" t="n">
        <v>44357.75265046296</v>
      </c>
      <c r="C810" s="1" t="n">
        <v>46132</v>
      </c>
      <c r="D810" t="inlineStr">
        <is>
          <t>ÖREBRO LÄN</t>
        </is>
      </c>
      <c r="E810" t="inlineStr">
        <is>
          <t>ÖREBRO</t>
        </is>
      </c>
      <c r="F810" t="inlineStr">
        <is>
          <t>Övriga Aktiebolag</t>
        </is>
      </c>
      <c r="G810" t="n">
        <v>2.4</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46132</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54130-2021</t>
        </is>
      </c>
      <c r="B812" s="1" t="n">
        <v>44470</v>
      </c>
      <c r="C812" s="1" t="n">
        <v>46132</v>
      </c>
      <c r="D812" t="inlineStr">
        <is>
          <t>ÖREBRO LÄN</t>
        </is>
      </c>
      <c r="E812" t="inlineStr">
        <is>
          <t>DEGERFORS</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46132</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46132</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46132</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46132</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45495-2021</t>
        </is>
      </c>
      <c r="B817" s="1" t="n">
        <v>44440.53287037037</v>
      </c>
      <c r="C817" s="1" t="n">
        <v>46132</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46132</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46132</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46132</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46132</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50069-2021</t>
        </is>
      </c>
      <c r="B822" s="1" t="n">
        <v>44456</v>
      </c>
      <c r="C822" s="1" t="n">
        <v>46132</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65240-2021</t>
        </is>
      </c>
      <c r="B823" s="1" t="n">
        <v>44515</v>
      </c>
      <c r="C823" s="1" t="n">
        <v>46132</v>
      </c>
      <c r="D823" t="inlineStr">
        <is>
          <t>ÖREBRO LÄN</t>
        </is>
      </c>
      <c r="E823" t="inlineStr">
        <is>
          <t>HÄLLEFORS</t>
        </is>
      </c>
      <c r="G823" t="n">
        <v>0.8</v>
      </c>
      <c r="H823" t="n">
        <v>0</v>
      </c>
      <c r="I823" t="n">
        <v>0</v>
      </c>
      <c r="J823" t="n">
        <v>0</v>
      </c>
      <c r="K823" t="n">
        <v>0</v>
      </c>
      <c r="L823" t="n">
        <v>0</v>
      </c>
      <c r="M823" t="n">
        <v>0</v>
      </c>
      <c r="N823" t="n">
        <v>0</v>
      </c>
      <c r="O823" t="n">
        <v>0</v>
      </c>
      <c r="P823" t="n">
        <v>0</v>
      </c>
      <c r="Q823" t="n">
        <v>0</v>
      </c>
      <c r="R823" s="2" t="inlineStr"/>
    </row>
    <row r="824" ht="15" customHeight="1">
      <c r="A824" t="inlineStr">
        <is>
          <t>A 25885-2022</t>
        </is>
      </c>
      <c r="B824" s="1" t="n">
        <v>44733.71126157408</v>
      </c>
      <c r="C824" s="1" t="n">
        <v>46132</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30864-2021</t>
        </is>
      </c>
      <c r="B825" s="1" t="n">
        <v>44365</v>
      </c>
      <c r="C825" s="1" t="n">
        <v>46132</v>
      </c>
      <c r="D825" t="inlineStr">
        <is>
          <t>ÖREBRO LÄN</t>
        </is>
      </c>
      <c r="E825" t="inlineStr">
        <is>
          <t>KUMLA</t>
        </is>
      </c>
      <c r="G825" t="n">
        <v>1</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46132</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46132</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46132</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29997-2022</t>
        </is>
      </c>
      <c r="B829" s="1" t="n">
        <v>44756.86049768519</v>
      </c>
      <c r="C829" s="1" t="n">
        <v>46132</v>
      </c>
      <c r="D829" t="inlineStr">
        <is>
          <t>ÖREBRO LÄN</t>
        </is>
      </c>
      <c r="E829" t="inlineStr">
        <is>
          <t>ASKERSUND</t>
        </is>
      </c>
      <c r="G829" t="n">
        <v>4.8</v>
      </c>
      <c r="H829" t="n">
        <v>0</v>
      </c>
      <c r="I829" t="n">
        <v>0</v>
      </c>
      <c r="J829" t="n">
        <v>0</v>
      </c>
      <c r="K829" t="n">
        <v>0</v>
      </c>
      <c r="L829" t="n">
        <v>0</v>
      </c>
      <c r="M829" t="n">
        <v>0</v>
      </c>
      <c r="N829" t="n">
        <v>0</v>
      </c>
      <c r="O829" t="n">
        <v>0</v>
      </c>
      <c r="P829" t="n">
        <v>0</v>
      </c>
      <c r="Q829" t="n">
        <v>0</v>
      </c>
      <c r="R829" s="2" t="inlineStr"/>
    </row>
    <row r="830" ht="15" customHeight="1">
      <c r="A830" t="inlineStr">
        <is>
          <t>A 8296-2022</t>
        </is>
      </c>
      <c r="B830" s="1" t="n">
        <v>44610</v>
      </c>
      <c r="C830" s="1" t="n">
        <v>46132</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47371-2022</t>
        </is>
      </c>
      <c r="B831" s="1" t="n">
        <v>44853</v>
      </c>
      <c r="C831" s="1" t="n">
        <v>46132</v>
      </c>
      <c r="D831" t="inlineStr">
        <is>
          <t>ÖREBRO LÄN</t>
        </is>
      </c>
      <c r="E831" t="inlineStr">
        <is>
          <t>ASKERSUND</t>
        </is>
      </c>
      <c r="G831" t="n">
        <v>9</v>
      </c>
      <c r="H831" t="n">
        <v>0</v>
      </c>
      <c r="I831" t="n">
        <v>0</v>
      </c>
      <c r="J831" t="n">
        <v>0</v>
      </c>
      <c r="K831" t="n">
        <v>0</v>
      </c>
      <c r="L831" t="n">
        <v>0</v>
      </c>
      <c r="M831" t="n">
        <v>0</v>
      </c>
      <c r="N831" t="n">
        <v>0</v>
      </c>
      <c r="O831" t="n">
        <v>0</v>
      </c>
      <c r="P831" t="n">
        <v>0</v>
      </c>
      <c r="Q831" t="n">
        <v>0</v>
      </c>
      <c r="R831" s="2" t="inlineStr"/>
    </row>
    <row r="832" ht="15" customHeight="1">
      <c r="A832" t="inlineStr">
        <is>
          <t>A 34193-2022</t>
        </is>
      </c>
      <c r="B832" s="1" t="n">
        <v>44791.63450231482</v>
      </c>
      <c r="C832" s="1" t="n">
        <v>46132</v>
      </c>
      <c r="D832" t="inlineStr">
        <is>
          <t>ÖREBRO LÄN</t>
        </is>
      </c>
      <c r="E832" t="inlineStr">
        <is>
          <t>NORA</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36350-2022</t>
        </is>
      </c>
      <c r="B833" s="1" t="n">
        <v>44803</v>
      </c>
      <c r="C833" s="1" t="n">
        <v>46132</v>
      </c>
      <c r="D833" t="inlineStr">
        <is>
          <t>ÖREBRO LÄN</t>
        </is>
      </c>
      <c r="E833" t="inlineStr">
        <is>
          <t>LAXÅ</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22869-2021</t>
        </is>
      </c>
      <c r="B834" s="1" t="n">
        <v>44328</v>
      </c>
      <c r="C834" s="1" t="n">
        <v>46132</v>
      </c>
      <c r="D834" t="inlineStr">
        <is>
          <t>ÖREBRO LÄN</t>
        </is>
      </c>
      <c r="E834" t="inlineStr">
        <is>
          <t>LJUSNARSBERG</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34515-2021</t>
        </is>
      </c>
      <c r="B835" s="1" t="n">
        <v>44379</v>
      </c>
      <c r="C835" s="1" t="n">
        <v>46132</v>
      </c>
      <c r="D835" t="inlineStr">
        <is>
          <t>ÖREBRO LÄN</t>
        </is>
      </c>
      <c r="E835" t="inlineStr">
        <is>
          <t>LAXÅ</t>
        </is>
      </c>
      <c r="G835" t="n">
        <v>0.6</v>
      </c>
      <c r="H835" t="n">
        <v>0</v>
      </c>
      <c r="I835" t="n">
        <v>0</v>
      </c>
      <c r="J835" t="n">
        <v>0</v>
      </c>
      <c r="K835" t="n">
        <v>0</v>
      </c>
      <c r="L835" t="n">
        <v>0</v>
      </c>
      <c r="M835" t="n">
        <v>0</v>
      </c>
      <c r="N835" t="n">
        <v>0</v>
      </c>
      <c r="O835" t="n">
        <v>0</v>
      </c>
      <c r="P835" t="n">
        <v>0</v>
      </c>
      <c r="Q835" t="n">
        <v>0</v>
      </c>
      <c r="R835" s="2" t="inlineStr"/>
    </row>
    <row r="836" ht="15" customHeight="1">
      <c r="A836" t="inlineStr">
        <is>
          <t>A 22673-2022</t>
        </is>
      </c>
      <c r="B836" s="1" t="n">
        <v>44714.49141203704</v>
      </c>
      <c r="C836" s="1" t="n">
        <v>46132</v>
      </c>
      <c r="D836" t="inlineStr">
        <is>
          <t>ÖREBRO LÄN</t>
        </is>
      </c>
      <c r="E836" t="inlineStr">
        <is>
          <t>HÄLLEFORS</t>
        </is>
      </c>
      <c r="G836" t="n">
        <v>0.5</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46132</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46132</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46132</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46132</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37277-2021</t>
        </is>
      </c>
      <c r="B841" s="1" t="n">
        <v>44397</v>
      </c>
      <c r="C841" s="1" t="n">
        <v>46132</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10041-2022</t>
        </is>
      </c>
      <c r="B842" s="1" t="n">
        <v>44621</v>
      </c>
      <c r="C842" s="1" t="n">
        <v>46132</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25773-2022</t>
        </is>
      </c>
      <c r="B843" s="1" t="n">
        <v>44733.46353009259</v>
      </c>
      <c r="C843" s="1" t="n">
        <v>46132</v>
      </c>
      <c r="D843" t="inlineStr">
        <is>
          <t>ÖREBRO LÄN</t>
        </is>
      </c>
      <c r="E843" t="inlineStr">
        <is>
          <t>LJUSNARSBERG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46132</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46132</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46132</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46132</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46132</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49645-2022</t>
        </is>
      </c>
      <c r="B849" s="1" t="n">
        <v>44862.44369212963</v>
      </c>
      <c r="C849" s="1" t="n">
        <v>46132</v>
      </c>
      <c r="D849" t="inlineStr">
        <is>
          <t>ÖREBRO LÄN</t>
        </is>
      </c>
      <c r="E849" t="inlineStr">
        <is>
          <t>HALLSBERG</t>
        </is>
      </c>
      <c r="G849" t="n">
        <v>1.7</v>
      </c>
      <c r="H849" t="n">
        <v>0</v>
      </c>
      <c r="I849" t="n">
        <v>0</v>
      </c>
      <c r="J849" t="n">
        <v>0</v>
      </c>
      <c r="K849" t="n">
        <v>0</v>
      </c>
      <c r="L849" t="n">
        <v>0</v>
      </c>
      <c r="M849" t="n">
        <v>0</v>
      </c>
      <c r="N849" t="n">
        <v>0</v>
      </c>
      <c r="O849" t="n">
        <v>0</v>
      </c>
      <c r="P849" t="n">
        <v>0</v>
      </c>
      <c r="Q849" t="n">
        <v>0</v>
      </c>
      <c r="R849" s="2" t="inlineStr"/>
    </row>
    <row r="850" ht="15" customHeight="1">
      <c r="A850" t="inlineStr">
        <is>
          <t>A 15086-2022</t>
        </is>
      </c>
      <c r="B850" s="1" t="n">
        <v>44657</v>
      </c>
      <c r="C850" s="1" t="n">
        <v>46132</v>
      </c>
      <c r="D850" t="inlineStr">
        <is>
          <t>ÖREBRO LÄN</t>
        </is>
      </c>
      <c r="E850" t="inlineStr">
        <is>
          <t>HALLSBERG</t>
        </is>
      </c>
      <c r="G850" t="n">
        <v>5.1</v>
      </c>
      <c r="H850" t="n">
        <v>0</v>
      </c>
      <c r="I850" t="n">
        <v>0</v>
      </c>
      <c r="J850" t="n">
        <v>0</v>
      </c>
      <c r="K850" t="n">
        <v>0</v>
      </c>
      <c r="L850" t="n">
        <v>0</v>
      </c>
      <c r="M850" t="n">
        <v>0</v>
      </c>
      <c r="N850" t="n">
        <v>0</v>
      </c>
      <c r="O850" t="n">
        <v>0</v>
      </c>
      <c r="P850" t="n">
        <v>0</v>
      </c>
      <c r="Q850" t="n">
        <v>0</v>
      </c>
      <c r="R850" s="2" t="inlineStr"/>
    </row>
    <row r="851" ht="15" customHeight="1">
      <c r="A851" t="inlineStr">
        <is>
          <t>A 38276-2022</t>
        </is>
      </c>
      <c r="B851" s="1" t="n">
        <v>44812</v>
      </c>
      <c r="C851" s="1" t="n">
        <v>46132</v>
      </c>
      <c r="D851" t="inlineStr">
        <is>
          <t>ÖREBRO LÄN</t>
        </is>
      </c>
      <c r="E851" t="inlineStr">
        <is>
          <t>LJUSNARSBERG</t>
        </is>
      </c>
      <c r="G851" t="n">
        <v>0.6</v>
      </c>
      <c r="H851" t="n">
        <v>0</v>
      </c>
      <c r="I851" t="n">
        <v>0</v>
      </c>
      <c r="J851" t="n">
        <v>0</v>
      </c>
      <c r="K851" t="n">
        <v>0</v>
      </c>
      <c r="L851" t="n">
        <v>0</v>
      </c>
      <c r="M851" t="n">
        <v>0</v>
      </c>
      <c r="N851" t="n">
        <v>0</v>
      </c>
      <c r="O851" t="n">
        <v>0</v>
      </c>
      <c r="P851" t="n">
        <v>0</v>
      </c>
      <c r="Q851" t="n">
        <v>0</v>
      </c>
      <c r="R851" s="2" t="inlineStr"/>
    </row>
    <row r="852" ht="15" customHeight="1">
      <c r="A852" t="inlineStr">
        <is>
          <t>A 35976-2022</t>
        </is>
      </c>
      <c r="B852" s="1" t="n">
        <v>44690</v>
      </c>
      <c r="C852" s="1" t="n">
        <v>46132</v>
      </c>
      <c r="D852" t="inlineStr">
        <is>
          <t>ÖREBRO LÄN</t>
        </is>
      </c>
      <c r="E852" t="inlineStr">
        <is>
          <t>LJUSNARSBERG</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46132</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38484-2021</t>
        </is>
      </c>
      <c r="B854" s="1" t="n">
        <v>44407</v>
      </c>
      <c r="C854" s="1" t="n">
        <v>46132</v>
      </c>
      <c r="D854" t="inlineStr">
        <is>
          <t>ÖREBRO LÄN</t>
        </is>
      </c>
      <c r="E854" t="inlineStr">
        <is>
          <t>ASKERSUND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10277-2022</t>
        </is>
      </c>
      <c r="B855" s="1" t="n">
        <v>44622.69101851852</v>
      </c>
      <c r="C855" s="1" t="n">
        <v>46132</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46132</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46132</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46132</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46132</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63671-2021</t>
        </is>
      </c>
      <c r="B860" s="1" t="n">
        <v>44508</v>
      </c>
      <c r="C860" s="1" t="n">
        <v>46132</v>
      </c>
      <c r="D860" t="inlineStr">
        <is>
          <t>ÖREBRO LÄN</t>
        </is>
      </c>
      <c r="E860" t="inlineStr">
        <is>
          <t>KARLSKOGA</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46132</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56435-2021</t>
        </is>
      </c>
      <c r="B862" s="1" t="n">
        <v>44480</v>
      </c>
      <c r="C862" s="1" t="n">
        <v>46132</v>
      </c>
      <c r="D862" t="inlineStr">
        <is>
          <t>ÖREBRO LÄN</t>
        </is>
      </c>
      <c r="E862" t="inlineStr">
        <is>
          <t>KARLSKOGA</t>
        </is>
      </c>
      <c r="G862" t="n">
        <v>1.3</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46132</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19166-2021</t>
        </is>
      </c>
      <c r="B864" s="1" t="n">
        <v>44308</v>
      </c>
      <c r="C864" s="1" t="n">
        <v>46132</v>
      </c>
      <c r="D864" t="inlineStr">
        <is>
          <t>ÖREBRO LÄN</t>
        </is>
      </c>
      <c r="E864" t="inlineStr">
        <is>
          <t>NORA</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58380-2021</t>
        </is>
      </c>
      <c r="B865" s="1" t="n">
        <v>44488</v>
      </c>
      <c r="C865" s="1" t="n">
        <v>46132</v>
      </c>
      <c r="D865" t="inlineStr">
        <is>
          <t>ÖREBRO LÄN</t>
        </is>
      </c>
      <c r="E865" t="inlineStr">
        <is>
          <t>LEKEBERG</t>
        </is>
      </c>
      <c r="G865" t="n">
        <v>3.4</v>
      </c>
      <c r="H865" t="n">
        <v>0</v>
      </c>
      <c r="I865" t="n">
        <v>0</v>
      </c>
      <c r="J865" t="n">
        <v>0</v>
      </c>
      <c r="K865" t="n">
        <v>0</v>
      </c>
      <c r="L865" t="n">
        <v>0</v>
      </c>
      <c r="M865" t="n">
        <v>0</v>
      </c>
      <c r="N865" t="n">
        <v>0</v>
      </c>
      <c r="O865" t="n">
        <v>0</v>
      </c>
      <c r="P865" t="n">
        <v>0</v>
      </c>
      <c r="Q865" t="n">
        <v>0</v>
      </c>
      <c r="R865" s="2" t="inlineStr"/>
    </row>
    <row r="866" ht="15" customHeight="1">
      <c r="A866" t="inlineStr">
        <is>
          <t>A 42184-2021</t>
        </is>
      </c>
      <c r="B866" s="1" t="n">
        <v>44426</v>
      </c>
      <c r="C866" s="1" t="n">
        <v>46132</v>
      </c>
      <c r="D866" t="inlineStr">
        <is>
          <t>ÖREBRO LÄN</t>
        </is>
      </c>
      <c r="E866" t="inlineStr">
        <is>
          <t>LAXÅ</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55757-2021</t>
        </is>
      </c>
      <c r="B867" s="1" t="n">
        <v>44476.51611111111</v>
      </c>
      <c r="C867" s="1" t="n">
        <v>46132</v>
      </c>
      <c r="D867" t="inlineStr">
        <is>
          <t>ÖREBRO LÄN</t>
        </is>
      </c>
      <c r="E867" t="inlineStr">
        <is>
          <t>KUMLA</t>
        </is>
      </c>
      <c r="G867" t="n">
        <v>3.4</v>
      </c>
      <c r="H867" t="n">
        <v>0</v>
      </c>
      <c r="I867" t="n">
        <v>0</v>
      </c>
      <c r="J867" t="n">
        <v>0</v>
      </c>
      <c r="K867" t="n">
        <v>0</v>
      </c>
      <c r="L867" t="n">
        <v>0</v>
      </c>
      <c r="M867" t="n">
        <v>0</v>
      </c>
      <c r="N867" t="n">
        <v>0</v>
      </c>
      <c r="O867" t="n">
        <v>0</v>
      </c>
      <c r="P867" t="n">
        <v>0</v>
      </c>
      <c r="Q867" t="n">
        <v>0</v>
      </c>
      <c r="R867" s="2" t="inlineStr"/>
    </row>
    <row r="868" ht="15" customHeight="1">
      <c r="A868" t="inlineStr">
        <is>
          <t>A 55760-2021</t>
        </is>
      </c>
      <c r="B868" s="1" t="n">
        <v>44476.52109953704</v>
      </c>
      <c r="C868" s="1" t="n">
        <v>46132</v>
      </c>
      <c r="D868" t="inlineStr">
        <is>
          <t>ÖREBRO LÄN</t>
        </is>
      </c>
      <c r="E868" t="inlineStr">
        <is>
          <t>KUMLA</t>
        </is>
      </c>
      <c r="G868" t="n">
        <v>2.2</v>
      </c>
      <c r="H868" t="n">
        <v>0</v>
      </c>
      <c r="I868" t="n">
        <v>0</v>
      </c>
      <c r="J868" t="n">
        <v>0</v>
      </c>
      <c r="K868" t="n">
        <v>0</v>
      </c>
      <c r="L868" t="n">
        <v>0</v>
      </c>
      <c r="M868" t="n">
        <v>0</v>
      </c>
      <c r="N868" t="n">
        <v>0</v>
      </c>
      <c r="O868" t="n">
        <v>0</v>
      </c>
      <c r="P868" t="n">
        <v>0</v>
      </c>
      <c r="Q868" t="n">
        <v>0</v>
      </c>
      <c r="R868" s="2" t="inlineStr"/>
    </row>
    <row r="869" ht="15" customHeight="1">
      <c r="A869" t="inlineStr">
        <is>
          <t>A 55765-2021</t>
        </is>
      </c>
      <c r="B869" s="1" t="n">
        <v>44476</v>
      </c>
      <c r="C869" s="1" t="n">
        <v>46132</v>
      </c>
      <c r="D869" t="inlineStr">
        <is>
          <t>ÖREBRO LÄN</t>
        </is>
      </c>
      <c r="E869" t="inlineStr">
        <is>
          <t>KUMLA</t>
        </is>
      </c>
      <c r="G869" t="n">
        <v>3.6</v>
      </c>
      <c r="H869" t="n">
        <v>0</v>
      </c>
      <c r="I869" t="n">
        <v>0</v>
      </c>
      <c r="J869" t="n">
        <v>0</v>
      </c>
      <c r="K869" t="n">
        <v>0</v>
      </c>
      <c r="L869" t="n">
        <v>0</v>
      </c>
      <c r="M869" t="n">
        <v>0</v>
      </c>
      <c r="N869" t="n">
        <v>0</v>
      </c>
      <c r="O869" t="n">
        <v>0</v>
      </c>
      <c r="P869" t="n">
        <v>0</v>
      </c>
      <c r="Q869" t="n">
        <v>0</v>
      </c>
      <c r="R869" s="2" t="inlineStr"/>
    </row>
    <row r="870" ht="15" customHeight="1">
      <c r="A870" t="inlineStr">
        <is>
          <t>A 9426-2022</t>
        </is>
      </c>
      <c r="B870" s="1" t="n">
        <v>44616.68016203704</v>
      </c>
      <c r="C870" s="1" t="n">
        <v>46132</v>
      </c>
      <c r="D870" t="inlineStr">
        <is>
          <t>ÖREBRO LÄN</t>
        </is>
      </c>
      <c r="E870" t="inlineStr">
        <is>
          <t>HALLSBERG</t>
        </is>
      </c>
      <c r="G870" t="n">
        <v>2.1</v>
      </c>
      <c r="H870" t="n">
        <v>0</v>
      </c>
      <c r="I870" t="n">
        <v>0</v>
      </c>
      <c r="J870" t="n">
        <v>0</v>
      </c>
      <c r="K870" t="n">
        <v>0</v>
      </c>
      <c r="L870" t="n">
        <v>0</v>
      </c>
      <c r="M870" t="n">
        <v>0</v>
      </c>
      <c r="N870" t="n">
        <v>0</v>
      </c>
      <c r="O870" t="n">
        <v>0</v>
      </c>
      <c r="P870" t="n">
        <v>0</v>
      </c>
      <c r="Q870" t="n">
        <v>0</v>
      </c>
      <c r="R870" s="2" t="inlineStr"/>
    </row>
    <row r="871" ht="15" customHeight="1">
      <c r="A871" t="inlineStr">
        <is>
          <t>A 67971-2021</t>
        </is>
      </c>
      <c r="B871" s="1" t="n">
        <v>44525.66660879629</v>
      </c>
      <c r="C871" s="1" t="n">
        <v>46132</v>
      </c>
      <c r="D871" t="inlineStr">
        <is>
          <t>ÖREBRO LÄN</t>
        </is>
      </c>
      <c r="E871" t="inlineStr">
        <is>
          <t>HÄLLEFORS</t>
        </is>
      </c>
      <c r="G871" t="n">
        <v>0.8</v>
      </c>
      <c r="H871" t="n">
        <v>0</v>
      </c>
      <c r="I871" t="n">
        <v>0</v>
      </c>
      <c r="J871" t="n">
        <v>0</v>
      </c>
      <c r="K871" t="n">
        <v>0</v>
      </c>
      <c r="L871" t="n">
        <v>0</v>
      </c>
      <c r="M871" t="n">
        <v>0</v>
      </c>
      <c r="N871" t="n">
        <v>0</v>
      </c>
      <c r="O871" t="n">
        <v>0</v>
      </c>
      <c r="P871" t="n">
        <v>0</v>
      </c>
      <c r="Q871" t="n">
        <v>0</v>
      </c>
      <c r="R871" s="2" t="inlineStr"/>
    </row>
    <row r="872" ht="15" customHeight="1">
      <c r="A872" t="inlineStr">
        <is>
          <t>A 31717-2022</t>
        </is>
      </c>
      <c r="B872" s="1" t="n">
        <v>44776.45553240741</v>
      </c>
      <c r="C872" s="1" t="n">
        <v>46132</v>
      </c>
      <c r="D872" t="inlineStr">
        <is>
          <t>ÖREBRO LÄN</t>
        </is>
      </c>
      <c r="E872" t="inlineStr">
        <is>
          <t>ASKERSUND</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46132</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46132</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15502-2022</t>
        </is>
      </c>
      <c r="B875" s="1" t="n">
        <v>44662.38864583334</v>
      </c>
      <c r="C875" s="1" t="n">
        <v>46132</v>
      </c>
      <c r="D875" t="inlineStr">
        <is>
          <t>ÖREBRO LÄN</t>
        </is>
      </c>
      <c r="E875" t="inlineStr">
        <is>
          <t>LAXÅ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52222-2021</t>
        </is>
      </c>
      <c r="B876" s="1" t="n">
        <v>44463.58862268519</v>
      </c>
      <c r="C876" s="1" t="n">
        <v>46132</v>
      </c>
      <c r="D876" t="inlineStr">
        <is>
          <t>ÖREBRO LÄN</t>
        </is>
      </c>
      <c r="E876" t="inlineStr">
        <is>
          <t>ASKERSUND</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48216-2021</t>
        </is>
      </c>
      <c r="B877" s="1" t="n">
        <v>44449</v>
      </c>
      <c r="C877" s="1" t="n">
        <v>46132</v>
      </c>
      <c r="D877" t="inlineStr">
        <is>
          <t>ÖREBRO LÄN</t>
        </is>
      </c>
      <c r="E877" t="inlineStr">
        <is>
          <t>LAXÅ</t>
        </is>
      </c>
      <c r="G877" t="n">
        <v>2.1</v>
      </c>
      <c r="H877" t="n">
        <v>0</v>
      </c>
      <c r="I877" t="n">
        <v>0</v>
      </c>
      <c r="J877" t="n">
        <v>0</v>
      </c>
      <c r="K877" t="n">
        <v>0</v>
      </c>
      <c r="L877" t="n">
        <v>0</v>
      </c>
      <c r="M877" t="n">
        <v>0</v>
      </c>
      <c r="N877" t="n">
        <v>0</v>
      </c>
      <c r="O877" t="n">
        <v>0</v>
      </c>
      <c r="P877" t="n">
        <v>0</v>
      </c>
      <c r="Q877" t="n">
        <v>0</v>
      </c>
      <c r="R877" s="2" t="inlineStr"/>
    </row>
    <row r="878" ht="15" customHeight="1">
      <c r="A878" t="inlineStr">
        <is>
          <t>A 62832-2021</t>
        </is>
      </c>
      <c r="B878" s="1" t="n">
        <v>44503</v>
      </c>
      <c r="C878" s="1" t="n">
        <v>46132</v>
      </c>
      <c r="D878" t="inlineStr">
        <is>
          <t>ÖREBRO LÄN</t>
        </is>
      </c>
      <c r="E878" t="inlineStr">
        <is>
          <t>ASKERSUND</t>
        </is>
      </c>
      <c r="G878" t="n">
        <v>4.4</v>
      </c>
      <c r="H878" t="n">
        <v>0</v>
      </c>
      <c r="I878" t="n">
        <v>0</v>
      </c>
      <c r="J878" t="n">
        <v>0</v>
      </c>
      <c r="K878" t="n">
        <v>0</v>
      </c>
      <c r="L878" t="n">
        <v>0</v>
      </c>
      <c r="M878" t="n">
        <v>0</v>
      </c>
      <c r="N878" t="n">
        <v>0</v>
      </c>
      <c r="O878" t="n">
        <v>0</v>
      </c>
      <c r="P878" t="n">
        <v>0</v>
      </c>
      <c r="Q878" t="n">
        <v>0</v>
      </c>
      <c r="R878" s="2" t="inlineStr"/>
    </row>
    <row r="879" ht="15" customHeight="1">
      <c r="A879" t="inlineStr">
        <is>
          <t>A 68977-2021</t>
        </is>
      </c>
      <c r="B879" s="1" t="n">
        <v>44530.56172453704</v>
      </c>
      <c r="C879" s="1" t="n">
        <v>46132</v>
      </c>
      <c r="D879" t="inlineStr">
        <is>
          <t>ÖREBRO LÄN</t>
        </is>
      </c>
      <c r="E879" t="inlineStr">
        <is>
          <t>ASKERSUND</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12292-2022</t>
        </is>
      </c>
      <c r="B880" s="1" t="n">
        <v>44637</v>
      </c>
      <c r="C880" s="1" t="n">
        <v>46132</v>
      </c>
      <c r="D880" t="inlineStr">
        <is>
          <t>ÖREBRO LÄN</t>
        </is>
      </c>
      <c r="E880" t="inlineStr">
        <is>
          <t>ASKERSUND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25858-2022</t>
        </is>
      </c>
      <c r="B881" s="1" t="n">
        <v>44733.62664351852</v>
      </c>
      <c r="C881" s="1" t="n">
        <v>46132</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46132</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64778-2021</t>
        </is>
      </c>
      <c r="B883" s="1" t="n">
        <v>44512</v>
      </c>
      <c r="C883" s="1" t="n">
        <v>46132</v>
      </c>
      <c r="D883" t="inlineStr">
        <is>
          <t>ÖREBRO LÄN</t>
        </is>
      </c>
      <c r="E883" t="inlineStr">
        <is>
          <t>ASKERSUND</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23330-2022</t>
        </is>
      </c>
      <c r="B884" s="1" t="n">
        <v>44720</v>
      </c>
      <c r="C884" s="1" t="n">
        <v>46132</v>
      </c>
      <c r="D884" t="inlineStr">
        <is>
          <t>ÖREBRO LÄN</t>
        </is>
      </c>
      <c r="E884" t="inlineStr">
        <is>
          <t>HALLSBERG</t>
        </is>
      </c>
      <c r="G884" t="n">
        <v>2.8</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46132</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67780-2021</t>
        </is>
      </c>
      <c r="B886" s="1" t="n">
        <v>44525</v>
      </c>
      <c r="C886" s="1" t="n">
        <v>46132</v>
      </c>
      <c r="D886" t="inlineStr">
        <is>
          <t>ÖREBRO LÄN</t>
        </is>
      </c>
      <c r="E886" t="inlineStr">
        <is>
          <t>HÄLLEFORS</t>
        </is>
      </c>
      <c r="G886" t="n">
        <v>7.9</v>
      </c>
      <c r="H886" t="n">
        <v>0</v>
      </c>
      <c r="I886" t="n">
        <v>0</v>
      </c>
      <c r="J886" t="n">
        <v>0</v>
      </c>
      <c r="K886" t="n">
        <v>0</v>
      </c>
      <c r="L886" t="n">
        <v>0</v>
      </c>
      <c r="M886" t="n">
        <v>0</v>
      </c>
      <c r="N886" t="n">
        <v>0</v>
      </c>
      <c r="O886" t="n">
        <v>0</v>
      </c>
      <c r="P886" t="n">
        <v>0</v>
      </c>
      <c r="Q886" t="n">
        <v>0</v>
      </c>
      <c r="R886" s="2" t="inlineStr"/>
    </row>
    <row r="887" ht="15" customHeight="1">
      <c r="A887" t="inlineStr">
        <is>
          <t>A 36348-2022</t>
        </is>
      </c>
      <c r="B887" s="1" t="n">
        <v>44803</v>
      </c>
      <c r="C887" s="1" t="n">
        <v>46132</v>
      </c>
      <c r="D887" t="inlineStr">
        <is>
          <t>ÖREBRO LÄN</t>
        </is>
      </c>
      <c r="E887" t="inlineStr">
        <is>
          <t>LAXÅ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61570-2021</t>
        </is>
      </c>
      <c r="B888" s="1" t="n">
        <v>44501.44331018518</v>
      </c>
      <c r="C888" s="1" t="n">
        <v>46132</v>
      </c>
      <c r="D888" t="inlineStr">
        <is>
          <t>ÖREBRO LÄN</t>
        </is>
      </c>
      <c r="E888" t="inlineStr">
        <is>
          <t>ASKERSUND</t>
        </is>
      </c>
      <c r="G888" t="n">
        <v>6.1</v>
      </c>
      <c r="H888" t="n">
        <v>0</v>
      </c>
      <c r="I888" t="n">
        <v>0</v>
      </c>
      <c r="J888" t="n">
        <v>0</v>
      </c>
      <c r="K888" t="n">
        <v>0</v>
      </c>
      <c r="L888" t="n">
        <v>0</v>
      </c>
      <c r="M888" t="n">
        <v>0</v>
      </c>
      <c r="N888" t="n">
        <v>0</v>
      </c>
      <c r="O888" t="n">
        <v>0</v>
      </c>
      <c r="P888" t="n">
        <v>0</v>
      </c>
      <c r="Q888" t="n">
        <v>0</v>
      </c>
      <c r="R888" s="2" t="inlineStr"/>
    </row>
    <row r="889" ht="15" customHeight="1">
      <c r="A889" t="inlineStr">
        <is>
          <t>A 28863-2021</t>
        </is>
      </c>
      <c r="B889" s="1" t="n">
        <v>44357.69152777778</v>
      </c>
      <c r="C889" s="1" t="n">
        <v>46132</v>
      </c>
      <c r="D889" t="inlineStr">
        <is>
          <t>ÖREBRO LÄN</t>
        </is>
      </c>
      <c r="E889" t="inlineStr">
        <is>
          <t>LAXÅ</t>
        </is>
      </c>
      <c r="F889" t="inlineStr">
        <is>
          <t>Sveaskog</t>
        </is>
      </c>
      <c r="G889" t="n">
        <v>4.8</v>
      </c>
      <c r="H889" t="n">
        <v>0</v>
      </c>
      <c r="I889" t="n">
        <v>0</v>
      </c>
      <c r="J889" t="n">
        <v>0</v>
      </c>
      <c r="K889" t="n">
        <v>0</v>
      </c>
      <c r="L889" t="n">
        <v>0</v>
      </c>
      <c r="M889" t="n">
        <v>0</v>
      </c>
      <c r="N889" t="n">
        <v>0</v>
      </c>
      <c r="O889" t="n">
        <v>0</v>
      </c>
      <c r="P889" t="n">
        <v>0</v>
      </c>
      <c r="Q889" t="n">
        <v>0</v>
      </c>
      <c r="R889" s="2" t="inlineStr"/>
    </row>
    <row r="890" ht="15" customHeight="1">
      <c r="A890" t="inlineStr">
        <is>
          <t>A 37582-2022</t>
        </is>
      </c>
      <c r="B890" s="1" t="n">
        <v>44809.80543981482</v>
      </c>
      <c r="C890" s="1" t="n">
        <v>46132</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68491-2021</t>
        </is>
      </c>
      <c r="B891" s="1" t="n">
        <v>44526</v>
      </c>
      <c r="C891" s="1" t="n">
        <v>46132</v>
      </c>
      <c r="D891" t="inlineStr">
        <is>
          <t>ÖREBRO LÄN</t>
        </is>
      </c>
      <c r="E891" t="inlineStr">
        <is>
          <t>LINDESBERG</t>
        </is>
      </c>
      <c r="G891" t="n">
        <v>1</v>
      </c>
      <c r="H891" t="n">
        <v>0</v>
      </c>
      <c r="I891" t="n">
        <v>0</v>
      </c>
      <c r="J891" t="n">
        <v>0</v>
      </c>
      <c r="K891" t="n">
        <v>0</v>
      </c>
      <c r="L891" t="n">
        <v>0</v>
      </c>
      <c r="M891" t="n">
        <v>0</v>
      </c>
      <c r="N891" t="n">
        <v>0</v>
      </c>
      <c r="O891" t="n">
        <v>0</v>
      </c>
      <c r="P891" t="n">
        <v>0</v>
      </c>
      <c r="Q891" t="n">
        <v>0</v>
      </c>
      <c r="R891" s="2" t="inlineStr"/>
    </row>
    <row r="892" ht="15" customHeight="1">
      <c r="A892" t="inlineStr">
        <is>
          <t>A 36221-2021</t>
        </is>
      </c>
      <c r="B892" s="1" t="n">
        <v>44389</v>
      </c>
      <c r="C892" s="1" t="n">
        <v>46132</v>
      </c>
      <c r="D892" t="inlineStr">
        <is>
          <t>ÖREBRO LÄN</t>
        </is>
      </c>
      <c r="E892" t="inlineStr">
        <is>
          <t>LINDESBERG</t>
        </is>
      </c>
      <c r="G892" t="n">
        <v>5.9</v>
      </c>
      <c r="H892" t="n">
        <v>0</v>
      </c>
      <c r="I892" t="n">
        <v>0</v>
      </c>
      <c r="J892" t="n">
        <v>0</v>
      </c>
      <c r="K892" t="n">
        <v>0</v>
      </c>
      <c r="L892" t="n">
        <v>0</v>
      </c>
      <c r="M892" t="n">
        <v>0</v>
      </c>
      <c r="N892" t="n">
        <v>0</v>
      </c>
      <c r="O892" t="n">
        <v>0</v>
      </c>
      <c r="P892" t="n">
        <v>0</v>
      </c>
      <c r="Q892" t="n">
        <v>0</v>
      </c>
      <c r="R892" s="2" t="inlineStr"/>
    </row>
    <row r="893" ht="15" customHeight="1">
      <c r="A893" t="inlineStr">
        <is>
          <t>A 38012-2022</t>
        </is>
      </c>
      <c r="B893" s="1" t="n">
        <v>44811</v>
      </c>
      <c r="C893" s="1" t="n">
        <v>46132</v>
      </c>
      <c r="D893" t="inlineStr">
        <is>
          <t>ÖREBRO LÄN</t>
        </is>
      </c>
      <c r="E893" t="inlineStr">
        <is>
          <t>KARLSKOGA</t>
        </is>
      </c>
      <c r="G893" t="n">
        <v>3.7</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46132</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47044-2021</t>
        </is>
      </c>
      <c r="B895" s="1" t="n">
        <v>44446</v>
      </c>
      <c r="C895" s="1" t="n">
        <v>46132</v>
      </c>
      <c r="D895" t="inlineStr">
        <is>
          <t>ÖREBRO LÄN</t>
        </is>
      </c>
      <c r="E895" t="inlineStr">
        <is>
          <t>LINDESBERG</t>
        </is>
      </c>
      <c r="G895" t="n">
        <v>5</v>
      </c>
      <c r="H895" t="n">
        <v>0</v>
      </c>
      <c r="I895" t="n">
        <v>0</v>
      </c>
      <c r="J895" t="n">
        <v>0</v>
      </c>
      <c r="K895" t="n">
        <v>0</v>
      </c>
      <c r="L895" t="n">
        <v>0</v>
      </c>
      <c r="M895" t="n">
        <v>0</v>
      </c>
      <c r="N895" t="n">
        <v>0</v>
      </c>
      <c r="O895" t="n">
        <v>0</v>
      </c>
      <c r="P895" t="n">
        <v>0</v>
      </c>
      <c r="Q895" t="n">
        <v>0</v>
      </c>
      <c r="R895" s="2" t="inlineStr"/>
    </row>
    <row r="896" ht="15" customHeight="1">
      <c r="A896" t="inlineStr">
        <is>
          <t>A 49634-2022</t>
        </is>
      </c>
      <c r="B896" s="1" t="n">
        <v>44862.43146990741</v>
      </c>
      <c r="C896" s="1" t="n">
        <v>46132</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49635-2022</t>
        </is>
      </c>
      <c r="B897" s="1" t="n">
        <v>44862.43199074074</v>
      </c>
      <c r="C897" s="1" t="n">
        <v>46132</v>
      </c>
      <c r="D897" t="inlineStr">
        <is>
          <t>ÖREBRO LÄN</t>
        </is>
      </c>
      <c r="E897" t="inlineStr">
        <is>
          <t>NORA</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56123-2022</t>
        </is>
      </c>
      <c r="B898" s="1" t="n">
        <v>44889.68100694445</v>
      </c>
      <c r="C898" s="1" t="n">
        <v>46132</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row r="899" ht="15" customHeight="1">
      <c r="A899" t="inlineStr">
        <is>
          <t>A 42743-2021</t>
        </is>
      </c>
      <c r="B899" s="1" t="n">
        <v>44428.61717592592</v>
      </c>
      <c r="C899" s="1" t="n">
        <v>46132</v>
      </c>
      <c r="D899" t="inlineStr">
        <is>
          <t>ÖREBRO LÄN</t>
        </is>
      </c>
      <c r="E899" t="inlineStr">
        <is>
          <t>NORA</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50552-2022</t>
        </is>
      </c>
      <c r="B900" s="1" t="n">
        <v>44866.62049768519</v>
      </c>
      <c r="C900" s="1" t="n">
        <v>46132</v>
      </c>
      <c r="D900" t="inlineStr">
        <is>
          <t>ÖREBRO LÄN</t>
        </is>
      </c>
      <c r="E900" t="inlineStr">
        <is>
          <t>LJUSNARSBERG</t>
        </is>
      </c>
      <c r="G900" t="n">
        <v>0.7</v>
      </c>
      <c r="H900" t="n">
        <v>0</v>
      </c>
      <c r="I900" t="n">
        <v>0</v>
      </c>
      <c r="J900" t="n">
        <v>0</v>
      </c>
      <c r="K900" t="n">
        <v>0</v>
      </c>
      <c r="L900" t="n">
        <v>0</v>
      </c>
      <c r="M900" t="n">
        <v>0</v>
      </c>
      <c r="N900" t="n">
        <v>0</v>
      </c>
      <c r="O900" t="n">
        <v>0</v>
      </c>
      <c r="P900" t="n">
        <v>0</v>
      </c>
      <c r="Q900" t="n">
        <v>0</v>
      </c>
      <c r="R900" s="2" t="inlineStr"/>
    </row>
    <row r="901" ht="15" customHeight="1">
      <c r="A901" t="inlineStr">
        <is>
          <t>A 6638-2022</t>
        </is>
      </c>
      <c r="B901" s="1" t="n">
        <v>44601</v>
      </c>
      <c r="C901" s="1" t="n">
        <v>46132</v>
      </c>
      <c r="D901" t="inlineStr">
        <is>
          <t>ÖREBRO LÄN</t>
        </is>
      </c>
      <c r="E901" t="inlineStr">
        <is>
          <t>ÖREBRO</t>
        </is>
      </c>
      <c r="G901" t="n">
        <v>3.3</v>
      </c>
      <c r="H901" t="n">
        <v>0</v>
      </c>
      <c r="I901" t="n">
        <v>0</v>
      </c>
      <c r="J901" t="n">
        <v>0</v>
      </c>
      <c r="K901" t="n">
        <v>0</v>
      </c>
      <c r="L901" t="n">
        <v>0</v>
      </c>
      <c r="M901" t="n">
        <v>0</v>
      </c>
      <c r="N901" t="n">
        <v>0</v>
      </c>
      <c r="O901" t="n">
        <v>0</v>
      </c>
      <c r="P901" t="n">
        <v>0</v>
      </c>
      <c r="Q901" t="n">
        <v>0</v>
      </c>
      <c r="R901" s="2" t="inlineStr"/>
    </row>
    <row r="902" ht="15" customHeight="1">
      <c r="A902" t="inlineStr">
        <is>
          <t>A 48184-2022</t>
        </is>
      </c>
      <c r="B902" s="1" t="n">
        <v>44858</v>
      </c>
      <c r="C902" s="1" t="n">
        <v>46132</v>
      </c>
      <c r="D902" t="inlineStr">
        <is>
          <t>ÖREBRO LÄN</t>
        </is>
      </c>
      <c r="E902" t="inlineStr">
        <is>
          <t>HÄLLEFORS</t>
        </is>
      </c>
      <c r="F902" t="inlineStr">
        <is>
          <t>Bergvik skog väst AB</t>
        </is>
      </c>
      <c r="G902" t="n">
        <v>5.1</v>
      </c>
      <c r="H902" t="n">
        <v>0</v>
      </c>
      <c r="I902" t="n">
        <v>0</v>
      </c>
      <c r="J902" t="n">
        <v>0</v>
      </c>
      <c r="K902" t="n">
        <v>0</v>
      </c>
      <c r="L902" t="n">
        <v>0</v>
      </c>
      <c r="M902" t="n">
        <v>0</v>
      </c>
      <c r="N902" t="n">
        <v>0</v>
      </c>
      <c r="O902" t="n">
        <v>0</v>
      </c>
      <c r="P902" t="n">
        <v>0</v>
      </c>
      <c r="Q902" t="n">
        <v>0</v>
      </c>
      <c r="R902" s="2" t="inlineStr"/>
    </row>
    <row r="903" ht="15" customHeight="1">
      <c r="A903" t="inlineStr">
        <is>
          <t>A 70153-2021</t>
        </is>
      </c>
      <c r="B903" s="1" t="n">
        <v>44533.67351851852</v>
      </c>
      <c r="C903" s="1" t="n">
        <v>46132</v>
      </c>
      <c r="D903" t="inlineStr">
        <is>
          <t>ÖREBRO LÄN</t>
        </is>
      </c>
      <c r="E903" t="inlineStr">
        <is>
          <t>HALLSBERG</t>
        </is>
      </c>
      <c r="F903" t="inlineStr">
        <is>
          <t>Allmännings- och besparingsskogar</t>
        </is>
      </c>
      <c r="G903" t="n">
        <v>0.9</v>
      </c>
      <c r="H903" t="n">
        <v>0</v>
      </c>
      <c r="I903" t="n">
        <v>0</v>
      </c>
      <c r="J903" t="n">
        <v>0</v>
      </c>
      <c r="K903" t="n">
        <v>0</v>
      </c>
      <c r="L903" t="n">
        <v>0</v>
      </c>
      <c r="M903" t="n">
        <v>0</v>
      </c>
      <c r="N903" t="n">
        <v>0</v>
      </c>
      <c r="O903" t="n">
        <v>0</v>
      </c>
      <c r="P903" t="n">
        <v>0</v>
      </c>
      <c r="Q903" t="n">
        <v>0</v>
      </c>
      <c r="R903" s="2" t="inlineStr"/>
    </row>
    <row r="904" ht="15" customHeight="1">
      <c r="A904" t="inlineStr">
        <is>
          <t>A 44171-2022</t>
        </is>
      </c>
      <c r="B904" s="1" t="n">
        <v>44839</v>
      </c>
      <c r="C904" s="1" t="n">
        <v>46132</v>
      </c>
      <c r="D904" t="inlineStr">
        <is>
          <t>ÖREBRO LÄN</t>
        </is>
      </c>
      <c r="E904" t="inlineStr">
        <is>
          <t>HÄLLEFORS</t>
        </is>
      </c>
      <c r="F904" t="inlineStr">
        <is>
          <t>Bergvik skog väst AB</t>
        </is>
      </c>
      <c r="G904" t="n">
        <v>1</v>
      </c>
      <c r="H904" t="n">
        <v>0</v>
      </c>
      <c r="I904" t="n">
        <v>0</v>
      </c>
      <c r="J904" t="n">
        <v>0</v>
      </c>
      <c r="K904" t="n">
        <v>0</v>
      </c>
      <c r="L904" t="n">
        <v>0</v>
      </c>
      <c r="M904" t="n">
        <v>0</v>
      </c>
      <c r="N904" t="n">
        <v>0</v>
      </c>
      <c r="O904" t="n">
        <v>0</v>
      </c>
      <c r="P904" t="n">
        <v>0</v>
      </c>
      <c r="Q904" t="n">
        <v>0</v>
      </c>
      <c r="R904" s="2" t="inlineStr"/>
    </row>
    <row r="905" ht="15" customHeight="1">
      <c r="A905" t="inlineStr">
        <is>
          <t>A 6726-2022</t>
        </is>
      </c>
      <c r="B905" s="1" t="n">
        <v>44602</v>
      </c>
      <c r="C905" s="1" t="n">
        <v>46132</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46661-2022</t>
        </is>
      </c>
      <c r="B906" s="1" t="n">
        <v>44850</v>
      </c>
      <c r="C906" s="1" t="n">
        <v>46132</v>
      </c>
      <c r="D906" t="inlineStr">
        <is>
          <t>ÖREBRO LÄN</t>
        </is>
      </c>
      <c r="E906" t="inlineStr">
        <is>
          <t>ASKERSUND</t>
        </is>
      </c>
      <c r="G906" t="n">
        <v>3</v>
      </c>
      <c r="H906" t="n">
        <v>0</v>
      </c>
      <c r="I906" t="n">
        <v>0</v>
      </c>
      <c r="J906" t="n">
        <v>0</v>
      </c>
      <c r="K906" t="n">
        <v>0</v>
      </c>
      <c r="L906" t="n">
        <v>0</v>
      </c>
      <c r="M906" t="n">
        <v>0</v>
      </c>
      <c r="N906" t="n">
        <v>0</v>
      </c>
      <c r="O906" t="n">
        <v>0</v>
      </c>
      <c r="P906" t="n">
        <v>0</v>
      </c>
      <c r="Q906" t="n">
        <v>0</v>
      </c>
      <c r="R906" s="2" t="inlineStr"/>
    </row>
    <row r="907" ht="15" customHeight="1">
      <c r="A907" t="inlineStr">
        <is>
          <t>A 44282-2021</t>
        </is>
      </c>
      <c r="B907" s="1" t="n">
        <v>44435.33862268519</v>
      </c>
      <c r="C907" s="1" t="n">
        <v>46132</v>
      </c>
      <c r="D907" t="inlineStr">
        <is>
          <t>ÖREBRO LÄN</t>
        </is>
      </c>
      <c r="E907" t="inlineStr">
        <is>
          <t>LJUSNARSBERG</t>
        </is>
      </c>
      <c r="G907" t="n">
        <v>0.5</v>
      </c>
      <c r="H907" t="n">
        <v>0</v>
      </c>
      <c r="I907" t="n">
        <v>0</v>
      </c>
      <c r="J907" t="n">
        <v>0</v>
      </c>
      <c r="K907" t="n">
        <v>0</v>
      </c>
      <c r="L907" t="n">
        <v>0</v>
      </c>
      <c r="M907" t="n">
        <v>0</v>
      </c>
      <c r="N907" t="n">
        <v>0</v>
      </c>
      <c r="O907" t="n">
        <v>0</v>
      </c>
      <c r="P907" t="n">
        <v>0</v>
      </c>
      <c r="Q907" t="n">
        <v>0</v>
      </c>
      <c r="R907" s="2" t="inlineStr"/>
    </row>
    <row r="908" ht="15" customHeight="1">
      <c r="A908" t="inlineStr">
        <is>
          <t>A 44850-2022</t>
        </is>
      </c>
      <c r="B908" s="1" t="n">
        <v>44841</v>
      </c>
      <c r="C908" s="1" t="n">
        <v>46132</v>
      </c>
      <c r="D908" t="inlineStr">
        <is>
          <t>ÖREBRO LÄN</t>
        </is>
      </c>
      <c r="E908" t="inlineStr">
        <is>
          <t>NORA</t>
        </is>
      </c>
      <c r="F908" t="inlineStr">
        <is>
          <t>Sveaskog</t>
        </is>
      </c>
      <c r="G908" t="n">
        <v>6.9</v>
      </c>
      <c r="H908" t="n">
        <v>0</v>
      </c>
      <c r="I908" t="n">
        <v>0</v>
      </c>
      <c r="J908" t="n">
        <v>0</v>
      </c>
      <c r="K908" t="n">
        <v>0</v>
      </c>
      <c r="L908" t="n">
        <v>0</v>
      </c>
      <c r="M908" t="n">
        <v>0</v>
      </c>
      <c r="N908" t="n">
        <v>0</v>
      </c>
      <c r="O908" t="n">
        <v>0</v>
      </c>
      <c r="P908" t="n">
        <v>0</v>
      </c>
      <c r="Q908" t="n">
        <v>0</v>
      </c>
      <c r="R908" s="2" t="inlineStr"/>
    </row>
    <row r="909" ht="15" customHeight="1">
      <c r="A909" t="inlineStr">
        <is>
          <t>A 11161-2022</t>
        </is>
      </c>
      <c r="B909" s="1" t="n">
        <v>44629</v>
      </c>
      <c r="C909" s="1" t="n">
        <v>46132</v>
      </c>
      <c r="D909" t="inlineStr">
        <is>
          <t>ÖREBRO LÄN</t>
        </is>
      </c>
      <c r="E909" t="inlineStr">
        <is>
          <t>ASKERSUND</t>
        </is>
      </c>
      <c r="G909" t="n">
        <v>0.2</v>
      </c>
      <c r="H909" t="n">
        <v>0</v>
      </c>
      <c r="I909" t="n">
        <v>0</v>
      </c>
      <c r="J909" t="n">
        <v>0</v>
      </c>
      <c r="K909" t="n">
        <v>0</v>
      </c>
      <c r="L909" t="n">
        <v>0</v>
      </c>
      <c r="M909" t="n">
        <v>0</v>
      </c>
      <c r="N909" t="n">
        <v>0</v>
      </c>
      <c r="O909" t="n">
        <v>0</v>
      </c>
      <c r="P909" t="n">
        <v>0</v>
      </c>
      <c r="Q909" t="n">
        <v>0</v>
      </c>
      <c r="R909" s="2" t="inlineStr"/>
    </row>
    <row r="910" ht="15" customHeight="1">
      <c r="A910" t="inlineStr">
        <is>
          <t>A 30760-2022</t>
        </is>
      </c>
      <c r="B910" s="1" t="n">
        <v>44764.51827546296</v>
      </c>
      <c r="C910" s="1" t="n">
        <v>46132</v>
      </c>
      <c r="D910" t="inlineStr">
        <is>
          <t>ÖREBRO LÄN</t>
        </is>
      </c>
      <c r="E910" t="inlineStr">
        <is>
          <t>ÖREBRO</t>
        </is>
      </c>
      <c r="G910" t="n">
        <v>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46132</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35730-2022</t>
        </is>
      </c>
      <c r="B912" s="1" t="n">
        <v>44799</v>
      </c>
      <c r="C912" s="1" t="n">
        <v>46132</v>
      </c>
      <c r="D912" t="inlineStr">
        <is>
          <t>ÖREBRO LÄN</t>
        </is>
      </c>
      <c r="E912" t="inlineStr">
        <is>
          <t>NORA</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41453-2021</t>
        </is>
      </c>
      <c r="B913" s="1" t="n">
        <v>44424</v>
      </c>
      <c r="C913" s="1" t="n">
        <v>46132</v>
      </c>
      <c r="D913" t="inlineStr">
        <is>
          <t>ÖREBRO LÄN</t>
        </is>
      </c>
      <c r="E913" t="inlineStr">
        <is>
          <t>LJUSNARSBERG</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25898-2021</t>
        </is>
      </c>
      <c r="B914" s="1" t="n">
        <v>44344.39799768518</v>
      </c>
      <c r="C914" s="1" t="n">
        <v>46132</v>
      </c>
      <c r="D914" t="inlineStr">
        <is>
          <t>ÖREBRO LÄN</t>
        </is>
      </c>
      <c r="E914" t="inlineStr">
        <is>
          <t>KARLSKOGA</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35731-2022</t>
        </is>
      </c>
      <c r="B915" s="1" t="n">
        <v>44799.73486111111</v>
      </c>
      <c r="C915" s="1" t="n">
        <v>46132</v>
      </c>
      <c r="D915" t="inlineStr">
        <is>
          <t>ÖREBRO LÄN</t>
        </is>
      </c>
      <c r="E915" t="inlineStr">
        <is>
          <t>NORA</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37393-2021</t>
        </is>
      </c>
      <c r="B916" s="1" t="n">
        <v>44398</v>
      </c>
      <c r="C916" s="1" t="n">
        <v>46132</v>
      </c>
      <c r="D916" t="inlineStr">
        <is>
          <t>ÖREBRO LÄN</t>
        </is>
      </c>
      <c r="E916" t="inlineStr">
        <is>
          <t>ASKERSUND</t>
        </is>
      </c>
      <c r="G916" t="n">
        <v>6.2</v>
      </c>
      <c r="H916" t="n">
        <v>0</v>
      </c>
      <c r="I916" t="n">
        <v>0</v>
      </c>
      <c r="J916" t="n">
        <v>0</v>
      </c>
      <c r="K916" t="n">
        <v>0</v>
      </c>
      <c r="L916" t="n">
        <v>0</v>
      </c>
      <c r="M916" t="n">
        <v>0</v>
      </c>
      <c r="N916" t="n">
        <v>0</v>
      </c>
      <c r="O916" t="n">
        <v>0</v>
      </c>
      <c r="P916" t="n">
        <v>0</v>
      </c>
      <c r="Q916" t="n">
        <v>0</v>
      </c>
      <c r="R916" s="2" t="inlineStr"/>
    </row>
    <row r="917" ht="15" customHeight="1">
      <c r="A917" t="inlineStr">
        <is>
          <t>A 37395-2021</t>
        </is>
      </c>
      <c r="B917" s="1" t="n">
        <v>44398</v>
      </c>
      <c r="C917" s="1" t="n">
        <v>46132</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46132</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46132</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57959-2021</t>
        </is>
      </c>
      <c r="B920" s="1" t="n">
        <v>44484</v>
      </c>
      <c r="C920" s="1" t="n">
        <v>46132</v>
      </c>
      <c r="D920" t="inlineStr">
        <is>
          <t>ÖREBRO LÄN</t>
        </is>
      </c>
      <c r="E920" t="inlineStr">
        <is>
          <t>LAXÅ</t>
        </is>
      </c>
      <c r="G920" t="n">
        <v>5.3</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46132</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44131-2022</t>
        </is>
      </c>
      <c r="B922" s="1" t="n">
        <v>44839</v>
      </c>
      <c r="C922" s="1" t="n">
        <v>46132</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44216-2022</t>
        </is>
      </c>
      <c r="B923" s="1" t="n">
        <v>44839.49916666667</v>
      </c>
      <c r="C923" s="1" t="n">
        <v>46132</v>
      </c>
      <c r="D923" t="inlineStr">
        <is>
          <t>ÖREBRO LÄN</t>
        </is>
      </c>
      <c r="E923" t="inlineStr">
        <is>
          <t>HALLSBERG</t>
        </is>
      </c>
      <c r="G923" t="n">
        <v>2</v>
      </c>
      <c r="H923" t="n">
        <v>0</v>
      </c>
      <c r="I923" t="n">
        <v>0</v>
      </c>
      <c r="J923" t="n">
        <v>0</v>
      </c>
      <c r="K923" t="n">
        <v>0</v>
      </c>
      <c r="L923" t="n">
        <v>0</v>
      </c>
      <c r="M923" t="n">
        <v>0</v>
      </c>
      <c r="N923" t="n">
        <v>0</v>
      </c>
      <c r="O923" t="n">
        <v>0</v>
      </c>
      <c r="P923" t="n">
        <v>0</v>
      </c>
      <c r="Q923" t="n">
        <v>0</v>
      </c>
      <c r="R923" s="2" t="inlineStr"/>
    </row>
    <row r="924" ht="15" customHeight="1">
      <c r="A924" t="inlineStr">
        <is>
          <t>A 59590-2021</t>
        </is>
      </c>
      <c r="B924" s="1" t="n">
        <v>44491</v>
      </c>
      <c r="C924" s="1" t="n">
        <v>46132</v>
      </c>
      <c r="D924" t="inlineStr">
        <is>
          <t>ÖREBRO LÄN</t>
        </is>
      </c>
      <c r="E924" t="inlineStr">
        <is>
          <t>NORA</t>
        </is>
      </c>
      <c r="F924" t="inlineStr">
        <is>
          <t>Kyrkan</t>
        </is>
      </c>
      <c r="G924" t="n">
        <v>2.8</v>
      </c>
      <c r="H924" t="n">
        <v>0</v>
      </c>
      <c r="I924" t="n">
        <v>0</v>
      </c>
      <c r="J924" t="n">
        <v>0</v>
      </c>
      <c r="K924" t="n">
        <v>0</v>
      </c>
      <c r="L924" t="n">
        <v>0</v>
      </c>
      <c r="M924" t="n">
        <v>0</v>
      </c>
      <c r="N924" t="n">
        <v>0</v>
      </c>
      <c r="O924" t="n">
        <v>0</v>
      </c>
      <c r="P924" t="n">
        <v>0</v>
      </c>
      <c r="Q924" t="n">
        <v>0</v>
      </c>
      <c r="R924" s="2" t="inlineStr"/>
    </row>
    <row r="925" ht="15" customHeight="1">
      <c r="A925" t="inlineStr">
        <is>
          <t>A 36520-2022</t>
        </is>
      </c>
      <c r="B925" s="1" t="n">
        <v>44804.53834490741</v>
      </c>
      <c r="C925" s="1" t="n">
        <v>46132</v>
      </c>
      <c r="D925" t="inlineStr">
        <is>
          <t>ÖREBRO LÄN</t>
        </is>
      </c>
      <c r="E925" t="inlineStr">
        <is>
          <t>LAXÅ</t>
        </is>
      </c>
      <c r="G925" t="n">
        <v>1.1</v>
      </c>
      <c r="H925" t="n">
        <v>0</v>
      </c>
      <c r="I925" t="n">
        <v>0</v>
      </c>
      <c r="J925" t="n">
        <v>0</v>
      </c>
      <c r="K925" t="n">
        <v>0</v>
      </c>
      <c r="L925" t="n">
        <v>0</v>
      </c>
      <c r="M925" t="n">
        <v>0</v>
      </c>
      <c r="N925" t="n">
        <v>0</v>
      </c>
      <c r="O925" t="n">
        <v>0</v>
      </c>
      <c r="P925" t="n">
        <v>0</v>
      </c>
      <c r="Q925" t="n">
        <v>0</v>
      </c>
      <c r="R925" s="2" t="inlineStr"/>
    </row>
    <row r="926" ht="15" customHeight="1">
      <c r="A926" t="inlineStr">
        <is>
          <t>A 34313-2022</t>
        </is>
      </c>
      <c r="B926" s="1" t="n">
        <v>44792</v>
      </c>
      <c r="C926" s="1" t="n">
        <v>46132</v>
      </c>
      <c r="D926" t="inlineStr">
        <is>
          <t>ÖREBRO LÄN</t>
        </is>
      </c>
      <c r="E926" t="inlineStr">
        <is>
          <t>HÄLLEFORS</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48105-2021</t>
        </is>
      </c>
      <c r="B927" s="1" t="n">
        <v>44449</v>
      </c>
      <c r="C927" s="1" t="n">
        <v>46132</v>
      </c>
      <c r="D927" t="inlineStr">
        <is>
          <t>ÖREBRO LÄN</t>
        </is>
      </c>
      <c r="E927" t="inlineStr">
        <is>
          <t>NORA</t>
        </is>
      </c>
      <c r="G927" t="n">
        <v>0.6</v>
      </c>
      <c r="H927" t="n">
        <v>0</v>
      </c>
      <c r="I927" t="n">
        <v>0</v>
      </c>
      <c r="J927" t="n">
        <v>0</v>
      </c>
      <c r="K927" t="n">
        <v>0</v>
      </c>
      <c r="L927" t="n">
        <v>0</v>
      </c>
      <c r="M927" t="n">
        <v>0</v>
      </c>
      <c r="N927" t="n">
        <v>0</v>
      </c>
      <c r="O927" t="n">
        <v>0</v>
      </c>
      <c r="P927" t="n">
        <v>0</v>
      </c>
      <c r="Q927" t="n">
        <v>0</v>
      </c>
      <c r="R927" s="2" t="inlineStr"/>
    </row>
    <row r="928" ht="15" customHeight="1">
      <c r="A928" t="inlineStr">
        <is>
          <t>A 18321-2022</t>
        </is>
      </c>
      <c r="B928" s="1" t="n">
        <v>44685</v>
      </c>
      <c r="C928" s="1" t="n">
        <v>46132</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66341-2021</t>
        </is>
      </c>
      <c r="B929" s="1" t="n">
        <v>44518</v>
      </c>
      <c r="C929" s="1" t="n">
        <v>46132</v>
      </c>
      <c r="D929" t="inlineStr">
        <is>
          <t>ÖREBRO LÄN</t>
        </is>
      </c>
      <c r="E929" t="inlineStr">
        <is>
          <t>ASKERSUND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11081-2022</t>
        </is>
      </c>
      <c r="B930" s="1" t="n">
        <v>44628</v>
      </c>
      <c r="C930" s="1" t="n">
        <v>46132</v>
      </c>
      <c r="D930" t="inlineStr">
        <is>
          <t>ÖREBRO LÄN</t>
        </is>
      </c>
      <c r="E930" t="inlineStr">
        <is>
          <t>KARLSKOGA</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36220-2021</t>
        </is>
      </c>
      <c r="B931" s="1" t="n">
        <v>44389</v>
      </c>
      <c r="C931" s="1" t="n">
        <v>46132</v>
      </c>
      <c r="D931" t="inlineStr">
        <is>
          <t>ÖREBRO LÄN</t>
        </is>
      </c>
      <c r="E931" t="inlineStr">
        <is>
          <t>LINDESBERG</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31998-2022</t>
        </is>
      </c>
      <c r="B932" s="1" t="n">
        <v>44778.32798611111</v>
      </c>
      <c r="C932" s="1" t="n">
        <v>46132</v>
      </c>
      <c r="D932" t="inlineStr">
        <is>
          <t>ÖREBRO LÄN</t>
        </is>
      </c>
      <c r="E932" t="inlineStr">
        <is>
          <t>LJUSNARSBERG</t>
        </is>
      </c>
      <c r="G932" t="n">
        <v>0.3</v>
      </c>
      <c r="H932" t="n">
        <v>0</v>
      </c>
      <c r="I932" t="n">
        <v>0</v>
      </c>
      <c r="J932" t="n">
        <v>0</v>
      </c>
      <c r="K932" t="n">
        <v>0</v>
      </c>
      <c r="L932" t="n">
        <v>0</v>
      </c>
      <c r="M932" t="n">
        <v>0</v>
      </c>
      <c r="N932" t="n">
        <v>0</v>
      </c>
      <c r="O932" t="n">
        <v>0</v>
      </c>
      <c r="P932" t="n">
        <v>0</v>
      </c>
      <c r="Q932" t="n">
        <v>0</v>
      </c>
      <c r="R932" s="2" t="inlineStr"/>
    </row>
    <row r="933" ht="15" customHeight="1">
      <c r="A933" t="inlineStr">
        <is>
          <t>A 33858-2022</t>
        </is>
      </c>
      <c r="B933" s="1" t="n">
        <v>44790</v>
      </c>
      <c r="C933" s="1" t="n">
        <v>46132</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46132</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46132</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44978-2021</t>
        </is>
      </c>
      <c r="B936" s="1" t="n">
        <v>44438</v>
      </c>
      <c r="C936" s="1" t="n">
        <v>46132</v>
      </c>
      <c r="D936" t="inlineStr">
        <is>
          <t>ÖREBRO LÄN</t>
        </is>
      </c>
      <c r="E936" t="inlineStr">
        <is>
          <t>ASKERSUND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48365-2021</t>
        </is>
      </c>
      <c r="B937" s="1" t="n">
        <v>44451.78710648148</v>
      </c>
      <c r="C937" s="1" t="n">
        <v>46132</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46132</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38245-2022</t>
        </is>
      </c>
      <c r="B939" s="1" t="n">
        <v>44812.48020833333</v>
      </c>
      <c r="C939" s="1" t="n">
        <v>46132</v>
      </c>
      <c r="D939" t="inlineStr">
        <is>
          <t>ÖREBRO LÄN</t>
        </is>
      </c>
      <c r="E939" t="inlineStr">
        <is>
          <t>HÄLLEFORS</t>
        </is>
      </c>
      <c r="G939" t="n">
        <v>2.4</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46132</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46132</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28616-2022</t>
        </is>
      </c>
      <c r="B942" s="1" t="n">
        <v>44748.57869212963</v>
      </c>
      <c r="C942" s="1" t="n">
        <v>46132</v>
      </c>
      <c r="D942" t="inlineStr">
        <is>
          <t>ÖREBRO LÄN</t>
        </is>
      </c>
      <c r="E942" t="inlineStr">
        <is>
          <t>LEKEBERG</t>
        </is>
      </c>
      <c r="G942" t="n">
        <v>0.8</v>
      </c>
      <c r="H942" t="n">
        <v>0</v>
      </c>
      <c r="I942" t="n">
        <v>0</v>
      </c>
      <c r="J942" t="n">
        <v>0</v>
      </c>
      <c r="K942" t="n">
        <v>0</v>
      </c>
      <c r="L942" t="n">
        <v>0</v>
      </c>
      <c r="M942" t="n">
        <v>0</v>
      </c>
      <c r="N942" t="n">
        <v>0</v>
      </c>
      <c r="O942" t="n">
        <v>0</v>
      </c>
      <c r="P942" t="n">
        <v>0</v>
      </c>
      <c r="Q942" t="n">
        <v>0</v>
      </c>
      <c r="R942" s="2" t="inlineStr"/>
    </row>
    <row r="943" ht="15" customHeight="1">
      <c r="A943" t="inlineStr">
        <is>
          <t>A 9424-2022</t>
        </is>
      </c>
      <c r="B943" s="1" t="n">
        <v>44616</v>
      </c>
      <c r="C943" s="1" t="n">
        <v>46132</v>
      </c>
      <c r="D943" t="inlineStr">
        <is>
          <t>ÖREBRO LÄN</t>
        </is>
      </c>
      <c r="E943" t="inlineStr">
        <is>
          <t>HÄLLEFORS</t>
        </is>
      </c>
      <c r="G943" t="n">
        <v>2.9</v>
      </c>
      <c r="H943" t="n">
        <v>0</v>
      </c>
      <c r="I943" t="n">
        <v>0</v>
      </c>
      <c r="J943" t="n">
        <v>0</v>
      </c>
      <c r="K943" t="n">
        <v>0</v>
      </c>
      <c r="L943" t="n">
        <v>0</v>
      </c>
      <c r="M943" t="n">
        <v>0</v>
      </c>
      <c r="N943" t="n">
        <v>0</v>
      </c>
      <c r="O943" t="n">
        <v>0</v>
      </c>
      <c r="P943" t="n">
        <v>0</v>
      </c>
      <c r="Q943" t="n">
        <v>0</v>
      </c>
      <c r="R943" s="2" t="inlineStr"/>
    </row>
    <row r="944" ht="15" customHeight="1">
      <c r="A944" t="inlineStr">
        <is>
          <t>A 67054-2021</t>
        </is>
      </c>
      <c r="B944" s="1" t="n">
        <v>44522</v>
      </c>
      <c r="C944" s="1" t="n">
        <v>46132</v>
      </c>
      <c r="D944" t="inlineStr">
        <is>
          <t>ÖREBRO LÄN</t>
        </is>
      </c>
      <c r="E944" t="inlineStr">
        <is>
          <t>LAXÅ</t>
        </is>
      </c>
      <c r="G944" t="n">
        <v>2.2</v>
      </c>
      <c r="H944" t="n">
        <v>0</v>
      </c>
      <c r="I944" t="n">
        <v>0</v>
      </c>
      <c r="J944" t="n">
        <v>0</v>
      </c>
      <c r="K944" t="n">
        <v>0</v>
      </c>
      <c r="L944" t="n">
        <v>0</v>
      </c>
      <c r="M944" t="n">
        <v>0</v>
      </c>
      <c r="N944" t="n">
        <v>0</v>
      </c>
      <c r="O944" t="n">
        <v>0</v>
      </c>
      <c r="P944" t="n">
        <v>0</v>
      </c>
      <c r="Q944" t="n">
        <v>0</v>
      </c>
      <c r="R944" s="2" t="inlineStr"/>
    </row>
    <row r="945" ht="15" customHeight="1">
      <c r="A945" t="inlineStr">
        <is>
          <t>A 62010-2021</t>
        </is>
      </c>
      <c r="B945" s="1" t="n">
        <v>44502.49809027778</v>
      </c>
      <c r="C945" s="1" t="n">
        <v>46132</v>
      </c>
      <c r="D945" t="inlineStr">
        <is>
          <t>ÖREBRO LÄN</t>
        </is>
      </c>
      <c r="E945" t="inlineStr">
        <is>
          <t>LINDESBERG</t>
        </is>
      </c>
      <c r="G945" t="n">
        <v>3.2</v>
      </c>
      <c r="H945" t="n">
        <v>0</v>
      </c>
      <c r="I945" t="n">
        <v>0</v>
      </c>
      <c r="J945" t="n">
        <v>0</v>
      </c>
      <c r="K945" t="n">
        <v>0</v>
      </c>
      <c r="L945" t="n">
        <v>0</v>
      </c>
      <c r="M945" t="n">
        <v>0</v>
      </c>
      <c r="N945" t="n">
        <v>0</v>
      </c>
      <c r="O945" t="n">
        <v>0</v>
      </c>
      <c r="P945" t="n">
        <v>0</v>
      </c>
      <c r="Q945" t="n">
        <v>0</v>
      </c>
      <c r="R945" s="2" t="inlineStr"/>
    </row>
    <row r="946" ht="15" customHeight="1">
      <c r="A946" t="inlineStr">
        <is>
          <t>A 62014-2021</t>
        </is>
      </c>
      <c r="B946" s="1" t="n">
        <v>44502</v>
      </c>
      <c r="C946" s="1" t="n">
        <v>46132</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46132</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46132</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46132</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59671-2021</t>
        </is>
      </c>
      <c r="B950" s="1" t="n">
        <v>44491</v>
      </c>
      <c r="C950" s="1" t="n">
        <v>46132</v>
      </c>
      <c r="D950" t="inlineStr">
        <is>
          <t>ÖREBRO LÄN</t>
        </is>
      </c>
      <c r="E950" t="inlineStr">
        <is>
          <t>LINDESBERG</t>
        </is>
      </c>
      <c r="G950" t="n">
        <v>7</v>
      </c>
      <c r="H950" t="n">
        <v>0</v>
      </c>
      <c r="I950" t="n">
        <v>0</v>
      </c>
      <c r="J950" t="n">
        <v>0</v>
      </c>
      <c r="K950" t="n">
        <v>0</v>
      </c>
      <c r="L950" t="n">
        <v>0</v>
      </c>
      <c r="M950" t="n">
        <v>0</v>
      </c>
      <c r="N950" t="n">
        <v>0</v>
      </c>
      <c r="O950" t="n">
        <v>0</v>
      </c>
      <c r="P950" t="n">
        <v>0</v>
      </c>
      <c r="Q950" t="n">
        <v>0</v>
      </c>
      <c r="R950" s="2" t="inlineStr"/>
    </row>
    <row r="951" ht="15" customHeight="1">
      <c r="A951" t="inlineStr">
        <is>
          <t>A 32231-2022</t>
        </is>
      </c>
      <c r="B951" s="1" t="n">
        <v>44781</v>
      </c>
      <c r="C951" s="1" t="n">
        <v>46132</v>
      </c>
      <c r="D951" t="inlineStr">
        <is>
          <t>ÖREBRO LÄN</t>
        </is>
      </c>
      <c r="E951" t="inlineStr">
        <is>
          <t>ÖREBRO</t>
        </is>
      </c>
      <c r="G951" t="n">
        <v>1</v>
      </c>
      <c r="H951" t="n">
        <v>0</v>
      </c>
      <c r="I951" t="n">
        <v>0</v>
      </c>
      <c r="J951" t="n">
        <v>0</v>
      </c>
      <c r="K951" t="n">
        <v>0</v>
      </c>
      <c r="L951" t="n">
        <v>0</v>
      </c>
      <c r="M951" t="n">
        <v>0</v>
      </c>
      <c r="N951" t="n">
        <v>0</v>
      </c>
      <c r="O951" t="n">
        <v>0</v>
      </c>
      <c r="P951" t="n">
        <v>0</v>
      </c>
      <c r="Q951" t="n">
        <v>0</v>
      </c>
      <c r="R951" s="2" t="inlineStr"/>
    </row>
    <row r="952" ht="15" customHeight="1">
      <c r="A952" t="inlineStr">
        <is>
          <t>A 32247-2022</t>
        </is>
      </c>
      <c r="B952" s="1" t="n">
        <v>44781</v>
      </c>
      <c r="C952" s="1" t="n">
        <v>46132</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32907-2022</t>
        </is>
      </c>
      <c r="B953" s="1" t="n">
        <v>44784</v>
      </c>
      <c r="C953" s="1" t="n">
        <v>46132</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69035-2021</t>
        </is>
      </c>
      <c r="B954" s="1" t="n">
        <v>44530</v>
      </c>
      <c r="C954" s="1" t="n">
        <v>46132</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2372-2022</t>
        </is>
      </c>
      <c r="B955" s="1" t="n">
        <v>44579.33436342593</v>
      </c>
      <c r="C955" s="1" t="n">
        <v>46132</v>
      </c>
      <c r="D955" t="inlineStr">
        <is>
          <t>ÖREBRO LÄN</t>
        </is>
      </c>
      <c r="E955" t="inlineStr">
        <is>
          <t>LAXÅ</t>
        </is>
      </c>
      <c r="G955" t="n">
        <v>0.5</v>
      </c>
      <c r="H955" t="n">
        <v>0</v>
      </c>
      <c r="I955" t="n">
        <v>0</v>
      </c>
      <c r="J955" t="n">
        <v>0</v>
      </c>
      <c r="K955" t="n">
        <v>0</v>
      </c>
      <c r="L955" t="n">
        <v>0</v>
      </c>
      <c r="M955" t="n">
        <v>0</v>
      </c>
      <c r="N955" t="n">
        <v>0</v>
      </c>
      <c r="O955" t="n">
        <v>0</v>
      </c>
      <c r="P955" t="n">
        <v>0</v>
      </c>
      <c r="Q955" t="n">
        <v>0</v>
      </c>
      <c r="R955" s="2" t="inlineStr"/>
    </row>
    <row r="956" ht="15" customHeight="1">
      <c r="A956" t="inlineStr">
        <is>
          <t>A 42495-2022</t>
        </is>
      </c>
      <c r="B956" s="1" t="n">
        <v>44831</v>
      </c>
      <c r="C956" s="1" t="n">
        <v>46132</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12465-2022</t>
        </is>
      </c>
      <c r="B957" s="1" t="n">
        <v>44638</v>
      </c>
      <c r="C957" s="1" t="n">
        <v>46132</v>
      </c>
      <c r="D957" t="inlineStr">
        <is>
          <t>ÖREBRO LÄN</t>
        </is>
      </c>
      <c r="E957" t="inlineStr">
        <is>
          <t>ASKERSUND</t>
        </is>
      </c>
      <c r="G957" t="n">
        <v>2.4</v>
      </c>
      <c r="H957" t="n">
        <v>0</v>
      </c>
      <c r="I957" t="n">
        <v>0</v>
      </c>
      <c r="J957" t="n">
        <v>0</v>
      </c>
      <c r="K957" t="n">
        <v>0</v>
      </c>
      <c r="L957" t="n">
        <v>0</v>
      </c>
      <c r="M957" t="n">
        <v>0</v>
      </c>
      <c r="N957" t="n">
        <v>0</v>
      </c>
      <c r="O957" t="n">
        <v>0</v>
      </c>
      <c r="P957" t="n">
        <v>0</v>
      </c>
      <c r="Q957" t="n">
        <v>0</v>
      </c>
      <c r="R957" s="2" t="inlineStr"/>
    </row>
    <row r="958" ht="15" customHeight="1">
      <c r="A958" t="inlineStr">
        <is>
          <t>A 41553-2022</t>
        </is>
      </c>
      <c r="B958" s="1" t="n">
        <v>44827.3940625</v>
      </c>
      <c r="C958" s="1" t="n">
        <v>46132</v>
      </c>
      <c r="D958" t="inlineStr">
        <is>
          <t>ÖREBRO LÄN</t>
        </is>
      </c>
      <c r="E958" t="inlineStr">
        <is>
          <t>ÖREBRO</t>
        </is>
      </c>
      <c r="G958" t="n">
        <v>3.7</v>
      </c>
      <c r="H958" t="n">
        <v>0</v>
      </c>
      <c r="I958" t="n">
        <v>0</v>
      </c>
      <c r="J958" t="n">
        <v>0</v>
      </c>
      <c r="K958" t="n">
        <v>0</v>
      </c>
      <c r="L958" t="n">
        <v>0</v>
      </c>
      <c r="M958" t="n">
        <v>0</v>
      </c>
      <c r="N958" t="n">
        <v>0</v>
      </c>
      <c r="O958" t="n">
        <v>0</v>
      </c>
      <c r="P958" t="n">
        <v>0</v>
      </c>
      <c r="Q958" t="n">
        <v>0</v>
      </c>
      <c r="R958" s="2" t="inlineStr"/>
    </row>
    <row r="959" ht="15" customHeight="1">
      <c r="A959" t="inlineStr">
        <is>
          <t>A 14562-2022</t>
        </is>
      </c>
      <c r="B959" s="1" t="n">
        <v>44655</v>
      </c>
      <c r="C959" s="1" t="n">
        <v>46132</v>
      </c>
      <c r="D959" t="inlineStr">
        <is>
          <t>ÖREBRO LÄN</t>
        </is>
      </c>
      <c r="E959" t="inlineStr">
        <is>
          <t>ÖREBRO</t>
        </is>
      </c>
      <c r="G959" t="n">
        <v>3.6</v>
      </c>
      <c r="H959" t="n">
        <v>0</v>
      </c>
      <c r="I959" t="n">
        <v>0</v>
      </c>
      <c r="J959" t="n">
        <v>0</v>
      </c>
      <c r="K959" t="n">
        <v>0</v>
      </c>
      <c r="L959" t="n">
        <v>0</v>
      </c>
      <c r="M959" t="n">
        <v>0</v>
      </c>
      <c r="N959" t="n">
        <v>0</v>
      </c>
      <c r="O959" t="n">
        <v>0</v>
      </c>
      <c r="P959" t="n">
        <v>0</v>
      </c>
      <c r="Q959" t="n">
        <v>0</v>
      </c>
      <c r="R959" s="2" t="inlineStr"/>
    </row>
    <row r="960" ht="15" customHeight="1">
      <c r="A960" t="inlineStr">
        <is>
          <t>A 22665-2022</t>
        </is>
      </c>
      <c r="B960" s="1" t="n">
        <v>44714</v>
      </c>
      <c r="C960" s="1" t="n">
        <v>46132</v>
      </c>
      <c r="D960" t="inlineStr">
        <is>
          <t>ÖREBRO LÄN</t>
        </is>
      </c>
      <c r="E960" t="inlineStr">
        <is>
          <t>ASKERSUND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19458-2022</t>
        </is>
      </c>
      <c r="B961" s="1" t="n">
        <v>44693</v>
      </c>
      <c r="C961" s="1" t="n">
        <v>46132</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23158-2021</t>
        </is>
      </c>
      <c r="B962" s="1" t="n">
        <v>44332.74105324074</v>
      </c>
      <c r="C962" s="1" t="n">
        <v>46132</v>
      </c>
      <c r="D962" t="inlineStr">
        <is>
          <t>ÖREBRO LÄN</t>
        </is>
      </c>
      <c r="E962" t="inlineStr">
        <is>
          <t>LINDESBERG</t>
        </is>
      </c>
      <c r="G962" t="n">
        <v>0.7</v>
      </c>
      <c r="H962" t="n">
        <v>0</v>
      </c>
      <c r="I962" t="n">
        <v>0</v>
      </c>
      <c r="J962" t="n">
        <v>0</v>
      </c>
      <c r="K962" t="n">
        <v>0</v>
      </c>
      <c r="L962" t="n">
        <v>0</v>
      </c>
      <c r="M962" t="n">
        <v>0</v>
      </c>
      <c r="N962" t="n">
        <v>0</v>
      </c>
      <c r="O962" t="n">
        <v>0</v>
      </c>
      <c r="P962" t="n">
        <v>0</v>
      </c>
      <c r="Q962" t="n">
        <v>0</v>
      </c>
      <c r="R962" s="2" t="inlineStr"/>
    </row>
    <row r="963" ht="15" customHeight="1">
      <c r="A963" t="inlineStr">
        <is>
          <t>A 37584-2022</t>
        </is>
      </c>
      <c r="B963" s="1" t="n">
        <v>44809.81278935185</v>
      </c>
      <c r="C963" s="1" t="n">
        <v>46132</v>
      </c>
      <c r="D963" t="inlineStr">
        <is>
          <t>ÖREBRO LÄN</t>
        </is>
      </c>
      <c r="E963" t="inlineStr">
        <is>
          <t>KARLSKOGA</t>
        </is>
      </c>
      <c r="G963" t="n">
        <v>4.9</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46132</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35222-2021</t>
        </is>
      </c>
      <c r="B965" s="1" t="n">
        <v>44384.56912037037</v>
      </c>
      <c r="C965" s="1" t="n">
        <v>46132</v>
      </c>
      <c r="D965" t="inlineStr">
        <is>
          <t>ÖREBRO LÄN</t>
        </is>
      </c>
      <c r="E965" t="inlineStr">
        <is>
          <t>LINDESBERG</t>
        </is>
      </c>
      <c r="G965" t="n">
        <v>10.5</v>
      </c>
      <c r="H965" t="n">
        <v>0</v>
      </c>
      <c r="I965" t="n">
        <v>0</v>
      </c>
      <c r="J965" t="n">
        <v>0</v>
      </c>
      <c r="K965" t="n">
        <v>0</v>
      </c>
      <c r="L965" t="n">
        <v>0</v>
      </c>
      <c r="M965" t="n">
        <v>0</v>
      </c>
      <c r="N965" t="n">
        <v>0</v>
      </c>
      <c r="O965" t="n">
        <v>0</v>
      </c>
      <c r="P965" t="n">
        <v>0</v>
      </c>
      <c r="Q965" t="n">
        <v>0</v>
      </c>
      <c r="R965" s="2" t="inlineStr"/>
    </row>
    <row r="966" ht="15" customHeight="1">
      <c r="A966" t="inlineStr">
        <is>
          <t>A 22810-2021</t>
        </is>
      </c>
      <c r="B966" s="1" t="n">
        <v>44328.31252314815</v>
      </c>
      <c r="C966" s="1" t="n">
        <v>46132</v>
      </c>
      <c r="D966" t="inlineStr">
        <is>
          <t>ÖREBRO LÄN</t>
        </is>
      </c>
      <c r="E966" t="inlineStr">
        <is>
          <t>LAXÅ</t>
        </is>
      </c>
      <c r="G966" t="n">
        <v>3.7</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46132</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55299-2022</t>
        </is>
      </c>
      <c r="B968" s="1" t="n">
        <v>44887</v>
      </c>
      <c r="C968" s="1" t="n">
        <v>46132</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65456-2021</t>
        </is>
      </c>
      <c r="B969" s="1" t="n">
        <v>44515</v>
      </c>
      <c r="C969" s="1" t="n">
        <v>46132</v>
      </c>
      <c r="D969" t="inlineStr">
        <is>
          <t>ÖREBRO LÄN</t>
        </is>
      </c>
      <c r="E969" t="inlineStr">
        <is>
          <t>DEGERFORS</t>
        </is>
      </c>
      <c r="G969" t="n">
        <v>0.8</v>
      </c>
      <c r="H969" t="n">
        <v>0</v>
      </c>
      <c r="I969" t="n">
        <v>0</v>
      </c>
      <c r="J969" t="n">
        <v>0</v>
      </c>
      <c r="K969" t="n">
        <v>0</v>
      </c>
      <c r="L969" t="n">
        <v>0</v>
      </c>
      <c r="M969" t="n">
        <v>0</v>
      </c>
      <c r="N969" t="n">
        <v>0</v>
      </c>
      <c r="O969" t="n">
        <v>0</v>
      </c>
      <c r="P969" t="n">
        <v>0</v>
      </c>
      <c r="Q969" t="n">
        <v>0</v>
      </c>
      <c r="R969" s="2" t="inlineStr"/>
    </row>
    <row r="970" ht="15" customHeight="1">
      <c r="A970" t="inlineStr">
        <is>
          <t>A 70500-2021</t>
        </is>
      </c>
      <c r="B970" s="1" t="n">
        <v>44536</v>
      </c>
      <c r="C970" s="1" t="n">
        <v>46132</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63941-2021</t>
        </is>
      </c>
      <c r="B971" s="1" t="n">
        <v>44509.7458449074</v>
      </c>
      <c r="C971" s="1" t="n">
        <v>46132</v>
      </c>
      <c r="D971" t="inlineStr">
        <is>
          <t>ÖREBRO LÄN</t>
        </is>
      </c>
      <c r="E971" t="inlineStr">
        <is>
          <t>ASKERSUND</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48939-2021</t>
        </is>
      </c>
      <c r="B972" s="1" t="n">
        <v>44453</v>
      </c>
      <c r="C972" s="1" t="n">
        <v>46132</v>
      </c>
      <c r="D972" t="inlineStr">
        <is>
          <t>ÖREBRO LÄN</t>
        </is>
      </c>
      <c r="E972" t="inlineStr">
        <is>
          <t>LINDESBERG</t>
        </is>
      </c>
      <c r="G972" t="n">
        <v>5</v>
      </c>
      <c r="H972" t="n">
        <v>0</v>
      </c>
      <c r="I972" t="n">
        <v>0</v>
      </c>
      <c r="J972" t="n">
        <v>0</v>
      </c>
      <c r="K972" t="n">
        <v>0</v>
      </c>
      <c r="L972" t="n">
        <v>0</v>
      </c>
      <c r="M972" t="n">
        <v>0</v>
      </c>
      <c r="N972" t="n">
        <v>0</v>
      </c>
      <c r="O972" t="n">
        <v>0</v>
      </c>
      <c r="P972" t="n">
        <v>0</v>
      </c>
      <c r="Q972" t="n">
        <v>0</v>
      </c>
      <c r="R972" s="2" t="inlineStr"/>
    </row>
    <row r="973" ht="15" customHeight="1">
      <c r="A973" t="inlineStr">
        <is>
          <t>A 40692-2021</t>
        </is>
      </c>
      <c r="B973" s="1" t="n">
        <v>44420.60616898148</v>
      </c>
      <c r="C973" s="1" t="n">
        <v>46132</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46132</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33814-2021</t>
        </is>
      </c>
      <c r="B975" s="1" t="n">
        <v>44378</v>
      </c>
      <c r="C975" s="1" t="n">
        <v>46132</v>
      </c>
      <c r="D975" t="inlineStr">
        <is>
          <t>ÖREBRO LÄN</t>
        </is>
      </c>
      <c r="E975" t="inlineStr">
        <is>
          <t>ÖREBRO</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44228-2021</t>
        </is>
      </c>
      <c r="B976" s="1" t="n">
        <v>44434.9337037037</v>
      </c>
      <c r="C976" s="1" t="n">
        <v>46132</v>
      </c>
      <c r="D976" t="inlineStr">
        <is>
          <t>ÖREBRO LÄN</t>
        </is>
      </c>
      <c r="E976" t="inlineStr">
        <is>
          <t>HALLSBERG</t>
        </is>
      </c>
      <c r="G976" t="n">
        <v>0.6</v>
      </c>
      <c r="H976" t="n">
        <v>0</v>
      </c>
      <c r="I976" t="n">
        <v>0</v>
      </c>
      <c r="J976" t="n">
        <v>0</v>
      </c>
      <c r="K976" t="n">
        <v>0</v>
      </c>
      <c r="L976" t="n">
        <v>0</v>
      </c>
      <c r="M976" t="n">
        <v>0</v>
      </c>
      <c r="N976" t="n">
        <v>0</v>
      </c>
      <c r="O976" t="n">
        <v>0</v>
      </c>
      <c r="P976" t="n">
        <v>0</v>
      </c>
      <c r="Q976" t="n">
        <v>0</v>
      </c>
      <c r="R976" s="2" t="inlineStr"/>
    </row>
    <row r="977" ht="15" customHeight="1">
      <c r="A977" t="inlineStr">
        <is>
          <t>A 38277-2022</t>
        </is>
      </c>
      <c r="B977" s="1" t="n">
        <v>44812</v>
      </c>
      <c r="C977" s="1" t="n">
        <v>46132</v>
      </c>
      <c r="D977" t="inlineStr">
        <is>
          <t>ÖREBRO LÄN</t>
        </is>
      </c>
      <c r="E977" t="inlineStr">
        <is>
          <t>LJUSNARSBERG</t>
        </is>
      </c>
      <c r="G977" t="n">
        <v>5.1</v>
      </c>
      <c r="H977" t="n">
        <v>0</v>
      </c>
      <c r="I977" t="n">
        <v>0</v>
      </c>
      <c r="J977" t="n">
        <v>0</v>
      </c>
      <c r="K977" t="n">
        <v>0</v>
      </c>
      <c r="L977" t="n">
        <v>0</v>
      </c>
      <c r="M977" t="n">
        <v>0</v>
      </c>
      <c r="N977" t="n">
        <v>0</v>
      </c>
      <c r="O977" t="n">
        <v>0</v>
      </c>
      <c r="P977" t="n">
        <v>0</v>
      </c>
      <c r="Q977" t="n">
        <v>0</v>
      </c>
      <c r="R977" s="2" t="inlineStr"/>
    </row>
    <row r="978" ht="15" customHeight="1">
      <c r="A978" t="inlineStr">
        <is>
          <t>A 13631-2022</t>
        </is>
      </c>
      <c r="B978" s="1" t="n">
        <v>44648</v>
      </c>
      <c r="C978" s="1" t="n">
        <v>46132</v>
      </c>
      <c r="D978" t="inlineStr">
        <is>
          <t>ÖREBRO LÄN</t>
        </is>
      </c>
      <c r="E978" t="inlineStr">
        <is>
          <t>ÖREBRO</t>
        </is>
      </c>
      <c r="G978" t="n">
        <v>10.4</v>
      </c>
      <c r="H978" t="n">
        <v>0</v>
      </c>
      <c r="I978" t="n">
        <v>0</v>
      </c>
      <c r="J978" t="n">
        <v>0</v>
      </c>
      <c r="K978" t="n">
        <v>0</v>
      </c>
      <c r="L978" t="n">
        <v>0</v>
      </c>
      <c r="M978" t="n">
        <v>0</v>
      </c>
      <c r="N978" t="n">
        <v>0</v>
      </c>
      <c r="O978" t="n">
        <v>0</v>
      </c>
      <c r="P978" t="n">
        <v>0</v>
      </c>
      <c r="Q978" t="n">
        <v>0</v>
      </c>
      <c r="R978" s="2" t="inlineStr"/>
    </row>
    <row r="979" ht="15" customHeight="1">
      <c r="A979" t="inlineStr">
        <is>
          <t>A 68887-2021</t>
        </is>
      </c>
      <c r="B979" s="1" t="n">
        <v>44530</v>
      </c>
      <c r="C979" s="1" t="n">
        <v>46132</v>
      </c>
      <c r="D979" t="inlineStr">
        <is>
          <t>ÖREBRO LÄN</t>
        </is>
      </c>
      <c r="E979" t="inlineStr">
        <is>
          <t>NORA</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37266-2022</t>
        </is>
      </c>
      <c r="B980" s="1" t="n">
        <v>44807.47078703704</v>
      </c>
      <c r="C980" s="1" t="n">
        <v>46132</v>
      </c>
      <c r="D980" t="inlineStr">
        <is>
          <t>ÖREBRO LÄN</t>
        </is>
      </c>
      <c r="E980" t="inlineStr">
        <is>
          <t>NORA</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46400-2021</t>
        </is>
      </c>
      <c r="B981" s="1" t="n">
        <v>44443.7766550926</v>
      </c>
      <c r="C981" s="1" t="n">
        <v>46132</v>
      </c>
      <c r="D981" t="inlineStr">
        <is>
          <t>ÖREBRO LÄN</t>
        </is>
      </c>
      <c r="E981" t="inlineStr">
        <is>
          <t>LEKEBERG</t>
        </is>
      </c>
      <c r="G981" t="n">
        <v>0.5</v>
      </c>
      <c r="H981" t="n">
        <v>0</v>
      </c>
      <c r="I981" t="n">
        <v>0</v>
      </c>
      <c r="J981" t="n">
        <v>0</v>
      </c>
      <c r="K981" t="n">
        <v>0</v>
      </c>
      <c r="L981" t="n">
        <v>0</v>
      </c>
      <c r="M981" t="n">
        <v>0</v>
      </c>
      <c r="N981" t="n">
        <v>0</v>
      </c>
      <c r="O981" t="n">
        <v>0</v>
      </c>
      <c r="P981" t="n">
        <v>0</v>
      </c>
      <c r="Q981" t="n">
        <v>0</v>
      </c>
      <c r="R981" s="2" t="inlineStr"/>
    </row>
    <row r="982" ht="15" customHeight="1">
      <c r="A982" t="inlineStr">
        <is>
          <t>A 35594-2021</t>
        </is>
      </c>
      <c r="B982" s="1" t="n">
        <v>44386</v>
      </c>
      <c r="C982" s="1" t="n">
        <v>46132</v>
      </c>
      <c r="D982" t="inlineStr">
        <is>
          <t>ÖREBRO LÄN</t>
        </is>
      </c>
      <c r="E982" t="inlineStr">
        <is>
          <t>HÄLLEFORS</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35605-2021</t>
        </is>
      </c>
      <c r="B983" s="1" t="n">
        <v>44386.37886574074</v>
      </c>
      <c r="C983" s="1" t="n">
        <v>46132</v>
      </c>
      <c r="D983" t="inlineStr">
        <is>
          <t>ÖREBRO LÄN</t>
        </is>
      </c>
      <c r="E983" t="inlineStr">
        <is>
          <t>NORA</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46132</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46132</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46132</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47788-2021</t>
        </is>
      </c>
      <c r="B987" s="1" t="n">
        <v>44448</v>
      </c>
      <c r="C987" s="1" t="n">
        <v>46132</v>
      </c>
      <c r="D987" t="inlineStr">
        <is>
          <t>ÖREBRO LÄN</t>
        </is>
      </c>
      <c r="E987" t="inlineStr">
        <is>
          <t>NORA</t>
        </is>
      </c>
      <c r="G987" t="n">
        <v>1.6</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46132</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55053-2021</t>
        </is>
      </c>
      <c r="B989" s="1" t="n">
        <v>44474</v>
      </c>
      <c r="C989" s="1" t="n">
        <v>46132</v>
      </c>
      <c r="D989" t="inlineStr">
        <is>
          <t>ÖREBRO LÄN</t>
        </is>
      </c>
      <c r="E989" t="inlineStr">
        <is>
          <t>ASKERSUND</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46132</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46132</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46132</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46132</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12289-2022</t>
        </is>
      </c>
      <c r="B994" s="1" t="n">
        <v>44637</v>
      </c>
      <c r="C994" s="1" t="n">
        <v>46132</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12290-2022</t>
        </is>
      </c>
      <c r="B995" s="1" t="n">
        <v>44637</v>
      </c>
      <c r="C995" s="1" t="n">
        <v>46132</v>
      </c>
      <c r="D995" t="inlineStr">
        <is>
          <t>ÖREBRO LÄN</t>
        </is>
      </c>
      <c r="E995" t="inlineStr">
        <is>
          <t>ASKERSUND</t>
        </is>
      </c>
      <c r="G995" t="n">
        <v>1.3</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46132</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26119-2021</t>
        </is>
      </c>
      <c r="B997" s="1" t="n">
        <v>44345.33282407407</v>
      </c>
      <c r="C997" s="1" t="n">
        <v>46132</v>
      </c>
      <c r="D997" t="inlineStr">
        <is>
          <t>ÖREBRO LÄN</t>
        </is>
      </c>
      <c r="E997" t="inlineStr">
        <is>
          <t>ÖREBRO</t>
        </is>
      </c>
      <c r="G997" t="n">
        <v>1.6</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46132</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46132</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23720-2021</t>
        </is>
      </c>
      <c r="B1000" s="1" t="n">
        <v>44334.75537037037</v>
      </c>
      <c r="C1000" s="1" t="n">
        <v>46132</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5043-2022</t>
        </is>
      </c>
      <c r="B1001" s="1" t="n">
        <v>44593</v>
      </c>
      <c r="C1001" s="1" t="n">
        <v>46132</v>
      </c>
      <c r="D1001" t="inlineStr">
        <is>
          <t>ÖREBRO LÄN</t>
        </is>
      </c>
      <c r="E1001" t="inlineStr">
        <is>
          <t>LEKEBERG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19468-2021</t>
        </is>
      </c>
      <c r="B1002" s="1" t="n">
        <v>44311</v>
      </c>
      <c r="C1002" s="1" t="n">
        <v>46132</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15518-2022</t>
        </is>
      </c>
      <c r="B1003" s="1" t="n">
        <v>44662</v>
      </c>
      <c r="C1003" s="1" t="n">
        <v>46132</v>
      </c>
      <c r="D1003" t="inlineStr">
        <is>
          <t>ÖREBRO LÄN</t>
        </is>
      </c>
      <c r="E1003" t="inlineStr">
        <is>
          <t>LAXÅ</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7598-2022</t>
        </is>
      </c>
      <c r="B1004" s="1" t="n">
        <v>44607.64115740741</v>
      </c>
      <c r="C1004" s="1" t="n">
        <v>46132</v>
      </c>
      <c r="D1004" t="inlineStr">
        <is>
          <t>ÖREBRO LÄN</t>
        </is>
      </c>
      <c r="E1004" t="inlineStr">
        <is>
          <t>LINDESBERG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7859-2022</t>
        </is>
      </c>
      <c r="B1005" s="1" t="n">
        <v>44608</v>
      </c>
      <c r="C1005" s="1" t="n">
        <v>46132</v>
      </c>
      <c r="D1005" t="inlineStr">
        <is>
          <t>ÖREBRO LÄN</t>
        </is>
      </c>
      <c r="E1005" t="inlineStr">
        <is>
          <t>LINDESBERG</t>
        </is>
      </c>
      <c r="F1005" t="inlineStr">
        <is>
          <t>Kyrkan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46484-2021</t>
        </is>
      </c>
      <c r="B1006" s="1" t="n">
        <v>44445.38594907407</v>
      </c>
      <c r="C1006" s="1" t="n">
        <v>46132</v>
      </c>
      <c r="D1006" t="inlineStr">
        <is>
          <t>ÖREBRO LÄN</t>
        </is>
      </c>
      <c r="E1006" t="inlineStr">
        <is>
          <t>LAXÅ</t>
        </is>
      </c>
      <c r="F1006" t="inlineStr">
        <is>
          <t>Sveaskog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5039-2022</t>
        </is>
      </c>
      <c r="B1007" s="1" t="n">
        <v>44593</v>
      </c>
      <c r="C1007" s="1" t="n">
        <v>46132</v>
      </c>
      <c r="D1007" t="inlineStr">
        <is>
          <t>ÖREBRO LÄN</t>
        </is>
      </c>
      <c r="E1007" t="inlineStr">
        <is>
          <t>NORA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5025-2022</t>
        </is>
      </c>
      <c r="B1008" s="1" t="n">
        <v>44593</v>
      </c>
      <c r="C1008" s="1" t="n">
        <v>46132</v>
      </c>
      <c r="D1008" t="inlineStr">
        <is>
          <t>ÖREBRO LÄN</t>
        </is>
      </c>
      <c r="E1008" t="inlineStr">
        <is>
          <t>HÄLLEFORS</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978-2022</t>
        </is>
      </c>
      <c r="B1009" s="1" t="n">
        <v>44571</v>
      </c>
      <c r="C1009" s="1" t="n">
        <v>46132</v>
      </c>
      <c r="D1009" t="inlineStr">
        <is>
          <t>ÖREBRO LÄN</t>
        </is>
      </c>
      <c r="E1009" t="inlineStr">
        <is>
          <t>LAXÅ</t>
        </is>
      </c>
      <c r="F1009" t="inlineStr">
        <is>
          <t>Sveaskog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49135-2021</t>
        </is>
      </c>
      <c r="B1010" s="1" t="n">
        <v>44453</v>
      </c>
      <c r="C1010" s="1" t="n">
        <v>46132</v>
      </c>
      <c r="D1010" t="inlineStr">
        <is>
          <t>ÖREBRO LÄN</t>
        </is>
      </c>
      <c r="E1010" t="inlineStr">
        <is>
          <t>NORA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9362-2022</t>
        </is>
      </c>
      <c r="B1011" s="1" t="n">
        <v>44616.59946759259</v>
      </c>
      <c r="C1011" s="1" t="n">
        <v>46132</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57906-2021</t>
        </is>
      </c>
      <c r="B1012" s="1" t="n">
        <v>44486</v>
      </c>
      <c r="C1012" s="1" t="n">
        <v>46132</v>
      </c>
      <c r="D1012" t="inlineStr">
        <is>
          <t>ÖREBRO LÄN</t>
        </is>
      </c>
      <c r="E1012" t="inlineStr">
        <is>
          <t>ASKERSUND</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46132</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25963-2022</t>
        </is>
      </c>
      <c r="B1014" s="1" t="n">
        <v>44734</v>
      </c>
      <c r="C1014" s="1" t="n">
        <v>46132</v>
      </c>
      <c r="D1014" t="inlineStr">
        <is>
          <t>ÖREBRO LÄN</t>
        </is>
      </c>
      <c r="E1014" t="inlineStr">
        <is>
          <t>ASKERSUND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71090-2021</t>
        </is>
      </c>
      <c r="B1015" s="1" t="n">
        <v>44539.31923611111</v>
      </c>
      <c r="C1015" s="1" t="n">
        <v>46132</v>
      </c>
      <c r="D1015" t="inlineStr">
        <is>
          <t>ÖREBRO LÄN</t>
        </is>
      </c>
      <c r="E1015" t="inlineStr">
        <is>
          <t>LINDESBERG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71092-2021</t>
        </is>
      </c>
      <c r="B1016" s="1" t="n">
        <v>44539</v>
      </c>
      <c r="C1016" s="1" t="n">
        <v>46132</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46132</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30144-2022</t>
        </is>
      </c>
      <c r="B1018" s="1" t="n">
        <v>44757.48751157407</v>
      </c>
      <c r="C1018" s="1" t="n">
        <v>46132</v>
      </c>
      <c r="D1018" t="inlineStr">
        <is>
          <t>ÖREBRO LÄN</t>
        </is>
      </c>
      <c r="E1018" t="inlineStr">
        <is>
          <t>HALLSBERG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44165-2022</t>
        </is>
      </c>
      <c r="B1019" s="1" t="n">
        <v>44839</v>
      </c>
      <c r="C1019" s="1" t="n">
        <v>46132</v>
      </c>
      <c r="D1019" t="inlineStr">
        <is>
          <t>ÖREBRO LÄN</t>
        </is>
      </c>
      <c r="E1019" t="inlineStr">
        <is>
          <t>ÖREBRO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45105-2022</t>
        </is>
      </c>
      <c r="B1020" s="1" t="n">
        <v>44843</v>
      </c>
      <c r="C1020" s="1" t="n">
        <v>46132</v>
      </c>
      <c r="D1020" t="inlineStr">
        <is>
          <t>ÖREBRO LÄN</t>
        </is>
      </c>
      <c r="E1020" t="inlineStr">
        <is>
          <t>LEKEBERG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29062-2022</t>
        </is>
      </c>
      <c r="B1021" s="1" t="n">
        <v>44750</v>
      </c>
      <c r="C1021" s="1" t="n">
        <v>46132</v>
      </c>
      <c r="D1021" t="inlineStr">
        <is>
          <t>ÖREBRO LÄN</t>
        </is>
      </c>
      <c r="E1021" t="inlineStr">
        <is>
          <t>HÄLLEFORS</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32864-2022</t>
        </is>
      </c>
      <c r="B1022" s="1" t="n">
        <v>44784</v>
      </c>
      <c r="C1022" s="1" t="n">
        <v>46132</v>
      </c>
      <c r="D1022" t="inlineStr">
        <is>
          <t>ÖREBRO LÄN</t>
        </is>
      </c>
      <c r="E1022" t="inlineStr">
        <is>
          <t>KUMLA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16261-2022</t>
        </is>
      </c>
      <c r="B1023" s="1" t="n">
        <v>44670</v>
      </c>
      <c r="C1023" s="1" t="n">
        <v>46132</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41249-2021</t>
        </is>
      </c>
      <c r="B1024" s="1" t="n">
        <v>44424</v>
      </c>
      <c r="C1024" s="1" t="n">
        <v>46132</v>
      </c>
      <c r="D1024" t="inlineStr">
        <is>
          <t>ÖREBRO LÄN</t>
        </is>
      </c>
      <c r="E1024" t="inlineStr">
        <is>
          <t>ASKERSUND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51205-2021</t>
        </is>
      </c>
      <c r="B1025" s="1" t="n">
        <v>44461.49383101852</v>
      </c>
      <c r="C1025" s="1" t="n">
        <v>46132</v>
      </c>
      <c r="D1025" t="inlineStr">
        <is>
          <t>ÖREBRO LÄN</t>
        </is>
      </c>
      <c r="E1025" t="inlineStr">
        <is>
          <t>ASKERSUND</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33863-2021</t>
        </is>
      </c>
      <c r="B1026" s="1" t="n">
        <v>44378.62489583333</v>
      </c>
      <c r="C1026" s="1" t="n">
        <v>46132</v>
      </c>
      <c r="D1026" t="inlineStr">
        <is>
          <t>ÖREBRO LÄN</t>
        </is>
      </c>
      <c r="E1026" t="inlineStr">
        <is>
          <t>LAXÅ</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54139-2021</t>
        </is>
      </c>
      <c r="B1027" s="1" t="n">
        <v>44470</v>
      </c>
      <c r="C1027" s="1" t="n">
        <v>46132</v>
      </c>
      <c r="D1027" t="inlineStr">
        <is>
          <t>ÖREBRO LÄN</t>
        </is>
      </c>
      <c r="E1027" t="inlineStr">
        <is>
          <t>DEGERFORS</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62423-2021</t>
        </is>
      </c>
      <c r="B1028" s="1" t="n">
        <v>44503</v>
      </c>
      <c r="C1028" s="1" t="n">
        <v>46132</v>
      </c>
      <c r="D1028" t="inlineStr">
        <is>
          <t>ÖREBRO LÄN</t>
        </is>
      </c>
      <c r="E1028" t="inlineStr">
        <is>
          <t>LAXÅ</t>
        </is>
      </c>
      <c r="F1028" t="inlineStr">
        <is>
          <t>Sveaskog</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8050-2022</t>
        </is>
      </c>
      <c r="B1029" s="1" t="n">
        <v>44609.46233796296</v>
      </c>
      <c r="C1029" s="1" t="n">
        <v>46132</v>
      </c>
      <c r="D1029" t="inlineStr">
        <is>
          <t>ÖREBRO LÄN</t>
        </is>
      </c>
      <c r="E1029" t="inlineStr">
        <is>
          <t>LEKEBERG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61232-2021</t>
        </is>
      </c>
      <c r="B1030" s="1" t="n">
        <v>44498</v>
      </c>
      <c r="C1030" s="1" t="n">
        <v>46132</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46132</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46132</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46132</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68578-2021</t>
        </is>
      </c>
      <c r="B1034" s="1" t="n">
        <v>44529.52201388889</v>
      </c>
      <c r="C1034" s="1" t="n">
        <v>46132</v>
      </c>
      <c r="D1034" t="inlineStr">
        <is>
          <t>ÖREBRO LÄN</t>
        </is>
      </c>
      <c r="E1034" t="inlineStr">
        <is>
          <t>DEGERFORS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22116-2021</t>
        </is>
      </c>
      <c r="B1035" s="1" t="n">
        <v>44323.73480324074</v>
      </c>
      <c r="C1035" s="1" t="n">
        <v>46132</v>
      </c>
      <c r="D1035" t="inlineStr">
        <is>
          <t>ÖREBRO LÄN</t>
        </is>
      </c>
      <c r="E1035" t="inlineStr">
        <is>
          <t>ASKERSUND</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56260-2021</t>
        </is>
      </c>
      <c r="B1036" s="1" t="n">
        <v>44479.58512731481</v>
      </c>
      <c r="C1036" s="1" t="n">
        <v>46132</v>
      </c>
      <c r="D1036" t="inlineStr">
        <is>
          <t>ÖREBRO LÄN</t>
        </is>
      </c>
      <c r="E1036" t="inlineStr">
        <is>
          <t>LINDESBERG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34998-2022</t>
        </is>
      </c>
      <c r="B1037" s="1" t="n">
        <v>44796</v>
      </c>
      <c r="C1037" s="1" t="n">
        <v>46132</v>
      </c>
      <c r="D1037" t="inlineStr">
        <is>
          <t>ÖREBRO LÄN</t>
        </is>
      </c>
      <c r="E1037" t="inlineStr">
        <is>
          <t>ASKERSUND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46132</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9751-2022</t>
        </is>
      </c>
      <c r="B1039" s="1" t="n">
        <v>44618</v>
      </c>
      <c r="C1039" s="1" t="n">
        <v>46132</v>
      </c>
      <c r="D1039" t="inlineStr">
        <is>
          <t>ÖREBRO LÄN</t>
        </is>
      </c>
      <c r="E1039" t="inlineStr">
        <is>
          <t>LINDESBERG</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12730-2022</t>
        </is>
      </c>
      <c r="B1040" s="1" t="n">
        <v>44641</v>
      </c>
      <c r="C1040" s="1" t="n">
        <v>46132</v>
      </c>
      <c r="D1040" t="inlineStr">
        <is>
          <t>ÖREBRO LÄN</t>
        </is>
      </c>
      <c r="E1040" t="inlineStr">
        <is>
          <t>ASKERSUND</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46132</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65000-2021</t>
        </is>
      </c>
      <c r="B1042" s="1" t="n">
        <v>44514</v>
      </c>
      <c r="C1042" s="1" t="n">
        <v>46132</v>
      </c>
      <c r="D1042" t="inlineStr">
        <is>
          <t>ÖREBRO LÄN</t>
        </is>
      </c>
      <c r="E1042" t="inlineStr">
        <is>
          <t>ASKERSUND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44636.46935185185</v>
      </c>
      <c r="C1043" s="1" t="n">
        <v>46132</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37146-2022</t>
        </is>
      </c>
      <c r="B1044" s="1" t="n">
        <v>44805</v>
      </c>
      <c r="C1044" s="1" t="n">
        <v>46132</v>
      </c>
      <c r="D1044" t="inlineStr">
        <is>
          <t>ÖREBRO LÄN</t>
        </is>
      </c>
      <c r="E1044" t="inlineStr">
        <is>
          <t>LAXÅ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39183-2022</t>
        </is>
      </c>
      <c r="B1045" s="1" t="n">
        <v>44817.51229166667</v>
      </c>
      <c r="C1045" s="1" t="n">
        <v>46132</v>
      </c>
      <c r="D1045" t="inlineStr">
        <is>
          <t>ÖREBRO LÄN</t>
        </is>
      </c>
      <c r="E1045" t="inlineStr">
        <is>
          <t>HÄLLEFORS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67275-2021</t>
        </is>
      </c>
      <c r="B1046" s="1" t="n">
        <v>44523</v>
      </c>
      <c r="C1046" s="1" t="n">
        <v>46132</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62437-2021</t>
        </is>
      </c>
      <c r="B1047" s="1" t="n">
        <v>44503</v>
      </c>
      <c r="C1047" s="1" t="n">
        <v>46132</v>
      </c>
      <c r="D1047" t="inlineStr">
        <is>
          <t>ÖREBRO LÄN</t>
        </is>
      </c>
      <c r="E1047" t="inlineStr">
        <is>
          <t>LAXÅ</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67998-2021</t>
        </is>
      </c>
      <c r="B1048" s="1" t="n">
        <v>44525.76128472222</v>
      </c>
      <c r="C1048" s="1" t="n">
        <v>46132</v>
      </c>
      <c r="D1048" t="inlineStr">
        <is>
          <t>ÖREBRO LÄN</t>
        </is>
      </c>
      <c r="E1048" t="inlineStr">
        <is>
          <t>DEGERFORS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51268-2022</t>
        </is>
      </c>
      <c r="B1049" s="1" t="n">
        <v>44868</v>
      </c>
      <c r="C1049" s="1" t="n">
        <v>46132</v>
      </c>
      <c r="D1049" t="inlineStr">
        <is>
          <t>ÖREBRO LÄN</t>
        </is>
      </c>
      <c r="E1049" t="inlineStr">
        <is>
          <t>ÖREBRO</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63906-2021</t>
        </is>
      </c>
      <c r="B1050" s="1" t="n">
        <v>44509.65762731482</v>
      </c>
      <c r="C1050" s="1" t="n">
        <v>46132</v>
      </c>
      <c r="D1050" t="inlineStr">
        <is>
          <t>ÖREBRO LÄN</t>
        </is>
      </c>
      <c r="E1050" t="inlineStr">
        <is>
          <t>DEGERFORS</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46132</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46132</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13997-2022</t>
        </is>
      </c>
      <c r="B1053" s="1" t="n">
        <v>44650</v>
      </c>
      <c r="C1053" s="1" t="n">
        <v>46132</v>
      </c>
      <c r="D1053" t="inlineStr">
        <is>
          <t>ÖREBRO LÄN</t>
        </is>
      </c>
      <c r="E1053" t="inlineStr">
        <is>
          <t>ASKERSUND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4786-2022</t>
        </is>
      </c>
      <c r="B1054" s="1" t="n">
        <v>44592</v>
      </c>
      <c r="C1054" s="1" t="n">
        <v>46132</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46132</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46132</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21612-2022</t>
        </is>
      </c>
      <c r="B1057" s="1" t="n">
        <v>44706.67246527778</v>
      </c>
      <c r="C1057" s="1" t="n">
        <v>46132</v>
      </c>
      <c r="D1057" t="inlineStr">
        <is>
          <t>ÖREBRO LÄN</t>
        </is>
      </c>
      <c r="E1057" t="inlineStr">
        <is>
          <t>KARLSKOGA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21622-2022</t>
        </is>
      </c>
      <c r="B1058" s="1" t="n">
        <v>44706.68547453704</v>
      </c>
      <c r="C1058" s="1" t="n">
        <v>46132</v>
      </c>
      <c r="D1058" t="inlineStr">
        <is>
          <t>ÖREBRO LÄN</t>
        </is>
      </c>
      <c r="E1058" t="inlineStr">
        <is>
          <t>KARLSKOGA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46132</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46132</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26509-2021</t>
        </is>
      </c>
      <c r="B1061" s="1" t="n">
        <v>44348.45107638889</v>
      </c>
      <c r="C1061" s="1" t="n">
        <v>46132</v>
      </c>
      <c r="D1061" t="inlineStr">
        <is>
          <t>ÖREBRO LÄN</t>
        </is>
      </c>
      <c r="E1061" t="inlineStr">
        <is>
          <t>ÖREBRO</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30122-2021</t>
        </is>
      </c>
      <c r="B1062" s="1" t="n">
        <v>44363</v>
      </c>
      <c r="C1062" s="1" t="n">
        <v>46132</v>
      </c>
      <c r="D1062" t="inlineStr">
        <is>
          <t>ÖREBRO LÄN</t>
        </is>
      </c>
      <c r="E1062" t="inlineStr">
        <is>
          <t>LINDESBERG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46132</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64372-2021</t>
        </is>
      </c>
      <c r="B1064" s="1" t="n">
        <v>44511.39611111111</v>
      </c>
      <c r="C1064" s="1" t="n">
        <v>46132</v>
      </c>
      <c r="D1064" t="inlineStr">
        <is>
          <t>ÖREBRO LÄN</t>
        </is>
      </c>
      <c r="E1064" t="inlineStr">
        <is>
          <t>LINDESBERG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21695-2022</t>
        </is>
      </c>
      <c r="B1065" s="1" t="n">
        <v>44707.88415509259</v>
      </c>
      <c r="C1065" s="1" t="n">
        <v>46132</v>
      </c>
      <c r="D1065" t="inlineStr">
        <is>
          <t>ÖREBRO LÄN</t>
        </is>
      </c>
      <c r="E1065" t="inlineStr">
        <is>
          <t>NORA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4766-2022</t>
        </is>
      </c>
      <c r="B1066" s="1" t="n">
        <v>44592</v>
      </c>
      <c r="C1066" s="1" t="n">
        <v>46132</v>
      </c>
      <c r="D1066" t="inlineStr">
        <is>
          <t>ÖREBRO LÄN</t>
        </is>
      </c>
      <c r="E1066" t="inlineStr">
        <is>
          <t>ÖREBRO</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39605-2021</t>
        </is>
      </c>
      <c r="B1067" s="1" t="n">
        <v>44413</v>
      </c>
      <c r="C1067" s="1" t="n">
        <v>46132</v>
      </c>
      <c r="D1067" t="inlineStr">
        <is>
          <t>ÖREBRO LÄN</t>
        </is>
      </c>
      <c r="E1067" t="inlineStr">
        <is>
          <t>ASKERSUND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36504-2021</t>
        </is>
      </c>
      <c r="B1068" s="1" t="n">
        <v>44391</v>
      </c>
      <c r="C1068" s="1" t="n">
        <v>46132</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46132</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43421-2021</t>
        </is>
      </c>
      <c r="B1070" s="1" t="n">
        <v>44432.64310185185</v>
      </c>
      <c r="C1070" s="1" t="n">
        <v>46132</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46132</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5504-2022</t>
        </is>
      </c>
      <c r="B1072" s="1" t="n">
        <v>44595</v>
      </c>
      <c r="C1072" s="1" t="n">
        <v>46132</v>
      </c>
      <c r="D1072" t="inlineStr">
        <is>
          <t>ÖREBRO LÄN</t>
        </is>
      </c>
      <c r="E1072" t="inlineStr">
        <is>
          <t>ASKERSUND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59006-2021</t>
        </is>
      </c>
      <c r="B1073" s="1" t="n">
        <v>44490</v>
      </c>
      <c r="C1073" s="1" t="n">
        <v>46132</v>
      </c>
      <c r="D1073" t="inlineStr">
        <is>
          <t>ÖREBRO LÄN</t>
        </is>
      </c>
      <c r="E1073" t="inlineStr">
        <is>
          <t>LINDESBERG</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63008-2021</t>
        </is>
      </c>
      <c r="B1074" s="1" t="n">
        <v>44505.41567129629</v>
      </c>
      <c r="C1074" s="1" t="n">
        <v>46132</v>
      </c>
      <c r="D1074" t="inlineStr">
        <is>
          <t>ÖREBRO LÄN</t>
        </is>
      </c>
      <c r="E1074" t="inlineStr">
        <is>
          <t>DEGERFORS</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12478-2022</t>
        </is>
      </c>
      <c r="B1075" s="1" t="n">
        <v>44638</v>
      </c>
      <c r="C1075" s="1" t="n">
        <v>46132</v>
      </c>
      <c r="D1075" t="inlineStr">
        <is>
          <t>ÖREBRO LÄN</t>
        </is>
      </c>
      <c r="E1075" t="inlineStr">
        <is>
          <t>ÖREBRO</t>
        </is>
      </c>
      <c r="F1075" t="inlineStr">
        <is>
          <t>Kyrkan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70160-2021</t>
        </is>
      </c>
      <c r="B1076" s="1" t="n">
        <v>44533.69733796296</v>
      </c>
      <c r="C1076" s="1" t="n">
        <v>46132</v>
      </c>
      <c r="D1076" t="inlineStr">
        <is>
          <t>ÖREBRO LÄN</t>
        </is>
      </c>
      <c r="E1076" t="inlineStr">
        <is>
          <t>HALLSBERG</t>
        </is>
      </c>
      <c r="F1076" t="inlineStr">
        <is>
          <t>Allmännings- och besparingsskogar</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60961-2021</t>
        </is>
      </c>
      <c r="B1077" s="1" t="n">
        <v>44497</v>
      </c>
      <c r="C1077" s="1" t="n">
        <v>46132</v>
      </c>
      <c r="D1077" t="inlineStr">
        <is>
          <t>ÖREBRO LÄN</t>
        </is>
      </c>
      <c r="E1077" t="inlineStr">
        <is>
          <t>ASKERSUND</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20238-2022</t>
        </is>
      </c>
      <c r="B1078" s="1" t="n">
        <v>44698.62354166667</v>
      </c>
      <c r="C1078" s="1" t="n">
        <v>46132</v>
      </c>
      <c r="D1078" t="inlineStr">
        <is>
          <t>ÖREBRO LÄN</t>
        </is>
      </c>
      <c r="E1078" t="inlineStr">
        <is>
          <t>LINDESBERG</t>
        </is>
      </c>
      <c r="F1078" t="inlineStr">
        <is>
          <t>Naturvårdsverket</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32818-2022</t>
        </is>
      </c>
      <c r="B1079" s="1" t="n">
        <v>44784.38697916667</v>
      </c>
      <c r="C1079" s="1" t="n">
        <v>46132</v>
      </c>
      <c r="D1079" t="inlineStr">
        <is>
          <t>ÖREBRO LÄN</t>
        </is>
      </c>
      <c r="E1079" t="inlineStr">
        <is>
          <t>LINDESBERG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67508-2021</t>
        </is>
      </c>
      <c r="B1080" s="1" t="n">
        <v>44524</v>
      </c>
      <c r="C1080" s="1" t="n">
        <v>46132</v>
      </c>
      <c r="D1080" t="inlineStr">
        <is>
          <t>ÖREBRO LÄN</t>
        </is>
      </c>
      <c r="E1080" t="inlineStr">
        <is>
          <t>LEKEBERG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39027-2022</t>
        </is>
      </c>
      <c r="B1081" s="1" t="n">
        <v>44817</v>
      </c>
      <c r="C1081" s="1" t="n">
        <v>46132</v>
      </c>
      <c r="D1081" t="inlineStr">
        <is>
          <t>ÖREBRO LÄN</t>
        </is>
      </c>
      <c r="E1081" t="inlineStr">
        <is>
          <t>KARLSKOGA</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33609-2022</t>
        </is>
      </c>
      <c r="B1082" s="1" t="n">
        <v>44782</v>
      </c>
      <c r="C1082" s="1" t="n">
        <v>46132</v>
      </c>
      <c r="D1082" t="inlineStr">
        <is>
          <t>ÖREBRO LÄN</t>
        </is>
      </c>
      <c r="E1082" t="inlineStr">
        <is>
          <t>HÄLLEFORS</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46132</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40312-2021</t>
        </is>
      </c>
      <c r="B1084" s="1" t="n">
        <v>44419</v>
      </c>
      <c r="C1084" s="1" t="n">
        <v>46132</v>
      </c>
      <c r="D1084" t="inlineStr">
        <is>
          <t>ÖREBRO LÄN</t>
        </is>
      </c>
      <c r="E1084" t="inlineStr">
        <is>
          <t>ÖREBRO</t>
        </is>
      </c>
      <c r="F1084" t="inlineStr">
        <is>
          <t>Övriga Aktiebolag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5401-2022</t>
        </is>
      </c>
      <c r="B1085" s="1" t="n">
        <v>44595</v>
      </c>
      <c r="C1085" s="1" t="n">
        <v>46132</v>
      </c>
      <c r="D1085" t="inlineStr">
        <is>
          <t>ÖREBRO LÄN</t>
        </is>
      </c>
      <c r="E1085" t="inlineStr">
        <is>
          <t>ÖREBRO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35330-2021</t>
        </is>
      </c>
      <c r="B1086" s="1" t="n">
        <v>44384.81996527778</v>
      </c>
      <c r="C1086" s="1" t="n">
        <v>46132</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29444-2024</t>
        </is>
      </c>
      <c r="B1087" s="1" t="n">
        <v>45483.86464120371</v>
      </c>
      <c r="C1087" s="1" t="n">
        <v>46132</v>
      </c>
      <c r="D1087" t="inlineStr">
        <is>
          <t>ÖREBRO LÄN</t>
        </is>
      </c>
      <c r="E1087" t="inlineStr">
        <is>
          <t>LEKEBERG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36001-2021</t>
        </is>
      </c>
      <c r="B1088" s="1" t="n">
        <v>44389</v>
      </c>
      <c r="C1088" s="1" t="n">
        <v>46132</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32725-2022</t>
        </is>
      </c>
      <c r="B1089" s="1" t="n">
        <v>44783</v>
      </c>
      <c r="C1089" s="1" t="n">
        <v>46132</v>
      </c>
      <c r="D1089" t="inlineStr">
        <is>
          <t>ÖREBRO LÄN</t>
        </is>
      </c>
      <c r="E1089" t="inlineStr">
        <is>
          <t>KUMLA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7077-2024</t>
        </is>
      </c>
      <c r="B1090" s="1" t="n">
        <v>45343</v>
      </c>
      <c r="C1090" s="1" t="n">
        <v>46132</v>
      </c>
      <c r="D1090" t="inlineStr">
        <is>
          <t>ÖREBRO LÄN</t>
        </is>
      </c>
      <c r="E1090" t="inlineStr">
        <is>
          <t>ASKERSUND</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34026-2022</t>
        </is>
      </c>
      <c r="B1091" s="1" t="n">
        <v>44791.32811342592</v>
      </c>
      <c r="C1091" s="1" t="n">
        <v>46132</v>
      </c>
      <c r="D1091" t="inlineStr">
        <is>
          <t>ÖREBRO LÄN</t>
        </is>
      </c>
      <c r="E1091" t="inlineStr">
        <is>
          <t>NORA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40607-2021</t>
        </is>
      </c>
      <c r="B1092" s="1" t="n">
        <v>44420</v>
      </c>
      <c r="C1092" s="1" t="n">
        <v>46132</v>
      </c>
      <c r="D1092" t="inlineStr">
        <is>
          <t>ÖREBRO LÄN</t>
        </is>
      </c>
      <c r="E1092" t="inlineStr">
        <is>
          <t>HALLSBERG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53538-2023</t>
        </is>
      </c>
      <c r="B1093" s="1" t="n">
        <v>45230.45271990741</v>
      </c>
      <c r="C1093" s="1" t="n">
        <v>46132</v>
      </c>
      <c r="D1093" t="inlineStr">
        <is>
          <t>ÖREBRO LÄN</t>
        </is>
      </c>
      <c r="E1093" t="inlineStr">
        <is>
          <t>LAXÅ</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51212-2023</t>
        </is>
      </c>
      <c r="B1094" s="1" t="n">
        <v>45219.44366898148</v>
      </c>
      <c r="C1094" s="1" t="n">
        <v>46132</v>
      </c>
      <c r="D1094" t="inlineStr">
        <is>
          <t>ÖREBRO LÄN</t>
        </is>
      </c>
      <c r="E1094" t="inlineStr">
        <is>
          <t>HÄLLEFORS</t>
        </is>
      </c>
      <c r="F1094" t="inlineStr">
        <is>
          <t>Bergvik skog väst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13468-2024</t>
        </is>
      </c>
      <c r="B1095" s="1" t="n">
        <v>45387.57523148148</v>
      </c>
      <c r="C1095" s="1" t="n">
        <v>46132</v>
      </c>
      <c r="D1095" t="inlineStr">
        <is>
          <t>ÖREBRO LÄN</t>
        </is>
      </c>
      <c r="E1095" t="inlineStr">
        <is>
          <t>HALLSBERG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42198-2021</t>
        </is>
      </c>
      <c r="B1096" s="1" t="n">
        <v>44426</v>
      </c>
      <c r="C1096" s="1" t="n">
        <v>46132</v>
      </c>
      <c r="D1096" t="inlineStr">
        <is>
          <t>ÖREBRO LÄN</t>
        </is>
      </c>
      <c r="E1096" t="inlineStr">
        <is>
          <t>ASKERSUND</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6470-2024</t>
        </is>
      </c>
      <c r="B1097" s="1" t="n">
        <v>45338</v>
      </c>
      <c r="C1097" s="1" t="n">
        <v>46132</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51350-2023</t>
        </is>
      </c>
      <c r="B1098" s="1" t="n">
        <v>45213</v>
      </c>
      <c r="C1098" s="1" t="n">
        <v>46132</v>
      </c>
      <c r="D1098" t="inlineStr">
        <is>
          <t>ÖREBRO LÄN</t>
        </is>
      </c>
      <c r="E1098" t="inlineStr">
        <is>
          <t>HALLSBERG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44806-2023</t>
        </is>
      </c>
      <c r="B1099" s="1" t="n">
        <v>45190.49174768518</v>
      </c>
      <c r="C1099" s="1" t="n">
        <v>46132</v>
      </c>
      <c r="D1099" t="inlineStr">
        <is>
          <t>ÖREBRO LÄN</t>
        </is>
      </c>
      <c r="E1099" t="inlineStr">
        <is>
          <t>DEGERFORS</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12060-2024</t>
        </is>
      </c>
      <c r="B1100" s="1" t="n">
        <v>45377.49229166667</v>
      </c>
      <c r="C1100" s="1" t="n">
        <v>46132</v>
      </c>
      <c r="D1100" t="inlineStr">
        <is>
          <t>ÖREBRO LÄN</t>
        </is>
      </c>
      <c r="E1100" t="inlineStr">
        <is>
          <t>LAXÅ</t>
        </is>
      </c>
      <c r="F1100" t="inlineStr">
        <is>
          <t>Sveaskog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12065-2024</t>
        </is>
      </c>
      <c r="B1101" s="1" t="n">
        <v>45377.49775462963</v>
      </c>
      <c r="C1101" s="1" t="n">
        <v>46132</v>
      </c>
      <c r="D1101" t="inlineStr">
        <is>
          <t>ÖREBRO LÄN</t>
        </is>
      </c>
      <c r="E1101" t="inlineStr">
        <is>
          <t>LAXÅ</t>
        </is>
      </c>
      <c r="F1101" t="inlineStr">
        <is>
          <t>Sveaskog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41181-2023</t>
        </is>
      </c>
      <c r="B1102" s="1" t="n">
        <v>45174</v>
      </c>
      <c r="C1102" s="1" t="n">
        <v>46132</v>
      </c>
      <c r="D1102" t="inlineStr">
        <is>
          <t>ÖREBRO LÄN</t>
        </is>
      </c>
      <c r="E1102" t="inlineStr">
        <is>
          <t>HALLSBERG</t>
        </is>
      </c>
      <c r="F1102" t="inlineStr">
        <is>
          <t>Allmännings- och besparingsskogar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38547-2022</t>
        </is>
      </c>
      <c r="B1103" s="1" t="n">
        <v>44813</v>
      </c>
      <c r="C1103" s="1" t="n">
        <v>46132</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38554-2022</t>
        </is>
      </c>
      <c r="B1104" s="1" t="n">
        <v>44813</v>
      </c>
      <c r="C1104" s="1" t="n">
        <v>46132</v>
      </c>
      <c r="D1104" t="inlineStr">
        <is>
          <t>ÖREBRO LÄN</t>
        </is>
      </c>
      <c r="E1104" t="inlineStr">
        <is>
          <t>LAXÅ</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41264-2023</t>
        </is>
      </c>
      <c r="B1105" s="1" t="n">
        <v>45170</v>
      </c>
      <c r="C1105" s="1" t="n">
        <v>46132</v>
      </c>
      <c r="D1105" t="inlineStr">
        <is>
          <t>ÖREBRO LÄN</t>
        </is>
      </c>
      <c r="E1105" t="inlineStr">
        <is>
          <t>ASKERSUND</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19831-2021</t>
        </is>
      </c>
      <c r="B1106" s="1" t="n">
        <v>44313</v>
      </c>
      <c r="C1106" s="1" t="n">
        <v>46132</v>
      </c>
      <c r="D1106" t="inlineStr">
        <is>
          <t>ÖREBRO LÄN</t>
        </is>
      </c>
      <c r="E1106" t="inlineStr">
        <is>
          <t>ÖREBRO</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43254-2022</t>
        </is>
      </c>
      <c r="B1107" s="1" t="n">
        <v>44834</v>
      </c>
      <c r="C1107" s="1" t="n">
        <v>46132</v>
      </c>
      <c r="D1107" t="inlineStr">
        <is>
          <t>ÖREBRO LÄN</t>
        </is>
      </c>
      <c r="E1107" t="inlineStr">
        <is>
          <t>NORA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13169-2024</t>
        </is>
      </c>
      <c r="B1108" s="1" t="n">
        <v>45386.40489583334</v>
      </c>
      <c r="C1108" s="1" t="n">
        <v>46132</v>
      </c>
      <c r="D1108" t="inlineStr">
        <is>
          <t>ÖREBRO LÄN</t>
        </is>
      </c>
      <c r="E1108" t="inlineStr">
        <is>
          <t>ÖREBRO</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15354-2024</t>
        </is>
      </c>
      <c r="B1109" s="1" t="n">
        <v>45400.85319444445</v>
      </c>
      <c r="C1109" s="1" t="n">
        <v>46132</v>
      </c>
      <c r="D1109" t="inlineStr">
        <is>
          <t>ÖREBRO LÄN</t>
        </is>
      </c>
      <c r="E1109" t="inlineStr">
        <is>
          <t>ÖREBRO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45852-2023</t>
        </is>
      </c>
      <c r="B1110" s="1" t="n">
        <v>45195.59644675926</v>
      </c>
      <c r="C1110" s="1" t="n">
        <v>46132</v>
      </c>
      <c r="D1110" t="inlineStr">
        <is>
          <t>ÖREBRO LÄN</t>
        </is>
      </c>
      <c r="E1110" t="inlineStr">
        <is>
          <t>HALLSBERG</t>
        </is>
      </c>
      <c r="F1110" t="inlineStr">
        <is>
          <t>Allmännings- och besparingsskogar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11067-2025</t>
        </is>
      </c>
      <c r="B1111" s="1" t="n">
        <v>45723</v>
      </c>
      <c r="C1111" s="1" t="n">
        <v>46132</v>
      </c>
      <c r="D1111" t="inlineStr">
        <is>
          <t>ÖREBRO LÄN</t>
        </is>
      </c>
      <c r="E1111" t="inlineStr">
        <is>
          <t>ÖREBRO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33290-2021</t>
        </is>
      </c>
      <c r="B1112" s="1" t="n">
        <v>44377.40789351852</v>
      </c>
      <c r="C1112" s="1" t="n">
        <v>46132</v>
      </c>
      <c r="D1112" t="inlineStr">
        <is>
          <t>ÖREBRO LÄN</t>
        </is>
      </c>
      <c r="E1112" t="inlineStr">
        <is>
          <t>HALLSBERG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45481-2023</t>
        </is>
      </c>
      <c r="B1113" s="1" t="n">
        <v>45194</v>
      </c>
      <c r="C1113" s="1" t="n">
        <v>46132</v>
      </c>
      <c r="D1113" t="inlineStr">
        <is>
          <t>ÖREBRO LÄN</t>
        </is>
      </c>
      <c r="E1113" t="inlineStr">
        <is>
          <t>LINDESBERG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8803-2025</t>
        </is>
      </c>
      <c r="B1114" s="1" t="n">
        <v>45712.66123842593</v>
      </c>
      <c r="C1114" s="1" t="n">
        <v>46132</v>
      </c>
      <c r="D1114" t="inlineStr">
        <is>
          <t>ÖREBRO LÄN</t>
        </is>
      </c>
      <c r="E1114" t="inlineStr">
        <is>
          <t>KARLSKOGA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43933-2024</t>
        </is>
      </c>
      <c r="B1115" s="1" t="n">
        <v>45572.45697916667</v>
      </c>
      <c r="C1115" s="1" t="n">
        <v>46132</v>
      </c>
      <c r="D1115" t="inlineStr">
        <is>
          <t>ÖREBRO LÄN</t>
        </is>
      </c>
      <c r="E1115" t="inlineStr">
        <is>
          <t>ASKERSUND</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19177-2023</t>
        </is>
      </c>
      <c r="B1116" s="1" t="n">
        <v>45048</v>
      </c>
      <c r="C1116" s="1" t="n">
        <v>46132</v>
      </c>
      <c r="D1116" t="inlineStr">
        <is>
          <t>ÖREBRO LÄN</t>
        </is>
      </c>
      <c r="E1116" t="inlineStr">
        <is>
          <t>LAXÅ</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49541-2023</t>
        </is>
      </c>
      <c r="B1117" s="1" t="n">
        <v>45211</v>
      </c>
      <c r="C1117" s="1" t="n">
        <v>46132</v>
      </c>
      <c r="D1117" t="inlineStr">
        <is>
          <t>ÖREBRO LÄN</t>
        </is>
      </c>
      <c r="E1117" t="inlineStr">
        <is>
          <t>ASKERSUND</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25805-2024</t>
        </is>
      </c>
      <c r="B1118" s="1" t="n">
        <v>45467.36495370371</v>
      </c>
      <c r="C1118" s="1" t="n">
        <v>46132</v>
      </c>
      <c r="D1118" t="inlineStr">
        <is>
          <t>ÖREBRO LÄN</t>
        </is>
      </c>
      <c r="E1118" t="inlineStr">
        <is>
          <t>HALLSBERG</t>
        </is>
      </c>
      <c r="F1118" t="inlineStr">
        <is>
          <t>Allmännings- och besparingsskogar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34139-2022</t>
        </is>
      </c>
      <c r="B1119" s="1" t="n">
        <v>44791</v>
      </c>
      <c r="C1119" s="1" t="n">
        <v>46132</v>
      </c>
      <c r="D1119" t="inlineStr">
        <is>
          <t>ÖREBRO LÄN</t>
        </is>
      </c>
      <c r="E1119" t="inlineStr">
        <is>
          <t>ASKERSUND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5357-2024</t>
        </is>
      </c>
      <c r="B1120" s="1" t="n">
        <v>45331</v>
      </c>
      <c r="C1120" s="1" t="n">
        <v>46132</v>
      </c>
      <c r="D1120" t="inlineStr">
        <is>
          <t>ÖREBRO LÄN</t>
        </is>
      </c>
      <c r="E1120" t="inlineStr">
        <is>
          <t>ÖREBRO</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26662-2022</t>
        </is>
      </c>
      <c r="B1121" s="1" t="n">
        <v>44739.6334375</v>
      </c>
      <c r="C1121" s="1" t="n">
        <v>46132</v>
      </c>
      <c r="D1121" t="inlineStr">
        <is>
          <t>ÖREBRO LÄN</t>
        </is>
      </c>
      <c r="E1121" t="inlineStr">
        <is>
          <t>ASKERSUND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63686-2023</t>
        </is>
      </c>
      <c r="B1122" s="1" t="n">
        <v>45274</v>
      </c>
      <c r="C1122" s="1" t="n">
        <v>46132</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9585-2025</t>
        </is>
      </c>
      <c r="B1123" s="1" t="n">
        <v>45715.63409722222</v>
      </c>
      <c r="C1123" s="1" t="n">
        <v>46132</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45861-2023</t>
        </is>
      </c>
      <c r="B1124" s="1" t="n">
        <v>45195</v>
      </c>
      <c r="C1124" s="1" t="n">
        <v>46132</v>
      </c>
      <c r="D1124" t="inlineStr">
        <is>
          <t>ÖREBRO LÄN</t>
        </is>
      </c>
      <c r="E1124" t="inlineStr">
        <is>
          <t>DEGERFORS</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46198-2023</t>
        </is>
      </c>
      <c r="B1125" s="1" t="n">
        <v>45196</v>
      </c>
      <c r="C1125" s="1" t="n">
        <v>46132</v>
      </c>
      <c r="D1125" t="inlineStr">
        <is>
          <t>ÖREBRO LÄN</t>
        </is>
      </c>
      <c r="E1125" t="inlineStr">
        <is>
          <t>NORA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27735-2021</t>
        </is>
      </c>
      <c r="B1126" s="1" t="n">
        <v>44354.4771412037</v>
      </c>
      <c r="C1126" s="1" t="n">
        <v>46132</v>
      </c>
      <c r="D1126" t="inlineStr">
        <is>
          <t>ÖREBRO LÄN</t>
        </is>
      </c>
      <c r="E1126" t="inlineStr">
        <is>
          <t>KARLSKOGA</t>
        </is>
      </c>
      <c r="F1126" t="inlineStr">
        <is>
          <t>Sveaskog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6394-2024</t>
        </is>
      </c>
      <c r="B1127" s="1" t="n">
        <v>45338.57230324074</v>
      </c>
      <c r="C1127" s="1" t="n">
        <v>46132</v>
      </c>
      <c r="D1127" t="inlineStr">
        <is>
          <t>ÖREBRO LÄN</t>
        </is>
      </c>
      <c r="E1127" t="inlineStr">
        <is>
          <t>DEGERFORS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44343-2022</t>
        </is>
      </c>
      <c r="B1128" s="1" t="n">
        <v>44839.67604166667</v>
      </c>
      <c r="C1128" s="1" t="n">
        <v>46132</v>
      </c>
      <c r="D1128" t="inlineStr">
        <is>
          <t>ÖREBRO LÄN</t>
        </is>
      </c>
      <c r="E1128" t="inlineStr">
        <is>
          <t>LEKEBERG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48612-2023</t>
        </is>
      </c>
      <c r="B1129" s="1" t="n">
        <v>45208.54440972222</v>
      </c>
      <c r="C1129" s="1" t="n">
        <v>46132</v>
      </c>
      <c r="D1129" t="inlineStr">
        <is>
          <t>ÖREBRO LÄN</t>
        </is>
      </c>
      <c r="E1129" t="inlineStr">
        <is>
          <t>ASKERSUND</t>
        </is>
      </c>
      <c r="F1129" t="inlineStr">
        <is>
          <t>Sveaskog</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34594-2022</t>
        </is>
      </c>
      <c r="B1130" s="1" t="n">
        <v>44795</v>
      </c>
      <c r="C1130" s="1" t="n">
        <v>46132</v>
      </c>
      <c r="D1130" t="inlineStr">
        <is>
          <t>ÖREBRO LÄN</t>
        </is>
      </c>
      <c r="E1130" t="inlineStr">
        <is>
          <t>LAXÅ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6879-2024</t>
        </is>
      </c>
      <c r="B1131" s="1" t="n">
        <v>45342.85280092592</v>
      </c>
      <c r="C1131" s="1" t="n">
        <v>46132</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55591-2023</t>
        </is>
      </c>
      <c r="B1132" s="1" t="n">
        <v>45238</v>
      </c>
      <c r="C1132" s="1" t="n">
        <v>46132</v>
      </c>
      <c r="D1132" t="inlineStr">
        <is>
          <t>ÖREBRO LÄN</t>
        </is>
      </c>
      <c r="E1132" t="inlineStr">
        <is>
          <t>ASKERSUND</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5125-2024</t>
        </is>
      </c>
      <c r="B1133" s="1" t="n">
        <v>45330</v>
      </c>
      <c r="C1133" s="1" t="n">
        <v>46132</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16109-2024</t>
        </is>
      </c>
      <c r="B1134" s="1" t="n">
        <v>45406.46753472222</v>
      </c>
      <c r="C1134" s="1" t="n">
        <v>46132</v>
      </c>
      <c r="D1134" t="inlineStr">
        <is>
          <t>ÖREBRO LÄN</t>
        </is>
      </c>
      <c r="E1134" t="inlineStr">
        <is>
          <t>NORA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8612-2024</t>
        </is>
      </c>
      <c r="B1135" s="1" t="n">
        <v>45355.70009259259</v>
      </c>
      <c r="C1135" s="1" t="n">
        <v>46132</v>
      </c>
      <c r="D1135" t="inlineStr">
        <is>
          <t>ÖREBRO LÄN</t>
        </is>
      </c>
      <c r="E1135" t="inlineStr">
        <is>
          <t>LINDESBERG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46605-2021</t>
        </is>
      </c>
      <c r="B1136" s="1" t="n">
        <v>44445.55292824074</v>
      </c>
      <c r="C1136" s="1" t="n">
        <v>46132</v>
      </c>
      <c r="D1136" t="inlineStr">
        <is>
          <t>ÖREBRO LÄN</t>
        </is>
      </c>
      <c r="E1136" t="inlineStr">
        <is>
          <t>KARLSKOGA</t>
        </is>
      </c>
      <c r="F1136" t="inlineStr">
        <is>
          <t>Sveaskog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46630-2021</t>
        </is>
      </c>
      <c r="B1137" s="1" t="n">
        <v>44445</v>
      </c>
      <c r="C1137" s="1" t="n">
        <v>46132</v>
      </c>
      <c r="D1137" t="inlineStr">
        <is>
          <t>ÖREBRO LÄN</t>
        </is>
      </c>
      <c r="E1137" t="inlineStr">
        <is>
          <t>ASKERSUND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681-2024</t>
        </is>
      </c>
      <c r="B1138" s="1" t="n">
        <v>45300</v>
      </c>
      <c r="C1138" s="1" t="n">
        <v>46132</v>
      </c>
      <c r="D1138" t="inlineStr">
        <is>
          <t>ÖREBRO LÄN</t>
        </is>
      </c>
      <c r="E1138" t="inlineStr">
        <is>
          <t>ÖREBRO</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14234-2024</t>
        </is>
      </c>
      <c r="B1139" s="1" t="n">
        <v>45393.46980324074</v>
      </c>
      <c r="C1139" s="1" t="n">
        <v>46132</v>
      </c>
      <c r="D1139" t="inlineStr">
        <is>
          <t>ÖREBRO LÄN</t>
        </is>
      </c>
      <c r="E1139" t="inlineStr">
        <is>
          <t>ÖREBRO</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54105-2023</t>
        </is>
      </c>
      <c r="B1140" s="1" t="n">
        <v>45232</v>
      </c>
      <c r="C1140" s="1" t="n">
        <v>46132</v>
      </c>
      <c r="D1140" t="inlineStr">
        <is>
          <t>ÖREBRO LÄN</t>
        </is>
      </c>
      <c r="E1140" t="inlineStr">
        <is>
          <t>HÄLLEFORS</t>
        </is>
      </c>
      <c r="F1140" t="inlineStr">
        <is>
          <t>Kommuner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50857-2022</t>
        </is>
      </c>
      <c r="B1141" s="1" t="n">
        <v>44864</v>
      </c>
      <c r="C1141" s="1" t="n">
        <v>46132</v>
      </c>
      <c r="D1141" t="inlineStr">
        <is>
          <t>ÖREBRO LÄN</t>
        </is>
      </c>
      <c r="E1141" t="inlineStr">
        <is>
          <t>ASKERSUND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17104-2024</t>
        </is>
      </c>
      <c r="B1142" s="1" t="n">
        <v>45412.54541666667</v>
      </c>
      <c r="C1142" s="1" t="n">
        <v>46132</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35445-2024</t>
        </is>
      </c>
      <c r="B1143" s="1" t="n">
        <v>45531.43599537037</v>
      </c>
      <c r="C1143" s="1" t="n">
        <v>46132</v>
      </c>
      <c r="D1143" t="inlineStr">
        <is>
          <t>ÖREBRO LÄN</t>
        </is>
      </c>
      <c r="E1143" t="inlineStr">
        <is>
          <t>KARLSKOGA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41602-2022</t>
        </is>
      </c>
      <c r="B1144" s="1" t="n">
        <v>44827</v>
      </c>
      <c r="C1144" s="1" t="n">
        <v>46132</v>
      </c>
      <c r="D1144" t="inlineStr">
        <is>
          <t>ÖREBRO LÄN</t>
        </is>
      </c>
      <c r="E1144" t="inlineStr">
        <is>
          <t>HALLSBERG</t>
        </is>
      </c>
      <c r="F1144" t="inlineStr">
        <is>
          <t>Kommuner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36928-2021</t>
        </is>
      </c>
      <c r="B1145" s="1" t="n">
        <v>44393.49886574074</v>
      </c>
      <c r="C1145" s="1" t="n">
        <v>46132</v>
      </c>
      <c r="D1145" t="inlineStr">
        <is>
          <t>ÖREBRO LÄN</t>
        </is>
      </c>
      <c r="E1145" t="inlineStr">
        <is>
          <t>LAXÅ</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10673-2023</t>
        </is>
      </c>
      <c r="B1146" s="1" t="n">
        <v>44988.54459490741</v>
      </c>
      <c r="C1146" s="1" t="n">
        <v>46132</v>
      </c>
      <c r="D1146" t="inlineStr">
        <is>
          <t>ÖREBRO LÄN</t>
        </is>
      </c>
      <c r="E1146" t="inlineStr">
        <is>
          <t>LAXÅ</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33707-2021</t>
        </is>
      </c>
      <c r="B1147" s="1" t="n">
        <v>44378.46403935185</v>
      </c>
      <c r="C1147" s="1" t="n">
        <v>46132</v>
      </c>
      <c r="D1147" t="inlineStr">
        <is>
          <t>ÖREBRO LÄN</t>
        </is>
      </c>
      <c r="E1147" t="inlineStr">
        <is>
          <t>LINDESBERG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13585-2024</t>
        </is>
      </c>
      <c r="B1148" s="1" t="n">
        <v>45389.85309027778</v>
      </c>
      <c r="C1148" s="1" t="n">
        <v>46132</v>
      </c>
      <c r="D1148" t="inlineStr">
        <is>
          <t>ÖREBRO LÄN</t>
        </is>
      </c>
      <c r="E1148" t="inlineStr">
        <is>
          <t>NORA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59530-2023</t>
        </is>
      </c>
      <c r="B1149" s="1" t="n">
        <v>45254.51172453703</v>
      </c>
      <c r="C1149" s="1" t="n">
        <v>46132</v>
      </c>
      <c r="D1149" t="inlineStr">
        <is>
          <t>ÖREBRO LÄN</t>
        </is>
      </c>
      <c r="E1149" t="inlineStr">
        <is>
          <t>ASKERSUND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26021-2023</t>
        </is>
      </c>
      <c r="B1150" s="1" t="n">
        <v>45091.29033564815</v>
      </c>
      <c r="C1150" s="1" t="n">
        <v>46132</v>
      </c>
      <c r="D1150" t="inlineStr">
        <is>
          <t>ÖREBRO LÄN</t>
        </is>
      </c>
      <c r="E1150" t="inlineStr">
        <is>
          <t>NORA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26093-2023</t>
        </is>
      </c>
      <c r="B1151" s="1" t="n">
        <v>45091.39362268519</v>
      </c>
      <c r="C1151" s="1" t="n">
        <v>46132</v>
      </c>
      <c r="D1151" t="inlineStr">
        <is>
          <t>ÖREBRO LÄN</t>
        </is>
      </c>
      <c r="E1151" t="inlineStr">
        <is>
          <t>LINDESBERG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52256-2023</t>
        </is>
      </c>
      <c r="B1152" s="1" t="n">
        <v>45224.51471064815</v>
      </c>
      <c r="C1152" s="1" t="n">
        <v>46132</v>
      </c>
      <c r="D1152" t="inlineStr">
        <is>
          <t>ÖREBRO LÄN</t>
        </is>
      </c>
      <c r="E1152" t="inlineStr">
        <is>
          <t>ÖREBRO</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39337-2022</t>
        </is>
      </c>
      <c r="B1153" s="1" t="n">
        <v>44817.72568287037</v>
      </c>
      <c r="C1153" s="1" t="n">
        <v>46132</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20930-2025</t>
        </is>
      </c>
      <c r="B1154" s="1" t="n">
        <v>45777.42628472222</v>
      </c>
      <c r="C1154" s="1" t="n">
        <v>46132</v>
      </c>
      <c r="D1154" t="inlineStr">
        <is>
          <t>ÖREBRO LÄN</t>
        </is>
      </c>
      <c r="E1154" t="inlineStr">
        <is>
          <t>LINDESBERG</t>
        </is>
      </c>
      <c r="F1154" t="inlineStr">
        <is>
          <t>Sveaskog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20951-2025</t>
        </is>
      </c>
      <c r="B1155" s="1" t="n">
        <v>45777.43930555556</v>
      </c>
      <c r="C1155" s="1" t="n">
        <v>46132</v>
      </c>
      <c r="D1155" t="inlineStr">
        <is>
          <t>ÖREBRO LÄN</t>
        </is>
      </c>
      <c r="E1155" t="inlineStr">
        <is>
          <t>HÄLLEFORS</t>
        </is>
      </c>
      <c r="F1155" t="inlineStr">
        <is>
          <t>Kyrkan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39872-2024</t>
        </is>
      </c>
      <c r="B1156" s="1" t="n">
        <v>45553</v>
      </c>
      <c r="C1156" s="1" t="n">
        <v>46132</v>
      </c>
      <c r="D1156" t="inlineStr">
        <is>
          <t>ÖREBRO LÄN</t>
        </is>
      </c>
      <c r="E1156" t="inlineStr">
        <is>
          <t>LEKEBERG</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9510-2025</t>
        </is>
      </c>
      <c r="B1157" s="1" t="n">
        <v>45715.53829861111</v>
      </c>
      <c r="C1157" s="1" t="n">
        <v>46132</v>
      </c>
      <c r="D1157" t="inlineStr">
        <is>
          <t>ÖREBRO LÄN</t>
        </is>
      </c>
      <c r="E1157" t="inlineStr">
        <is>
          <t>DEGERFORS</t>
        </is>
      </c>
      <c r="F1157" t="inlineStr">
        <is>
          <t>Sveaskog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18409-2023</t>
        </is>
      </c>
      <c r="B1158" s="1" t="n">
        <v>45042.4005787037</v>
      </c>
      <c r="C1158" s="1" t="n">
        <v>46132</v>
      </c>
      <c r="D1158" t="inlineStr">
        <is>
          <t>ÖREBRO LÄN</t>
        </is>
      </c>
      <c r="E1158" t="inlineStr">
        <is>
          <t>ASKERSUND</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3799-2024</t>
        </is>
      </c>
      <c r="B1159" s="1" t="n">
        <v>45321.63527777778</v>
      </c>
      <c r="C1159" s="1" t="n">
        <v>46132</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56635-2022</t>
        </is>
      </c>
      <c r="B1160" s="1" t="n">
        <v>44893</v>
      </c>
      <c r="C1160" s="1" t="n">
        <v>46132</v>
      </c>
      <c r="D1160" t="inlineStr">
        <is>
          <t>ÖREBRO LÄN</t>
        </is>
      </c>
      <c r="E1160" t="inlineStr">
        <is>
          <t>LEKEBERG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18664-2025</t>
        </is>
      </c>
      <c r="B1161" s="1" t="n">
        <v>45763.58991898148</v>
      </c>
      <c r="C1161" s="1" t="n">
        <v>46132</v>
      </c>
      <c r="D1161" t="inlineStr">
        <is>
          <t>ÖREBRO LÄN</t>
        </is>
      </c>
      <c r="E1161" t="inlineStr">
        <is>
          <t>HÄLLEFORS</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18675-2025</t>
        </is>
      </c>
      <c r="B1162" s="1" t="n">
        <v>45763.59862268518</v>
      </c>
      <c r="C1162" s="1" t="n">
        <v>46132</v>
      </c>
      <c r="D1162" t="inlineStr">
        <is>
          <t>ÖREBRO LÄN</t>
        </is>
      </c>
      <c r="E1162" t="inlineStr">
        <is>
          <t>DEGERFORS</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21099-2025</t>
        </is>
      </c>
      <c r="B1163" s="1" t="n">
        <v>45777.64827546296</v>
      </c>
      <c r="C1163" s="1" t="n">
        <v>46132</v>
      </c>
      <c r="D1163" t="inlineStr">
        <is>
          <t>ÖREBRO LÄN</t>
        </is>
      </c>
      <c r="E1163" t="inlineStr">
        <is>
          <t>HÄLLEFORS</t>
        </is>
      </c>
      <c r="F1163" t="inlineStr">
        <is>
          <t>Kyrkan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7191-2025</t>
        </is>
      </c>
      <c r="B1164" s="1" t="n">
        <v>45702</v>
      </c>
      <c r="C1164" s="1" t="n">
        <v>46132</v>
      </c>
      <c r="D1164" t="inlineStr">
        <is>
          <t>ÖREBRO LÄN</t>
        </is>
      </c>
      <c r="E1164" t="inlineStr">
        <is>
          <t>HALLSBERG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51159-2023</t>
        </is>
      </c>
      <c r="B1165" s="1" t="n">
        <v>45219.37791666666</v>
      </c>
      <c r="C1165" s="1" t="n">
        <v>46132</v>
      </c>
      <c r="D1165" t="inlineStr">
        <is>
          <t>ÖREBRO LÄN</t>
        </is>
      </c>
      <c r="E1165" t="inlineStr">
        <is>
          <t>HÄLLEFORS</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21084-2021</t>
        </is>
      </c>
      <c r="B1166" s="1" t="n">
        <v>44319</v>
      </c>
      <c r="C1166" s="1" t="n">
        <v>46132</v>
      </c>
      <c r="D1166" t="inlineStr">
        <is>
          <t>ÖREBRO LÄN</t>
        </is>
      </c>
      <c r="E1166" t="inlineStr">
        <is>
          <t>LINDESBERG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6161-2025</t>
        </is>
      </c>
      <c r="B1167" s="1" t="n">
        <v>45698</v>
      </c>
      <c r="C1167" s="1" t="n">
        <v>46132</v>
      </c>
      <c r="D1167" t="inlineStr">
        <is>
          <t>ÖREBRO LÄN</t>
        </is>
      </c>
      <c r="E1167" t="inlineStr">
        <is>
          <t>LINDESBERG</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6165-2025</t>
        </is>
      </c>
      <c r="B1168" s="1" t="n">
        <v>45698</v>
      </c>
      <c r="C1168" s="1" t="n">
        <v>46132</v>
      </c>
      <c r="D1168" t="inlineStr">
        <is>
          <t>ÖREBRO LÄN</t>
        </is>
      </c>
      <c r="E1168" t="inlineStr">
        <is>
          <t>LINDESBERG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6181-2025</t>
        </is>
      </c>
      <c r="B1169" s="1" t="n">
        <v>45698</v>
      </c>
      <c r="C1169" s="1" t="n">
        <v>46132</v>
      </c>
      <c r="D1169" t="inlineStr">
        <is>
          <t>ÖREBRO LÄN</t>
        </is>
      </c>
      <c r="E1169" t="inlineStr">
        <is>
          <t>LINDESBERG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20944-2025</t>
        </is>
      </c>
      <c r="B1170" s="1" t="n">
        <v>45777</v>
      </c>
      <c r="C1170" s="1" t="n">
        <v>46132</v>
      </c>
      <c r="D1170" t="inlineStr">
        <is>
          <t>ÖREBRO LÄN</t>
        </is>
      </c>
      <c r="E1170" t="inlineStr">
        <is>
          <t>LINDESBERG</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53472-2022</t>
        </is>
      </c>
      <c r="B1171" s="1" t="n">
        <v>44879</v>
      </c>
      <c r="C1171" s="1" t="n">
        <v>46132</v>
      </c>
      <c r="D1171" t="inlineStr">
        <is>
          <t>ÖREBRO LÄN</t>
        </is>
      </c>
      <c r="E1171" t="inlineStr">
        <is>
          <t>NORA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21247-2025</t>
        </is>
      </c>
      <c r="B1172" s="1" t="n">
        <v>45779.57381944444</v>
      </c>
      <c r="C1172" s="1" t="n">
        <v>46132</v>
      </c>
      <c r="D1172" t="inlineStr">
        <is>
          <t>ÖREBRO LÄN</t>
        </is>
      </c>
      <c r="E1172" t="inlineStr">
        <is>
          <t>KARLSKOGA</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19978-2025</t>
        </is>
      </c>
      <c r="B1173" s="1" t="n">
        <v>45771.7062037037</v>
      </c>
      <c r="C1173" s="1" t="n">
        <v>46132</v>
      </c>
      <c r="D1173" t="inlineStr">
        <is>
          <t>ÖREBRO LÄN</t>
        </is>
      </c>
      <c r="E1173" t="inlineStr">
        <is>
          <t>ÖREBRO</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36635-2022</t>
        </is>
      </c>
      <c r="B1174" s="1" t="n">
        <v>44804.70893518518</v>
      </c>
      <c r="C1174" s="1" t="n">
        <v>46132</v>
      </c>
      <c r="D1174" t="inlineStr">
        <is>
          <t>ÖREBRO LÄN</t>
        </is>
      </c>
      <c r="E1174" t="inlineStr">
        <is>
          <t>HÄLLEFORS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18878-2025</t>
        </is>
      </c>
      <c r="B1175" s="1" t="n">
        <v>45764</v>
      </c>
      <c r="C1175" s="1" t="n">
        <v>46132</v>
      </c>
      <c r="D1175" t="inlineStr">
        <is>
          <t>ÖREBRO LÄN</t>
        </is>
      </c>
      <c r="E1175" t="inlineStr">
        <is>
          <t>HÄLLEFORS</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18790-2025</t>
        </is>
      </c>
      <c r="B1176" s="1" t="n">
        <v>45764</v>
      </c>
      <c r="C1176" s="1" t="n">
        <v>46132</v>
      </c>
      <c r="D1176" t="inlineStr">
        <is>
          <t>ÖREBRO LÄN</t>
        </is>
      </c>
      <c r="E1176" t="inlineStr">
        <is>
          <t>HÄLLEFORS</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18852-2025</t>
        </is>
      </c>
      <c r="B1177" s="1" t="n">
        <v>45764</v>
      </c>
      <c r="C1177" s="1" t="n">
        <v>46132</v>
      </c>
      <c r="D1177" t="inlineStr">
        <is>
          <t>ÖREBRO LÄN</t>
        </is>
      </c>
      <c r="E1177" t="inlineStr">
        <is>
          <t>HÄLLEFORS</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18869-2025</t>
        </is>
      </c>
      <c r="B1178" s="1" t="n">
        <v>45764</v>
      </c>
      <c r="C1178" s="1" t="n">
        <v>46132</v>
      </c>
      <c r="D1178" t="inlineStr">
        <is>
          <t>ÖREBRO LÄN</t>
        </is>
      </c>
      <c r="E1178" t="inlineStr">
        <is>
          <t>HÄLLEFORS</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18891-2025</t>
        </is>
      </c>
      <c r="B1179" s="1" t="n">
        <v>45764</v>
      </c>
      <c r="C1179" s="1" t="n">
        <v>46132</v>
      </c>
      <c r="D1179" t="inlineStr">
        <is>
          <t>ÖREBRO LÄN</t>
        </is>
      </c>
      <c r="E1179" t="inlineStr">
        <is>
          <t>HÄLLEFORS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55477-2023</t>
        </is>
      </c>
      <c r="B1180" s="1" t="n">
        <v>45238</v>
      </c>
      <c r="C1180" s="1" t="n">
        <v>46132</v>
      </c>
      <c r="D1180" t="inlineStr">
        <is>
          <t>ÖREBRO LÄN</t>
        </is>
      </c>
      <c r="E1180" t="inlineStr">
        <is>
          <t>HÄLLEFORS</t>
        </is>
      </c>
      <c r="F1180" t="inlineStr">
        <is>
          <t>Bergvik skog väst AB</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48353-2022</t>
        </is>
      </c>
      <c r="B1181" s="1" t="n">
        <v>44858.57143518519</v>
      </c>
      <c r="C1181" s="1" t="n">
        <v>46132</v>
      </c>
      <c r="D1181" t="inlineStr">
        <is>
          <t>ÖREBRO LÄN</t>
        </is>
      </c>
      <c r="E1181" t="inlineStr">
        <is>
          <t>LJUSNARSBERG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21210-2025</t>
        </is>
      </c>
      <c r="B1182" s="1" t="n">
        <v>45779.48717592593</v>
      </c>
      <c r="C1182" s="1" t="n">
        <v>46132</v>
      </c>
      <c r="D1182" t="inlineStr">
        <is>
          <t>ÖREBRO LÄN</t>
        </is>
      </c>
      <c r="E1182" t="inlineStr">
        <is>
          <t>KARLSKOGA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13803-2024</t>
        </is>
      </c>
      <c r="B1183" s="1" t="n">
        <v>45390</v>
      </c>
      <c r="C1183" s="1" t="n">
        <v>46132</v>
      </c>
      <c r="D1183" t="inlineStr">
        <is>
          <t>ÖREBRO LÄN</t>
        </is>
      </c>
      <c r="E1183" t="inlineStr">
        <is>
          <t>LJUSNARSBERG</t>
        </is>
      </c>
      <c r="F1183" t="inlineStr">
        <is>
          <t>Bergvik skog väst AB</t>
        </is>
      </c>
      <c r="G1183" t="n">
        <v>17.8</v>
      </c>
      <c r="H1183" t="n">
        <v>0</v>
      </c>
      <c r="I1183" t="n">
        <v>0</v>
      </c>
      <c r="J1183" t="n">
        <v>0</v>
      </c>
      <c r="K1183" t="n">
        <v>0</v>
      </c>
      <c r="L1183" t="n">
        <v>0</v>
      </c>
      <c r="M1183" t="n">
        <v>0</v>
      </c>
      <c r="N1183" t="n">
        <v>0</v>
      </c>
      <c r="O1183" t="n">
        <v>0</v>
      </c>
      <c r="P1183" t="n">
        <v>0</v>
      </c>
      <c r="Q1183" t="n">
        <v>0</v>
      </c>
      <c r="R1183" s="2" t="inlineStr"/>
    </row>
    <row r="1184" ht="15" customHeight="1">
      <c r="A1184" t="inlineStr">
        <is>
          <t>A 42863-2022</t>
        </is>
      </c>
      <c r="B1184" s="1" t="n">
        <v>44832.73646990741</v>
      </c>
      <c r="C1184" s="1" t="n">
        <v>46132</v>
      </c>
      <c r="D1184" t="inlineStr">
        <is>
          <t>ÖREBRO LÄN</t>
        </is>
      </c>
      <c r="E1184" t="inlineStr">
        <is>
          <t>HÄLLEFORS</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21474-2025</t>
        </is>
      </c>
      <c r="B1185" s="1" t="n">
        <v>45782.5905324074</v>
      </c>
      <c r="C1185" s="1" t="n">
        <v>46132</v>
      </c>
      <c r="D1185" t="inlineStr">
        <is>
          <t>ÖREBRO LÄN</t>
        </is>
      </c>
      <c r="E1185" t="inlineStr">
        <is>
          <t>LAXÅ</t>
        </is>
      </c>
      <c r="F1185" t="inlineStr">
        <is>
          <t>Sveaskog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16540-2024</t>
        </is>
      </c>
      <c r="B1186" s="1" t="n">
        <v>45408.4334837963</v>
      </c>
      <c r="C1186" s="1" t="n">
        <v>46132</v>
      </c>
      <c r="D1186" t="inlineStr">
        <is>
          <t>ÖREBRO LÄN</t>
        </is>
      </c>
      <c r="E1186" t="inlineStr">
        <is>
          <t>NORA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41094-2021</t>
        </is>
      </c>
      <c r="B1187" s="1" t="n">
        <v>44422</v>
      </c>
      <c r="C1187" s="1" t="n">
        <v>46132</v>
      </c>
      <c r="D1187" t="inlineStr">
        <is>
          <t>ÖREBRO LÄN</t>
        </is>
      </c>
      <c r="E1187" t="inlineStr">
        <is>
          <t>ASKERSUND</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21311-2025</t>
        </is>
      </c>
      <c r="B1188" s="1" t="n">
        <v>45781.90659722222</v>
      </c>
      <c r="C1188" s="1" t="n">
        <v>46132</v>
      </c>
      <c r="D1188" t="inlineStr">
        <is>
          <t>ÖREBRO LÄN</t>
        </is>
      </c>
      <c r="E1188" t="inlineStr">
        <is>
          <t>LAXÅ</t>
        </is>
      </c>
      <c r="F1188" t="inlineStr">
        <is>
          <t>Sveaskog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55593-2022</t>
        </is>
      </c>
      <c r="B1189" s="1" t="n">
        <v>44888</v>
      </c>
      <c r="C1189" s="1" t="n">
        <v>46132</v>
      </c>
      <c r="D1189" t="inlineStr">
        <is>
          <t>ÖREBRO LÄN</t>
        </is>
      </c>
      <c r="E1189" t="inlineStr">
        <is>
          <t>ÖREBRO</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18975-2025</t>
        </is>
      </c>
      <c r="B1190" s="1" t="n">
        <v>45764.54383101852</v>
      </c>
      <c r="C1190" s="1" t="n">
        <v>46132</v>
      </c>
      <c r="D1190" t="inlineStr">
        <is>
          <t>ÖREBRO LÄN</t>
        </is>
      </c>
      <c r="E1190" t="inlineStr">
        <is>
          <t>LJUSNARSBERG</t>
        </is>
      </c>
      <c r="F1190" t="inlineStr">
        <is>
          <t>Bergvik skog väst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31162-2023</t>
        </is>
      </c>
      <c r="B1191" s="1" t="n">
        <v>45103</v>
      </c>
      <c r="C1191" s="1" t="n">
        <v>46132</v>
      </c>
      <c r="D1191" t="inlineStr">
        <is>
          <t>ÖREBRO LÄN</t>
        </is>
      </c>
      <c r="E1191" t="inlineStr">
        <is>
          <t>LJUSNARSBERG</t>
        </is>
      </c>
      <c r="F1191" t="inlineStr">
        <is>
          <t>Bergvik skog väst AB</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1341-2024</t>
        </is>
      </c>
      <c r="B1192" s="1" t="n">
        <v>45303.44383101852</v>
      </c>
      <c r="C1192" s="1" t="n">
        <v>46132</v>
      </c>
      <c r="D1192" t="inlineStr">
        <is>
          <t>ÖREBRO LÄN</t>
        </is>
      </c>
      <c r="E1192" t="inlineStr">
        <is>
          <t>ASKERSUND</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21853-2025</t>
        </is>
      </c>
      <c r="B1193" s="1" t="n">
        <v>45784.34652777778</v>
      </c>
      <c r="C1193" s="1" t="n">
        <v>46132</v>
      </c>
      <c r="D1193" t="inlineStr">
        <is>
          <t>ÖREBRO LÄN</t>
        </is>
      </c>
      <c r="E1193" t="inlineStr">
        <is>
          <t>HÄLLEFORS</t>
        </is>
      </c>
      <c r="G1193" t="n">
        <v>23.4</v>
      </c>
      <c r="H1193" t="n">
        <v>0</v>
      </c>
      <c r="I1193" t="n">
        <v>0</v>
      </c>
      <c r="J1193" t="n">
        <v>0</v>
      </c>
      <c r="K1193" t="n">
        <v>0</v>
      </c>
      <c r="L1193" t="n">
        <v>0</v>
      </c>
      <c r="M1193" t="n">
        <v>0</v>
      </c>
      <c r="N1193" t="n">
        <v>0</v>
      </c>
      <c r="O1193" t="n">
        <v>0</v>
      </c>
      <c r="P1193" t="n">
        <v>0</v>
      </c>
      <c r="Q1193" t="n">
        <v>0</v>
      </c>
      <c r="R1193" s="2" t="inlineStr"/>
    </row>
    <row r="1194" ht="15" customHeight="1">
      <c r="A1194" t="inlineStr">
        <is>
          <t>A 50958-2025</t>
        </is>
      </c>
      <c r="B1194" s="1" t="n">
        <v>45946.78709490741</v>
      </c>
      <c r="C1194" s="1" t="n">
        <v>46132</v>
      </c>
      <c r="D1194" t="inlineStr">
        <is>
          <t>ÖREBRO LÄN</t>
        </is>
      </c>
      <c r="E1194" t="inlineStr">
        <is>
          <t>KARLSKOGA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11635-2024</t>
        </is>
      </c>
      <c r="B1195" s="1" t="n">
        <v>45373</v>
      </c>
      <c r="C1195" s="1" t="n">
        <v>46132</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17112-2025</t>
        </is>
      </c>
      <c r="B1196" s="1" t="n">
        <v>45755</v>
      </c>
      <c r="C1196" s="1" t="n">
        <v>46132</v>
      </c>
      <c r="D1196" t="inlineStr">
        <is>
          <t>ÖREBRO LÄN</t>
        </is>
      </c>
      <c r="E1196" t="inlineStr">
        <is>
          <t>HÄLLEFORS</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41073-2024</t>
        </is>
      </c>
      <c r="B1197" s="1" t="n">
        <v>45559.39498842593</v>
      </c>
      <c r="C1197" s="1" t="n">
        <v>46132</v>
      </c>
      <c r="D1197" t="inlineStr">
        <is>
          <t>ÖREBRO LÄN</t>
        </is>
      </c>
      <c r="E1197" t="inlineStr">
        <is>
          <t>ASKERSUND</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50957-2025</t>
        </is>
      </c>
      <c r="B1198" s="1" t="n">
        <v>45946.78399305556</v>
      </c>
      <c r="C1198" s="1" t="n">
        <v>46132</v>
      </c>
      <c r="D1198" t="inlineStr">
        <is>
          <t>ÖREBRO LÄN</t>
        </is>
      </c>
      <c r="E1198" t="inlineStr">
        <is>
          <t>KARLSKOGA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50980-2025</t>
        </is>
      </c>
      <c r="B1199" s="1" t="n">
        <v>45947.33725694445</v>
      </c>
      <c r="C1199" s="1" t="n">
        <v>46132</v>
      </c>
      <c r="D1199" t="inlineStr">
        <is>
          <t>ÖREBRO LÄN</t>
        </is>
      </c>
      <c r="E1199" t="inlineStr">
        <is>
          <t>HALLSBERG</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26702-2023</t>
        </is>
      </c>
      <c r="B1200" s="1" t="n">
        <v>45093</v>
      </c>
      <c r="C1200" s="1" t="n">
        <v>46132</v>
      </c>
      <c r="D1200" t="inlineStr">
        <is>
          <t>ÖREBRO LÄN</t>
        </is>
      </c>
      <c r="E1200" t="inlineStr">
        <is>
          <t>LEKEBERG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50446-2023</t>
        </is>
      </c>
      <c r="B1201" s="1" t="n">
        <v>45216</v>
      </c>
      <c r="C1201" s="1" t="n">
        <v>46132</v>
      </c>
      <c r="D1201" t="inlineStr">
        <is>
          <t>ÖREBRO LÄN</t>
        </is>
      </c>
      <c r="E1201" t="inlineStr">
        <is>
          <t>ÖREBRO</t>
        </is>
      </c>
      <c r="F1201" t="inlineStr">
        <is>
          <t>Övriga Aktiebolag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50450-2023</t>
        </is>
      </c>
      <c r="B1202" s="1" t="n">
        <v>45216.73533564815</v>
      </c>
      <c r="C1202" s="1" t="n">
        <v>46132</v>
      </c>
      <c r="D1202" t="inlineStr">
        <is>
          <t>ÖREBRO LÄN</t>
        </is>
      </c>
      <c r="E1202" t="inlineStr">
        <is>
          <t>ÖREBRO</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51656-2023</t>
        </is>
      </c>
      <c r="B1203" s="1" t="n">
        <v>45222</v>
      </c>
      <c r="C1203" s="1" t="n">
        <v>46132</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21845-2025</t>
        </is>
      </c>
      <c r="B1204" s="1" t="n">
        <v>45784.33908564815</v>
      </c>
      <c r="C1204" s="1" t="n">
        <v>46132</v>
      </c>
      <c r="D1204" t="inlineStr">
        <is>
          <t>ÖREBRO LÄN</t>
        </is>
      </c>
      <c r="E1204" t="inlineStr">
        <is>
          <t>KARLSKOGA</t>
        </is>
      </c>
      <c r="F1204" t="inlineStr">
        <is>
          <t>Sveaskog</t>
        </is>
      </c>
      <c r="G1204" t="n">
        <v>13.3</v>
      </c>
      <c r="H1204" t="n">
        <v>0</v>
      </c>
      <c r="I1204" t="n">
        <v>0</v>
      </c>
      <c r="J1204" t="n">
        <v>0</v>
      </c>
      <c r="K1204" t="n">
        <v>0</v>
      </c>
      <c r="L1204" t="n">
        <v>0</v>
      </c>
      <c r="M1204" t="n">
        <v>0</v>
      </c>
      <c r="N1204" t="n">
        <v>0</v>
      </c>
      <c r="O1204" t="n">
        <v>0</v>
      </c>
      <c r="P1204" t="n">
        <v>0</v>
      </c>
      <c r="Q1204" t="n">
        <v>0</v>
      </c>
      <c r="R1204" s="2" t="inlineStr"/>
    </row>
    <row r="1205" ht="15" customHeight="1">
      <c r="A1205" t="inlineStr">
        <is>
          <t>A 13893-2024</t>
        </is>
      </c>
      <c r="B1205" s="1" t="n">
        <v>45391.63415509259</v>
      </c>
      <c r="C1205" s="1" t="n">
        <v>46132</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30307-2024</t>
        </is>
      </c>
      <c r="B1206" s="1" t="n">
        <v>45490.70074074074</v>
      </c>
      <c r="C1206" s="1" t="n">
        <v>46132</v>
      </c>
      <c r="D1206" t="inlineStr">
        <is>
          <t>ÖREBRO LÄN</t>
        </is>
      </c>
      <c r="E1206" t="inlineStr">
        <is>
          <t>HÄLLEFORS</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32536-2024</t>
        </is>
      </c>
      <c r="B1207" s="1" t="n">
        <v>45513</v>
      </c>
      <c r="C1207" s="1" t="n">
        <v>46132</v>
      </c>
      <c r="D1207" t="inlineStr">
        <is>
          <t>ÖREBRO LÄN</t>
        </is>
      </c>
      <c r="E1207" t="inlineStr">
        <is>
          <t>HALLSBERG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45694-2023</t>
        </is>
      </c>
      <c r="B1208" s="1" t="n">
        <v>45195</v>
      </c>
      <c r="C1208" s="1" t="n">
        <v>46132</v>
      </c>
      <c r="D1208" t="inlineStr">
        <is>
          <t>ÖREBRO LÄN</t>
        </is>
      </c>
      <c r="E1208" t="inlineStr">
        <is>
          <t>HÄLLEFORS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18168-2024</t>
        </is>
      </c>
      <c r="B1209" s="1" t="n">
        <v>45420</v>
      </c>
      <c r="C1209" s="1" t="n">
        <v>46132</v>
      </c>
      <c r="D1209" t="inlineStr">
        <is>
          <t>ÖREBRO LÄN</t>
        </is>
      </c>
      <c r="E1209" t="inlineStr">
        <is>
          <t>HÄLLEFORS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53365-2023</t>
        </is>
      </c>
      <c r="B1210" s="1" t="n">
        <v>45229.66844907407</v>
      </c>
      <c r="C1210" s="1" t="n">
        <v>46132</v>
      </c>
      <c r="D1210" t="inlineStr">
        <is>
          <t>ÖREBRO LÄN</t>
        </is>
      </c>
      <c r="E1210" t="inlineStr">
        <is>
          <t>NORA</t>
        </is>
      </c>
      <c r="F1210" t="inlineStr">
        <is>
          <t>Sveaskog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21852-2025</t>
        </is>
      </c>
      <c r="B1211" s="1" t="n">
        <v>45784</v>
      </c>
      <c r="C1211" s="1" t="n">
        <v>46132</v>
      </c>
      <c r="D1211" t="inlineStr">
        <is>
          <t>ÖREBRO LÄN</t>
        </is>
      </c>
      <c r="E1211" t="inlineStr">
        <is>
          <t>HÄLLEFORS</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21522-2024</t>
        </is>
      </c>
      <c r="B1212" s="1" t="n">
        <v>45441</v>
      </c>
      <c r="C1212" s="1" t="n">
        <v>46132</v>
      </c>
      <c r="D1212" t="inlineStr">
        <is>
          <t>ÖREBRO LÄN</t>
        </is>
      </c>
      <c r="E1212" t="inlineStr">
        <is>
          <t>LAXÅ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35819-2024</t>
        </is>
      </c>
      <c r="B1213" s="1" t="n">
        <v>45532</v>
      </c>
      <c r="C1213" s="1" t="n">
        <v>46132</v>
      </c>
      <c r="D1213" t="inlineStr">
        <is>
          <t>ÖREBRO LÄN</t>
        </is>
      </c>
      <c r="E1213" t="inlineStr">
        <is>
          <t>ÖREBRO</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21212-2023</t>
        </is>
      </c>
      <c r="B1214" s="1" t="n">
        <v>45062</v>
      </c>
      <c r="C1214" s="1" t="n">
        <v>46132</v>
      </c>
      <c r="D1214" t="inlineStr">
        <is>
          <t>ÖREBRO LÄN</t>
        </is>
      </c>
      <c r="E1214" t="inlineStr">
        <is>
          <t>LAXÅ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13001-2024</t>
        </is>
      </c>
      <c r="B1215" s="1" t="n">
        <v>45385.56900462963</v>
      </c>
      <c r="C1215" s="1" t="n">
        <v>46132</v>
      </c>
      <c r="D1215" t="inlineStr">
        <is>
          <t>ÖREBRO LÄN</t>
        </is>
      </c>
      <c r="E1215" t="inlineStr">
        <is>
          <t>LAXÅ</t>
        </is>
      </c>
      <c r="F1215" t="inlineStr">
        <is>
          <t>Sveaskog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58629-2024</t>
        </is>
      </c>
      <c r="B1216" s="1" t="n">
        <v>45635.57008101852</v>
      </c>
      <c r="C1216" s="1" t="n">
        <v>46132</v>
      </c>
      <c r="D1216" t="inlineStr">
        <is>
          <t>ÖREBRO LÄN</t>
        </is>
      </c>
      <c r="E1216" t="inlineStr">
        <is>
          <t>DEGERFORS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43612-2022</t>
        </is>
      </c>
      <c r="B1217" s="1" t="n">
        <v>44837</v>
      </c>
      <c r="C1217" s="1" t="n">
        <v>46132</v>
      </c>
      <c r="D1217" t="inlineStr">
        <is>
          <t>ÖREBRO LÄN</t>
        </is>
      </c>
      <c r="E1217" t="inlineStr">
        <is>
          <t>ÖREBRO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19914-2024</t>
        </is>
      </c>
      <c r="B1218" s="1" t="n">
        <v>45433.58099537037</v>
      </c>
      <c r="C1218" s="1" t="n">
        <v>46132</v>
      </c>
      <c r="D1218" t="inlineStr">
        <is>
          <t>ÖREBRO LÄN</t>
        </is>
      </c>
      <c r="E1218" t="inlineStr">
        <is>
          <t>LINDESBERG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32076-2023</t>
        </is>
      </c>
      <c r="B1219" s="1" t="n">
        <v>45119.58324074074</v>
      </c>
      <c r="C1219" s="1" t="n">
        <v>46132</v>
      </c>
      <c r="D1219" t="inlineStr">
        <is>
          <t>ÖREBRO LÄN</t>
        </is>
      </c>
      <c r="E1219" t="inlineStr">
        <is>
          <t>ÖREBRO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21812-2025</t>
        </is>
      </c>
      <c r="B1220" s="1" t="n">
        <v>45783.71833333333</v>
      </c>
      <c r="C1220" s="1" t="n">
        <v>46132</v>
      </c>
      <c r="D1220" t="inlineStr">
        <is>
          <t>ÖREBRO LÄN</t>
        </is>
      </c>
      <c r="E1220" t="inlineStr">
        <is>
          <t>LINDESBERG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31861-2024</t>
        </is>
      </c>
      <c r="B1221" s="1" t="n">
        <v>45509.73383101852</v>
      </c>
      <c r="C1221" s="1" t="n">
        <v>46132</v>
      </c>
      <c r="D1221" t="inlineStr">
        <is>
          <t>ÖREBRO LÄN</t>
        </is>
      </c>
      <c r="E1221" t="inlineStr">
        <is>
          <t>LINDESBERG</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50416-2024</t>
        </is>
      </c>
      <c r="B1222" s="1" t="n">
        <v>45601.37609953704</v>
      </c>
      <c r="C1222" s="1" t="n">
        <v>46132</v>
      </c>
      <c r="D1222" t="inlineStr">
        <is>
          <t>ÖREBRO LÄN</t>
        </is>
      </c>
      <c r="E1222" t="inlineStr">
        <is>
          <t>ASKERSUND</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12739-2024</t>
        </is>
      </c>
      <c r="B1223" s="1" t="n">
        <v>45384</v>
      </c>
      <c r="C1223" s="1" t="n">
        <v>46132</v>
      </c>
      <c r="D1223" t="inlineStr">
        <is>
          <t>ÖREBRO LÄN</t>
        </is>
      </c>
      <c r="E1223" t="inlineStr">
        <is>
          <t>LINDESBERG</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51172-2025</t>
        </is>
      </c>
      <c r="B1224" s="1" t="n">
        <v>45947.60508101852</v>
      </c>
      <c r="C1224" s="1" t="n">
        <v>46132</v>
      </c>
      <c r="D1224" t="inlineStr">
        <is>
          <t>ÖREBRO LÄN</t>
        </is>
      </c>
      <c r="E1224" t="inlineStr">
        <is>
          <t>LINDESBERG</t>
        </is>
      </c>
      <c r="F1224" t="inlineStr">
        <is>
          <t>Kyrkan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51245-2025</t>
        </is>
      </c>
      <c r="B1225" s="1" t="n">
        <v>45947.80872685185</v>
      </c>
      <c r="C1225" s="1" t="n">
        <v>46132</v>
      </c>
      <c r="D1225" t="inlineStr">
        <is>
          <t>ÖREBRO LÄN</t>
        </is>
      </c>
      <c r="E1225" t="inlineStr">
        <is>
          <t>NORA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51246-2025</t>
        </is>
      </c>
      <c r="B1226" s="1" t="n">
        <v>45947.81226851852</v>
      </c>
      <c r="C1226" s="1" t="n">
        <v>46132</v>
      </c>
      <c r="D1226" t="inlineStr">
        <is>
          <t>ÖREBRO LÄN</t>
        </is>
      </c>
      <c r="E1226" t="inlineStr">
        <is>
          <t>NORA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21846-2025</t>
        </is>
      </c>
      <c r="B1227" s="1" t="n">
        <v>45784.33967592593</v>
      </c>
      <c r="C1227" s="1" t="n">
        <v>46132</v>
      </c>
      <c r="D1227" t="inlineStr">
        <is>
          <t>ÖREBRO LÄN</t>
        </is>
      </c>
      <c r="E1227" t="inlineStr">
        <is>
          <t>NORA</t>
        </is>
      </c>
      <c r="G1227" t="n">
        <v>14.6</v>
      </c>
      <c r="H1227" t="n">
        <v>0</v>
      </c>
      <c r="I1227" t="n">
        <v>0</v>
      </c>
      <c r="J1227" t="n">
        <v>0</v>
      </c>
      <c r="K1227" t="n">
        <v>0</v>
      </c>
      <c r="L1227" t="n">
        <v>0</v>
      </c>
      <c r="M1227" t="n">
        <v>0</v>
      </c>
      <c r="N1227" t="n">
        <v>0</v>
      </c>
      <c r="O1227" t="n">
        <v>0</v>
      </c>
      <c r="P1227" t="n">
        <v>0</v>
      </c>
      <c r="Q1227" t="n">
        <v>0</v>
      </c>
      <c r="R1227" s="2" t="inlineStr"/>
    </row>
    <row r="1228" ht="15" customHeight="1">
      <c r="A1228" t="inlineStr">
        <is>
          <t>A 51462-2025</t>
        </is>
      </c>
      <c r="B1228" s="1" t="n">
        <v>45950.6081712963</v>
      </c>
      <c r="C1228" s="1" t="n">
        <v>46132</v>
      </c>
      <c r="D1228" t="inlineStr">
        <is>
          <t>ÖREBRO LÄN</t>
        </is>
      </c>
      <c r="E1228" t="inlineStr">
        <is>
          <t>LAXÅ</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53016-2023</t>
        </is>
      </c>
      <c r="B1229" s="1" t="n">
        <v>45226.66472222222</v>
      </c>
      <c r="C1229" s="1" t="n">
        <v>46132</v>
      </c>
      <c r="D1229" t="inlineStr">
        <is>
          <t>ÖREBRO LÄN</t>
        </is>
      </c>
      <c r="E1229" t="inlineStr">
        <is>
          <t>LAXÅ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38743-2022</t>
        </is>
      </c>
      <c r="B1230" s="1" t="n">
        <v>44816.34265046296</v>
      </c>
      <c r="C1230" s="1" t="n">
        <v>46132</v>
      </c>
      <c r="D1230" t="inlineStr">
        <is>
          <t>ÖREBRO LÄN</t>
        </is>
      </c>
      <c r="E1230" t="inlineStr">
        <is>
          <t>DEGERFORS</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56561-2023</t>
        </is>
      </c>
      <c r="B1231" s="1" t="n">
        <v>45243</v>
      </c>
      <c r="C1231" s="1" t="n">
        <v>46132</v>
      </c>
      <c r="D1231" t="inlineStr">
        <is>
          <t>ÖREBRO LÄN</t>
        </is>
      </c>
      <c r="E1231" t="inlineStr">
        <is>
          <t>LINDESBERG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56579-2023</t>
        </is>
      </c>
      <c r="B1232" s="1" t="n">
        <v>45243.62420138889</v>
      </c>
      <c r="C1232" s="1" t="n">
        <v>46132</v>
      </c>
      <c r="D1232" t="inlineStr">
        <is>
          <t>ÖREBRO LÄN</t>
        </is>
      </c>
      <c r="E1232" t="inlineStr">
        <is>
          <t>LINDESBERG</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56582-2023</t>
        </is>
      </c>
      <c r="B1233" s="1" t="n">
        <v>45243</v>
      </c>
      <c r="C1233" s="1" t="n">
        <v>46132</v>
      </c>
      <c r="D1233" t="inlineStr">
        <is>
          <t>ÖREBRO LÄN</t>
        </is>
      </c>
      <c r="E1233" t="inlineStr">
        <is>
          <t>LINDESBERG</t>
        </is>
      </c>
      <c r="F1233" t="inlineStr">
        <is>
          <t>Naturvårdsverket</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27438-2024</t>
        </is>
      </c>
      <c r="B1234" s="1" t="n">
        <v>45474.40971064815</v>
      </c>
      <c r="C1234" s="1" t="n">
        <v>46132</v>
      </c>
      <c r="D1234" t="inlineStr">
        <is>
          <t>ÖREBRO LÄN</t>
        </is>
      </c>
      <c r="E1234" t="inlineStr">
        <is>
          <t>DEGERFORS</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43195-2024</t>
        </is>
      </c>
      <c r="B1235" s="1" t="n">
        <v>45567.68003472222</v>
      </c>
      <c r="C1235" s="1" t="n">
        <v>46132</v>
      </c>
      <c r="D1235" t="inlineStr">
        <is>
          <t>ÖREBRO LÄN</t>
        </is>
      </c>
      <c r="E1235" t="inlineStr">
        <is>
          <t>LINDESBERG</t>
        </is>
      </c>
      <c r="G1235" t="n">
        <v>27.8</v>
      </c>
      <c r="H1235" t="n">
        <v>0</v>
      </c>
      <c r="I1235" t="n">
        <v>0</v>
      </c>
      <c r="J1235" t="n">
        <v>0</v>
      </c>
      <c r="K1235" t="n">
        <v>0</v>
      </c>
      <c r="L1235" t="n">
        <v>0</v>
      </c>
      <c r="M1235" t="n">
        <v>0</v>
      </c>
      <c r="N1235" t="n">
        <v>0</v>
      </c>
      <c r="O1235" t="n">
        <v>0</v>
      </c>
      <c r="P1235" t="n">
        <v>0</v>
      </c>
      <c r="Q1235" t="n">
        <v>0</v>
      </c>
      <c r="R1235" s="2" t="inlineStr"/>
    </row>
    <row r="1236" ht="15" customHeight="1">
      <c r="A1236" t="inlineStr">
        <is>
          <t>A 51940-2025</t>
        </is>
      </c>
      <c r="B1236" s="1" t="n">
        <v>45952.52118055556</v>
      </c>
      <c r="C1236" s="1" t="n">
        <v>46132</v>
      </c>
      <c r="D1236" t="inlineStr">
        <is>
          <t>ÖREBRO LÄN</t>
        </is>
      </c>
      <c r="E1236" t="inlineStr">
        <is>
          <t>HALLSBERG</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53340-2024</t>
        </is>
      </c>
      <c r="B1237" s="1" t="n">
        <v>45614.43358796297</v>
      </c>
      <c r="C1237" s="1" t="n">
        <v>46132</v>
      </c>
      <c r="D1237" t="inlineStr">
        <is>
          <t>ÖREBRO LÄN</t>
        </is>
      </c>
      <c r="E1237" t="inlineStr">
        <is>
          <t>HÄLLEFORS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24583-2024</t>
        </is>
      </c>
      <c r="B1238" s="1" t="n">
        <v>45460.46358796296</v>
      </c>
      <c r="C1238" s="1" t="n">
        <v>46132</v>
      </c>
      <c r="D1238" t="inlineStr">
        <is>
          <t>ÖREBRO LÄN</t>
        </is>
      </c>
      <c r="E1238" t="inlineStr">
        <is>
          <t>LINDESBERG</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56217-2022</t>
        </is>
      </c>
      <c r="B1239" s="1" t="n">
        <v>44890.46174768519</v>
      </c>
      <c r="C1239" s="1" t="n">
        <v>46132</v>
      </c>
      <c r="D1239" t="inlineStr">
        <is>
          <t>ÖREBRO LÄN</t>
        </is>
      </c>
      <c r="E1239" t="inlineStr">
        <is>
          <t>LINDESBERG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56871-2021</t>
        </is>
      </c>
      <c r="B1240" s="1" t="n">
        <v>44481.78949074074</v>
      </c>
      <c r="C1240" s="1" t="n">
        <v>46132</v>
      </c>
      <c r="D1240" t="inlineStr">
        <is>
          <t>ÖREBRO LÄN</t>
        </is>
      </c>
      <c r="E1240" t="inlineStr">
        <is>
          <t>NORA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28776-2023</t>
        </is>
      </c>
      <c r="B1241" s="1" t="n">
        <v>45104.34107638889</v>
      </c>
      <c r="C1241" s="1" t="n">
        <v>46132</v>
      </c>
      <c r="D1241" t="inlineStr">
        <is>
          <t>ÖREBRO LÄN</t>
        </is>
      </c>
      <c r="E1241" t="inlineStr">
        <is>
          <t>LINDESBERG</t>
        </is>
      </c>
      <c r="F1241" t="inlineStr">
        <is>
          <t>Sveaskog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24828-2024</t>
        </is>
      </c>
      <c r="B1242" s="1" t="n">
        <v>45461.3750462963</v>
      </c>
      <c r="C1242" s="1" t="n">
        <v>46132</v>
      </c>
      <c r="D1242" t="inlineStr">
        <is>
          <t>ÖREBRO LÄN</t>
        </is>
      </c>
      <c r="E1242" t="inlineStr">
        <is>
          <t>NORA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50102-2023</t>
        </is>
      </c>
      <c r="B1243" s="1" t="n">
        <v>45215</v>
      </c>
      <c r="C1243" s="1" t="n">
        <v>46132</v>
      </c>
      <c r="D1243" t="inlineStr">
        <is>
          <t>ÖREBRO LÄN</t>
        </is>
      </c>
      <c r="E1243" t="inlineStr">
        <is>
          <t>DEGERFORS</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61470-2024</t>
        </is>
      </c>
      <c r="B1244" s="1" t="n">
        <v>45646</v>
      </c>
      <c r="C1244" s="1" t="n">
        <v>46132</v>
      </c>
      <c r="D1244" t="inlineStr">
        <is>
          <t>ÖREBRO LÄN</t>
        </is>
      </c>
      <c r="E1244" t="inlineStr">
        <is>
          <t>LEKEBERG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23514-2024</t>
        </is>
      </c>
      <c r="B1245" s="1" t="n">
        <v>45453.84284722222</v>
      </c>
      <c r="C1245" s="1" t="n">
        <v>46132</v>
      </c>
      <c r="D1245" t="inlineStr">
        <is>
          <t>ÖREBRO LÄN</t>
        </is>
      </c>
      <c r="E1245" t="inlineStr">
        <is>
          <t>ASKERSUND</t>
        </is>
      </c>
      <c r="F1245" t="inlineStr">
        <is>
          <t>Sveaskog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764-2024</t>
        </is>
      </c>
      <c r="B1246" s="1" t="n">
        <v>45300.51512731481</v>
      </c>
      <c r="C1246" s="1" t="n">
        <v>46132</v>
      </c>
      <c r="D1246" t="inlineStr">
        <is>
          <t>ÖREBRO LÄN</t>
        </is>
      </c>
      <c r="E1246" t="inlineStr">
        <is>
          <t>ÖREBRO</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40305-2024</t>
        </is>
      </c>
      <c r="B1247" s="1" t="n">
        <v>45554.71863425926</v>
      </c>
      <c r="C1247" s="1" t="n">
        <v>46132</v>
      </c>
      <c r="D1247" t="inlineStr">
        <is>
          <t>ÖREBRO LÄN</t>
        </is>
      </c>
      <c r="E1247" t="inlineStr">
        <is>
          <t>LINDESBERG</t>
        </is>
      </c>
      <c r="F1247" t="inlineStr">
        <is>
          <t>Sveaskog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40329-2024</t>
        </is>
      </c>
      <c r="B1248" s="1" t="n">
        <v>45555</v>
      </c>
      <c r="C1248" s="1" t="n">
        <v>46132</v>
      </c>
      <c r="D1248" t="inlineStr">
        <is>
          <t>ÖREBRO LÄN</t>
        </is>
      </c>
      <c r="E1248" t="inlineStr">
        <is>
          <t>LEKEBERG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22234-2025</t>
        </is>
      </c>
      <c r="B1249" s="1" t="n">
        <v>45785</v>
      </c>
      <c r="C1249" s="1" t="n">
        <v>46132</v>
      </c>
      <c r="D1249" t="inlineStr">
        <is>
          <t>ÖREBRO LÄN</t>
        </is>
      </c>
      <c r="E1249" t="inlineStr">
        <is>
          <t>KARLSKOGA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53329-2023</t>
        </is>
      </c>
      <c r="B1250" s="1" t="n">
        <v>45229</v>
      </c>
      <c r="C1250" s="1" t="n">
        <v>46132</v>
      </c>
      <c r="D1250" t="inlineStr">
        <is>
          <t>ÖREBRO LÄN</t>
        </is>
      </c>
      <c r="E1250" t="inlineStr">
        <is>
          <t>HALLSBERG</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26752-2024</t>
        </is>
      </c>
      <c r="B1251" s="1" t="n">
        <v>45470.45872685185</v>
      </c>
      <c r="C1251" s="1" t="n">
        <v>46132</v>
      </c>
      <c r="D1251" t="inlineStr">
        <is>
          <t>ÖREBRO LÄN</t>
        </is>
      </c>
      <c r="E1251" t="inlineStr">
        <is>
          <t>ASKERSUND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22244-2025</t>
        </is>
      </c>
      <c r="B1252" s="1" t="n">
        <v>45785.67974537037</v>
      </c>
      <c r="C1252" s="1" t="n">
        <v>46132</v>
      </c>
      <c r="D1252" t="inlineStr">
        <is>
          <t>ÖREBRO LÄN</t>
        </is>
      </c>
      <c r="E1252" t="inlineStr">
        <is>
          <t>KARLSKOGA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42138-2024</t>
        </is>
      </c>
      <c r="B1253" s="1" t="n">
        <v>45562.41854166667</v>
      </c>
      <c r="C1253" s="1" t="n">
        <v>46132</v>
      </c>
      <c r="D1253" t="inlineStr">
        <is>
          <t>ÖREBRO LÄN</t>
        </is>
      </c>
      <c r="E1253" t="inlineStr">
        <is>
          <t>ÖREBRO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42156-2024</t>
        </is>
      </c>
      <c r="B1254" s="1" t="n">
        <v>45562</v>
      </c>
      <c r="C1254" s="1" t="n">
        <v>46132</v>
      </c>
      <c r="D1254" t="inlineStr">
        <is>
          <t>ÖREBRO LÄN</t>
        </is>
      </c>
      <c r="E1254" t="inlineStr">
        <is>
          <t>HALLSBERG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37605-2022</t>
        </is>
      </c>
      <c r="B1255" s="1" t="n">
        <v>44809</v>
      </c>
      <c r="C1255" s="1" t="n">
        <v>46132</v>
      </c>
      <c r="D1255" t="inlineStr">
        <is>
          <t>ÖREBRO LÄN</t>
        </is>
      </c>
      <c r="E1255" t="inlineStr">
        <is>
          <t>ASKERSUND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27134-2024</t>
        </is>
      </c>
      <c r="B1256" s="1" t="n">
        <v>45471.52878472222</v>
      </c>
      <c r="C1256" s="1" t="n">
        <v>46132</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62160-2024</t>
        </is>
      </c>
      <c r="B1257" s="1" t="n">
        <v>45656.80090277778</v>
      </c>
      <c r="C1257" s="1" t="n">
        <v>46132</v>
      </c>
      <c r="D1257" t="inlineStr">
        <is>
          <t>ÖREBRO LÄN</t>
        </is>
      </c>
      <c r="E1257" t="inlineStr">
        <is>
          <t>LEKEBERG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51938-2025</t>
        </is>
      </c>
      <c r="B1258" s="1" t="n">
        <v>45952.51895833333</v>
      </c>
      <c r="C1258" s="1" t="n">
        <v>46132</v>
      </c>
      <c r="D1258" t="inlineStr">
        <is>
          <t>ÖREBRO LÄN</t>
        </is>
      </c>
      <c r="E1258" t="inlineStr">
        <is>
          <t>HALLSBERG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52102-2025</t>
        </is>
      </c>
      <c r="B1259" s="1" t="n">
        <v>45952.68358796297</v>
      </c>
      <c r="C1259" s="1" t="n">
        <v>46132</v>
      </c>
      <c r="D1259" t="inlineStr">
        <is>
          <t>ÖREBRO LÄN</t>
        </is>
      </c>
      <c r="E1259" t="inlineStr">
        <is>
          <t>LINDESBERG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35106-2023</t>
        </is>
      </c>
      <c r="B1260" s="1" t="n">
        <v>45145</v>
      </c>
      <c r="C1260" s="1" t="n">
        <v>46132</v>
      </c>
      <c r="D1260" t="inlineStr">
        <is>
          <t>ÖREBRO LÄN</t>
        </is>
      </c>
      <c r="E1260" t="inlineStr">
        <is>
          <t>HÄLLEFORS</t>
        </is>
      </c>
      <c r="F1260" t="inlineStr">
        <is>
          <t>Bergvik skog väst AB</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39178-2022</t>
        </is>
      </c>
      <c r="B1261" s="1" t="n">
        <v>44817.50186342592</v>
      </c>
      <c r="C1261" s="1" t="n">
        <v>46132</v>
      </c>
      <c r="D1261" t="inlineStr">
        <is>
          <t>ÖREBRO LÄN</t>
        </is>
      </c>
      <c r="E1261" t="inlineStr">
        <is>
          <t>HÄLLEFORS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47907-2024</t>
        </is>
      </c>
      <c r="B1262" s="1" t="n">
        <v>45589.31677083333</v>
      </c>
      <c r="C1262" s="1" t="n">
        <v>46132</v>
      </c>
      <c r="D1262" t="inlineStr">
        <is>
          <t>ÖREBRO LÄN</t>
        </is>
      </c>
      <c r="E1262" t="inlineStr">
        <is>
          <t>HÄLLEFORS</t>
        </is>
      </c>
      <c r="F1262" t="inlineStr">
        <is>
          <t>Bergvik skog väst AB</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52125-2025</t>
        </is>
      </c>
      <c r="B1263" s="1" t="n">
        <v>45952.72060185186</v>
      </c>
      <c r="C1263" s="1" t="n">
        <v>46132</v>
      </c>
      <c r="D1263" t="inlineStr">
        <is>
          <t>ÖREBRO LÄN</t>
        </is>
      </c>
      <c r="E1263" t="inlineStr">
        <is>
          <t>HÄLLEFORS</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52117-2025</t>
        </is>
      </c>
      <c r="B1264" s="1" t="n">
        <v>45952.70765046297</v>
      </c>
      <c r="C1264" s="1" t="n">
        <v>46132</v>
      </c>
      <c r="D1264" t="inlineStr">
        <is>
          <t>ÖREBRO LÄN</t>
        </is>
      </c>
      <c r="E1264" t="inlineStr">
        <is>
          <t>LINDESBERG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16281-2024</t>
        </is>
      </c>
      <c r="B1265" s="1" t="n">
        <v>45407.36091435186</v>
      </c>
      <c r="C1265" s="1" t="n">
        <v>46132</v>
      </c>
      <c r="D1265" t="inlineStr">
        <is>
          <t>ÖREBRO LÄN</t>
        </is>
      </c>
      <c r="E1265" t="inlineStr">
        <is>
          <t>NORA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38742-2023</t>
        </is>
      </c>
      <c r="B1266" s="1" t="n">
        <v>45161</v>
      </c>
      <c r="C1266" s="1" t="n">
        <v>46132</v>
      </c>
      <c r="D1266" t="inlineStr">
        <is>
          <t>ÖREBRO LÄN</t>
        </is>
      </c>
      <c r="E1266" t="inlineStr">
        <is>
          <t>KARLSKOGA</t>
        </is>
      </c>
      <c r="F1266" t="inlineStr">
        <is>
          <t>Övriga Aktiebolag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17120-2025</t>
        </is>
      </c>
      <c r="B1267" s="1" t="n">
        <v>45755.68921296296</v>
      </c>
      <c r="C1267" s="1" t="n">
        <v>46132</v>
      </c>
      <c r="D1267" t="inlineStr">
        <is>
          <t>ÖREBRO LÄN</t>
        </is>
      </c>
      <c r="E1267" t="inlineStr">
        <is>
          <t>HÄLLEFORS</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55851-2023</t>
        </is>
      </c>
      <c r="B1268" s="1" t="n">
        <v>45239.65712962963</v>
      </c>
      <c r="C1268" s="1" t="n">
        <v>46132</v>
      </c>
      <c r="D1268" t="inlineStr">
        <is>
          <t>ÖREBRO LÄN</t>
        </is>
      </c>
      <c r="E1268" t="inlineStr">
        <is>
          <t>HALLSBERG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34874-2022</t>
        </is>
      </c>
      <c r="B1269" s="1" t="n">
        <v>44796</v>
      </c>
      <c r="C1269" s="1" t="n">
        <v>46132</v>
      </c>
      <c r="D1269" t="inlineStr">
        <is>
          <t>ÖREBRO LÄN</t>
        </is>
      </c>
      <c r="E1269" t="inlineStr">
        <is>
          <t>ÖREBRO</t>
        </is>
      </c>
      <c r="F1269" t="inlineStr">
        <is>
          <t>Övriga Aktiebolag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16930-2025</t>
        </is>
      </c>
      <c r="B1270" s="1" t="n">
        <v>45755.40039351852</v>
      </c>
      <c r="C1270" s="1" t="n">
        <v>46132</v>
      </c>
      <c r="D1270" t="inlineStr">
        <is>
          <t>ÖREBRO LÄN</t>
        </is>
      </c>
      <c r="E1270" t="inlineStr">
        <is>
          <t>HÄLLEFORS</t>
        </is>
      </c>
      <c r="F1270" t="inlineStr">
        <is>
          <t>Bergvik skog väst AB</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1412-2025</t>
        </is>
      </c>
      <c r="B1271" s="1" t="n">
        <v>45667.99460648148</v>
      </c>
      <c r="C1271" s="1" t="n">
        <v>46132</v>
      </c>
      <c r="D1271" t="inlineStr">
        <is>
          <t>ÖREBRO LÄN</t>
        </is>
      </c>
      <c r="E1271" t="inlineStr">
        <is>
          <t>ASKERSUND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22438-2025</t>
        </is>
      </c>
      <c r="B1272" s="1" t="n">
        <v>45786</v>
      </c>
      <c r="C1272" s="1" t="n">
        <v>46132</v>
      </c>
      <c r="D1272" t="inlineStr">
        <is>
          <t>ÖREBRO LÄN</t>
        </is>
      </c>
      <c r="E1272" t="inlineStr">
        <is>
          <t>LINDESBERG</t>
        </is>
      </c>
      <c r="F1272" t="inlineStr">
        <is>
          <t>Sveaskog</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51996-2023</t>
        </is>
      </c>
      <c r="B1273" s="1" t="n">
        <v>45223</v>
      </c>
      <c r="C1273" s="1" t="n">
        <v>46132</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62982-2023</t>
        </is>
      </c>
      <c r="B1274" s="1" t="n">
        <v>45272</v>
      </c>
      <c r="C1274" s="1" t="n">
        <v>46132</v>
      </c>
      <c r="D1274" t="inlineStr">
        <is>
          <t>ÖREBRO LÄN</t>
        </is>
      </c>
      <c r="E1274" t="inlineStr">
        <is>
          <t>DEGERFORS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33280-2024</t>
        </is>
      </c>
      <c r="B1275" s="1" t="n">
        <v>45518.71048611111</v>
      </c>
      <c r="C1275" s="1" t="n">
        <v>46132</v>
      </c>
      <c r="D1275" t="inlineStr">
        <is>
          <t>ÖREBRO LÄN</t>
        </is>
      </c>
      <c r="E1275" t="inlineStr">
        <is>
          <t>LINDESBERG</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43532-2024</t>
        </is>
      </c>
      <c r="B1276" s="1" t="n">
        <v>45569.3533912037</v>
      </c>
      <c r="C1276" s="1" t="n">
        <v>46132</v>
      </c>
      <c r="D1276" t="inlineStr">
        <is>
          <t>ÖREBRO LÄN</t>
        </is>
      </c>
      <c r="E1276" t="inlineStr">
        <is>
          <t>LINDESBERG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16292-2024</t>
        </is>
      </c>
      <c r="B1277" s="1" t="n">
        <v>45407</v>
      </c>
      <c r="C1277" s="1" t="n">
        <v>46132</v>
      </c>
      <c r="D1277" t="inlineStr">
        <is>
          <t>ÖREBRO LÄN</t>
        </is>
      </c>
      <c r="E1277" t="inlineStr">
        <is>
          <t>ASKERSUND</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46980-2023</t>
        </is>
      </c>
      <c r="B1278" s="1" t="n">
        <v>45201</v>
      </c>
      <c r="C1278" s="1" t="n">
        <v>46132</v>
      </c>
      <c r="D1278" t="inlineStr">
        <is>
          <t>ÖREBRO LÄN</t>
        </is>
      </c>
      <c r="E1278" t="inlineStr">
        <is>
          <t>HÄLLEFORS</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11676-2024</t>
        </is>
      </c>
      <c r="B1279" s="1" t="n">
        <v>45373.57236111111</v>
      </c>
      <c r="C1279" s="1" t="n">
        <v>46132</v>
      </c>
      <c r="D1279" t="inlineStr">
        <is>
          <t>ÖREBRO LÄN</t>
        </is>
      </c>
      <c r="E1279" t="inlineStr">
        <is>
          <t>LEKEBERG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59282-2023</t>
        </is>
      </c>
      <c r="B1280" s="1" t="n">
        <v>45253</v>
      </c>
      <c r="C1280" s="1" t="n">
        <v>46132</v>
      </c>
      <c r="D1280" t="inlineStr">
        <is>
          <t>ÖREBRO LÄN</t>
        </is>
      </c>
      <c r="E1280" t="inlineStr">
        <is>
          <t>LINDESBERG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52098-2025</t>
        </is>
      </c>
      <c r="B1281" s="1" t="n">
        <v>45952.68001157408</v>
      </c>
      <c r="C1281" s="1" t="n">
        <v>46132</v>
      </c>
      <c r="D1281" t="inlineStr">
        <is>
          <t>ÖREBRO LÄN</t>
        </is>
      </c>
      <c r="E1281" t="inlineStr">
        <is>
          <t>LINDESBERG</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52103-2025</t>
        </is>
      </c>
      <c r="B1282" s="1" t="n">
        <v>45952.68439814815</v>
      </c>
      <c r="C1282" s="1" t="n">
        <v>46132</v>
      </c>
      <c r="D1282" t="inlineStr">
        <is>
          <t>ÖREBRO LÄN</t>
        </is>
      </c>
      <c r="E1282" t="inlineStr">
        <is>
          <t>LINDESBERG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47601-2023</t>
        </is>
      </c>
      <c r="B1283" s="1" t="n">
        <v>45203.45681712963</v>
      </c>
      <c r="C1283" s="1" t="n">
        <v>46132</v>
      </c>
      <c r="D1283" t="inlineStr">
        <is>
          <t>ÖREBRO LÄN</t>
        </is>
      </c>
      <c r="E1283" t="inlineStr">
        <is>
          <t>LINDESBERG</t>
        </is>
      </c>
      <c r="G1283" t="n">
        <v>37.6</v>
      </c>
      <c r="H1283" t="n">
        <v>0</v>
      </c>
      <c r="I1283" t="n">
        <v>0</v>
      </c>
      <c r="J1283" t="n">
        <v>0</v>
      </c>
      <c r="K1283" t="n">
        <v>0</v>
      </c>
      <c r="L1283" t="n">
        <v>0</v>
      </c>
      <c r="M1283" t="n">
        <v>0</v>
      </c>
      <c r="N1283" t="n">
        <v>0</v>
      </c>
      <c r="O1283" t="n">
        <v>0</v>
      </c>
      <c r="P1283" t="n">
        <v>0</v>
      </c>
      <c r="Q1283" t="n">
        <v>0</v>
      </c>
      <c r="R1283" s="2" t="inlineStr"/>
    </row>
    <row r="1284" ht="15" customHeight="1">
      <c r="A1284" t="inlineStr">
        <is>
          <t>A 40530-2022</t>
        </is>
      </c>
      <c r="B1284" s="1" t="n">
        <v>44823</v>
      </c>
      <c r="C1284" s="1" t="n">
        <v>46132</v>
      </c>
      <c r="D1284" t="inlineStr">
        <is>
          <t>ÖREBRO LÄN</t>
        </is>
      </c>
      <c r="E1284" t="inlineStr">
        <is>
          <t>HÄLLEFORS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46288-2024</t>
        </is>
      </c>
      <c r="B1285" s="1" t="n">
        <v>45581.65881944444</v>
      </c>
      <c r="C1285" s="1" t="n">
        <v>46132</v>
      </c>
      <c r="D1285" t="inlineStr">
        <is>
          <t>ÖREBRO LÄN</t>
        </is>
      </c>
      <c r="E1285" t="inlineStr">
        <is>
          <t>DEGERFORS</t>
        </is>
      </c>
      <c r="F1285" t="inlineStr">
        <is>
          <t>Sveaskog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51925-2025</t>
        </is>
      </c>
      <c r="B1286" s="1" t="n">
        <v>45952.49476851852</v>
      </c>
      <c r="C1286" s="1" t="n">
        <v>46132</v>
      </c>
      <c r="D1286" t="inlineStr">
        <is>
          <t>ÖREBRO LÄN</t>
        </is>
      </c>
      <c r="E1286" t="inlineStr">
        <is>
          <t>ÖREBRO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51942-2025</t>
        </is>
      </c>
      <c r="B1287" s="1" t="n">
        <v>45952.52392361111</v>
      </c>
      <c r="C1287" s="1" t="n">
        <v>46132</v>
      </c>
      <c r="D1287" t="inlineStr">
        <is>
          <t>ÖREBRO LÄN</t>
        </is>
      </c>
      <c r="E1287" t="inlineStr">
        <is>
          <t>HALLSBERG</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28778-2024</t>
        </is>
      </c>
      <c r="B1288" s="1" t="n">
        <v>45478.6056712963</v>
      </c>
      <c r="C1288" s="1" t="n">
        <v>46132</v>
      </c>
      <c r="D1288" t="inlineStr">
        <is>
          <t>ÖREBRO LÄN</t>
        </is>
      </c>
      <c r="E1288" t="inlineStr">
        <is>
          <t>LJUSNARSBERG</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58644-2023</t>
        </is>
      </c>
      <c r="B1289" s="1" t="n">
        <v>45251.58716435185</v>
      </c>
      <c r="C1289" s="1" t="n">
        <v>46132</v>
      </c>
      <c r="D1289" t="inlineStr">
        <is>
          <t>ÖREBRO LÄN</t>
        </is>
      </c>
      <c r="E1289" t="inlineStr">
        <is>
          <t>ÖREBRO</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62308-2023</t>
        </is>
      </c>
      <c r="B1290" s="1" t="n">
        <v>45267.69052083333</v>
      </c>
      <c r="C1290" s="1" t="n">
        <v>46132</v>
      </c>
      <c r="D1290" t="inlineStr">
        <is>
          <t>ÖREBRO LÄN</t>
        </is>
      </c>
      <c r="E1290" t="inlineStr">
        <is>
          <t>LINDESBERG</t>
        </is>
      </c>
      <c r="F1290" t="inlineStr">
        <is>
          <t>Naturvårdsverket</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53011-2023</t>
        </is>
      </c>
      <c r="B1291" s="1" t="n">
        <v>45226.65587962963</v>
      </c>
      <c r="C1291" s="1" t="n">
        <v>46132</v>
      </c>
      <c r="D1291" t="inlineStr">
        <is>
          <t>ÖREBRO LÄN</t>
        </is>
      </c>
      <c r="E1291" t="inlineStr">
        <is>
          <t>HALLSBERG</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36081-2023</t>
        </is>
      </c>
      <c r="B1292" s="1" t="n">
        <v>45149</v>
      </c>
      <c r="C1292" s="1" t="n">
        <v>46132</v>
      </c>
      <c r="D1292" t="inlineStr">
        <is>
          <t>ÖREBRO LÄN</t>
        </is>
      </c>
      <c r="E1292" t="inlineStr">
        <is>
          <t>HALLSBERG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59963-2024</t>
        </is>
      </c>
      <c r="B1293" s="1" t="n">
        <v>45642.35274305556</v>
      </c>
      <c r="C1293" s="1" t="n">
        <v>46132</v>
      </c>
      <c r="D1293" t="inlineStr">
        <is>
          <t>ÖREBRO LÄN</t>
        </is>
      </c>
      <c r="E1293" t="inlineStr">
        <is>
          <t>HÄLLEFORS</t>
        </is>
      </c>
      <c r="F1293" t="inlineStr">
        <is>
          <t>Bergvik skog väst AB</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21042-2023</t>
        </is>
      </c>
      <c r="B1294" s="1" t="n">
        <v>45056</v>
      </c>
      <c r="C1294" s="1" t="n">
        <v>46132</v>
      </c>
      <c r="D1294" t="inlineStr">
        <is>
          <t>ÖREBRO LÄN</t>
        </is>
      </c>
      <c r="E1294" t="inlineStr">
        <is>
          <t>LEKEBERG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61593-2023</t>
        </is>
      </c>
      <c r="B1295" s="1" t="n">
        <v>45265</v>
      </c>
      <c r="C1295" s="1" t="n">
        <v>46132</v>
      </c>
      <c r="D1295" t="inlineStr">
        <is>
          <t>ÖREBRO LÄN</t>
        </is>
      </c>
      <c r="E1295" t="inlineStr">
        <is>
          <t>ÖREBRO</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21012-2023</t>
        </is>
      </c>
      <c r="B1296" s="1" t="n">
        <v>45061.52474537037</v>
      </c>
      <c r="C1296" s="1" t="n">
        <v>46132</v>
      </c>
      <c r="D1296" t="inlineStr">
        <is>
          <t>ÖREBRO LÄN</t>
        </is>
      </c>
      <c r="E1296" t="inlineStr">
        <is>
          <t>LINDESBERG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35243-2022</t>
        </is>
      </c>
      <c r="B1297" s="1" t="n">
        <v>44798</v>
      </c>
      <c r="C1297" s="1" t="n">
        <v>46132</v>
      </c>
      <c r="D1297" t="inlineStr">
        <is>
          <t>ÖREBRO LÄN</t>
        </is>
      </c>
      <c r="E1297" t="inlineStr">
        <is>
          <t>HÄLLEFORS</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23674-2024</t>
        </is>
      </c>
      <c r="B1298" s="1" t="n">
        <v>45454.60694444444</v>
      </c>
      <c r="C1298" s="1" t="n">
        <v>46132</v>
      </c>
      <c r="D1298" t="inlineStr">
        <is>
          <t>ÖREBRO LÄN</t>
        </is>
      </c>
      <c r="E1298" t="inlineStr">
        <is>
          <t>LAXÅ</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52099-2025</t>
        </is>
      </c>
      <c r="B1299" s="1" t="n">
        <v>45952</v>
      </c>
      <c r="C1299" s="1" t="n">
        <v>46132</v>
      </c>
      <c r="D1299" t="inlineStr">
        <is>
          <t>ÖREBRO LÄN</t>
        </is>
      </c>
      <c r="E1299" t="inlineStr">
        <is>
          <t>DEGERFORS</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52101-2025</t>
        </is>
      </c>
      <c r="B1300" s="1" t="n">
        <v>45952.68271990741</v>
      </c>
      <c r="C1300" s="1" t="n">
        <v>46132</v>
      </c>
      <c r="D1300" t="inlineStr">
        <is>
          <t>ÖREBRO LÄN</t>
        </is>
      </c>
      <c r="E1300" t="inlineStr">
        <is>
          <t>LINDESBERG</t>
        </is>
      </c>
      <c r="F1300" t="inlineStr">
        <is>
          <t>Sveaskog</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36090-2024</t>
        </is>
      </c>
      <c r="B1301" s="1" t="n">
        <v>45533.68363425926</v>
      </c>
      <c r="C1301" s="1" t="n">
        <v>46132</v>
      </c>
      <c r="D1301" t="inlineStr">
        <is>
          <t>ÖREBRO LÄN</t>
        </is>
      </c>
      <c r="E1301" t="inlineStr">
        <is>
          <t>HÄLLEFORS</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52104-2025</t>
        </is>
      </c>
      <c r="B1302" s="1" t="n">
        <v>45952.68524305556</v>
      </c>
      <c r="C1302" s="1" t="n">
        <v>46132</v>
      </c>
      <c r="D1302" t="inlineStr">
        <is>
          <t>ÖREBRO LÄN</t>
        </is>
      </c>
      <c r="E1302" t="inlineStr">
        <is>
          <t>LINDESBERG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38534-2025</t>
        </is>
      </c>
      <c r="B1303" s="1" t="n">
        <v>45884</v>
      </c>
      <c r="C1303" s="1" t="n">
        <v>46132</v>
      </c>
      <c r="D1303" t="inlineStr">
        <is>
          <t>ÖREBRO LÄN</t>
        </is>
      </c>
      <c r="E1303" t="inlineStr">
        <is>
          <t>LINDESBERG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23914-2024</t>
        </is>
      </c>
      <c r="B1304" s="1" t="n">
        <v>45455.86207175926</v>
      </c>
      <c r="C1304" s="1" t="n">
        <v>46132</v>
      </c>
      <c r="D1304" t="inlineStr">
        <is>
          <t>ÖREBRO LÄN</t>
        </is>
      </c>
      <c r="E1304" t="inlineStr">
        <is>
          <t>ASKERSUND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24944-2024</t>
        </is>
      </c>
      <c r="B1305" s="1" t="n">
        <v>45461.62924768519</v>
      </c>
      <c r="C1305" s="1" t="n">
        <v>46132</v>
      </c>
      <c r="D1305" t="inlineStr">
        <is>
          <t>ÖREBRO LÄN</t>
        </is>
      </c>
      <c r="E1305" t="inlineStr">
        <is>
          <t>LINDESBERG</t>
        </is>
      </c>
      <c r="F1305" t="inlineStr">
        <is>
          <t>Kyrkan</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26182-2024</t>
        </is>
      </c>
      <c r="B1306" s="1" t="n">
        <v>45468</v>
      </c>
      <c r="C1306" s="1" t="n">
        <v>46132</v>
      </c>
      <c r="D1306" t="inlineStr">
        <is>
          <t>ÖREBRO LÄN</t>
        </is>
      </c>
      <c r="E1306" t="inlineStr">
        <is>
          <t>DEGERFORS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21338-2025</t>
        </is>
      </c>
      <c r="B1307" s="1" t="n">
        <v>45780</v>
      </c>
      <c r="C1307" s="1" t="n">
        <v>46132</v>
      </c>
      <c r="D1307" t="inlineStr">
        <is>
          <t>ÖREBRO LÄN</t>
        </is>
      </c>
      <c r="E1307" t="inlineStr">
        <is>
          <t>ÖREBRO</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26412-2024</t>
        </is>
      </c>
      <c r="B1308" s="1" t="n">
        <v>45469.45405092592</v>
      </c>
      <c r="C1308" s="1" t="n">
        <v>46132</v>
      </c>
      <c r="D1308" t="inlineStr">
        <is>
          <t>ÖREBRO LÄN</t>
        </is>
      </c>
      <c r="E1308" t="inlineStr">
        <is>
          <t>ASKERSUND</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37432-2022</t>
        </is>
      </c>
      <c r="B1309" s="1" t="n">
        <v>44809</v>
      </c>
      <c r="C1309" s="1" t="n">
        <v>46132</v>
      </c>
      <c r="D1309" t="inlineStr">
        <is>
          <t>ÖREBRO LÄN</t>
        </is>
      </c>
      <c r="E1309" t="inlineStr">
        <is>
          <t>LINDESBERG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6299-2024</t>
        </is>
      </c>
      <c r="B1310" s="1" t="n">
        <v>45338.34609953704</v>
      </c>
      <c r="C1310" s="1" t="n">
        <v>46132</v>
      </c>
      <c r="D1310" t="inlineStr">
        <is>
          <t>ÖREBRO LÄN</t>
        </is>
      </c>
      <c r="E1310" t="inlineStr">
        <is>
          <t>LAXÅ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51923-2025</t>
        </is>
      </c>
      <c r="B1311" s="1" t="n">
        <v>45952.49300925926</v>
      </c>
      <c r="C1311" s="1" t="n">
        <v>46132</v>
      </c>
      <c r="D1311" t="inlineStr">
        <is>
          <t>ÖREBRO LÄN</t>
        </is>
      </c>
      <c r="E1311" t="inlineStr">
        <is>
          <t>ÖREBRO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51937-2025</t>
        </is>
      </c>
      <c r="B1312" s="1" t="n">
        <v>45952.51270833334</v>
      </c>
      <c r="C1312" s="1" t="n">
        <v>46132</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22078-2025</t>
        </is>
      </c>
      <c r="B1313" s="1" t="n">
        <v>45785.4253125</v>
      </c>
      <c r="C1313" s="1" t="n">
        <v>46132</v>
      </c>
      <c r="D1313" t="inlineStr">
        <is>
          <t>ÖREBRO LÄN</t>
        </is>
      </c>
      <c r="E1313" t="inlineStr">
        <is>
          <t>LINDESBERG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65005-2023</t>
        </is>
      </c>
      <c r="B1314" s="1" t="n">
        <v>45287</v>
      </c>
      <c r="C1314" s="1" t="n">
        <v>46132</v>
      </c>
      <c r="D1314" t="inlineStr">
        <is>
          <t>ÖREBRO LÄN</t>
        </is>
      </c>
      <c r="E1314" t="inlineStr">
        <is>
          <t>LJUSNARSBERG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51693-2025</t>
        </is>
      </c>
      <c r="B1315" s="1" t="n">
        <v>45951.54322916667</v>
      </c>
      <c r="C1315" s="1" t="n">
        <v>46132</v>
      </c>
      <c r="D1315" t="inlineStr">
        <is>
          <t>ÖREBRO LÄN</t>
        </is>
      </c>
      <c r="E1315" t="inlineStr">
        <is>
          <t>LJUSNARSBERG</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12815-2024</t>
        </is>
      </c>
      <c r="B1316" s="1" t="n">
        <v>45384.66650462963</v>
      </c>
      <c r="C1316" s="1" t="n">
        <v>46132</v>
      </c>
      <c r="D1316" t="inlineStr">
        <is>
          <t>ÖREBRO LÄN</t>
        </is>
      </c>
      <c r="E1316" t="inlineStr">
        <is>
          <t>NORA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22381-2025</t>
        </is>
      </c>
      <c r="B1317" s="1" t="n">
        <v>45786</v>
      </c>
      <c r="C1317" s="1" t="n">
        <v>46132</v>
      </c>
      <c r="D1317" t="inlineStr">
        <is>
          <t>ÖREBRO LÄN</t>
        </is>
      </c>
      <c r="E1317" t="inlineStr">
        <is>
          <t>LAXÅ</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13405-2024</t>
        </is>
      </c>
      <c r="B1318" s="1" t="n">
        <v>45387.44760416666</v>
      </c>
      <c r="C1318" s="1" t="n">
        <v>46132</v>
      </c>
      <c r="D1318" t="inlineStr">
        <is>
          <t>ÖREBRO LÄN</t>
        </is>
      </c>
      <c r="E1318" t="inlineStr">
        <is>
          <t>DEGERFORS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51916-2025</t>
        </is>
      </c>
      <c r="B1319" s="1" t="n">
        <v>45952.47767361111</v>
      </c>
      <c r="C1319" s="1" t="n">
        <v>46132</v>
      </c>
      <c r="D1319" t="inlineStr">
        <is>
          <t>ÖREBRO LÄN</t>
        </is>
      </c>
      <c r="E1319" t="inlineStr">
        <is>
          <t>HALLSBERG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51920-2025</t>
        </is>
      </c>
      <c r="B1320" s="1" t="n">
        <v>45952.48380787037</v>
      </c>
      <c r="C1320" s="1" t="n">
        <v>46132</v>
      </c>
      <c r="D1320" t="inlineStr">
        <is>
          <t>ÖREBRO LÄN</t>
        </is>
      </c>
      <c r="E1320" t="inlineStr">
        <is>
          <t>HALLSBERG</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53054-2022</t>
        </is>
      </c>
      <c r="B1321" s="1" t="n">
        <v>44876.35706018518</v>
      </c>
      <c r="C1321" s="1" t="n">
        <v>46132</v>
      </c>
      <c r="D1321" t="inlineStr">
        <is>
          <t>ÖREBRO LÄN</t>
        </is>
      </c>
      <c r="E1321" t="inlineStr">
        <is>
          <t>LINDESBERG</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14353-2024</t>
        </is>
      </c>
      <c r="B1322" s="1" t="n">
        <v>45393.83645833333</v>
      </c>
      <c r="C1322" s="1" t="n">
        <v>46132</v>
      </c>
      <c r="D1322" t="inlineStr">
        <is>
          <t>ÖREBRO LÄN</t>
        </is>
      </c>
      <c r="E1322" t="inlineStr">
        <is>
          <t>LEKEBERG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51642-2025</t>
        </is>
      </c>
      <c r="B1323" s="1" t="n">
        <v>45951.44524305555</v>
      </c>
      <c r="C1323" s="1" t="n">
        <v>46132</v>
      </c>
      <c r="D1323" t="inlineStr">
        <is>
          <t>ÖREBRO LÄN</t>
        </is>
      </c>
      <c r="E1323" t="inlineStr">
        <is>
          <t>HALLSBERG</t>
        </is>
      </c>
      <c r="F1323" t="inlineStr">
        <is>
          <t>Sveaskog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38842-2022</t>
        </is>
      </c>
      <c r="B1324" s="1" t="n">
        <v>44814</v>
      </c>
      <c r="C1324" s="1" t="n">
        <v>46132</v>
      </c>
      <c r="D1324" t="inlineStr">
        <is>
          <t>ÖREBRO LÄN</t>
        </is>
      </c>
      <c r="E1324" t="inlineStr">
        <is>
          <t>ÖREBRO</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51924-2025</t>
        </is>
      </c>
      <c r="B1325" s="1" t="n">
        <v>45952.49305555555</v>
      </c>
      <c r="C1325" s="1" t="n">
        <v>46132</v>
      </c>
      <c r="D1325" t="inlineStr">
        <is>
          <t>ÖREBRO LÄN</t>
        </is>
      </c>
      <c r="E1325" t="inlineStr">
        <is>
          <t>HALLSBERG</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22382-2025</t>
        </is>
      </c>
      <c r="B1326" s="1" t="n">
        <v>45786.49619212963</v>
      </c>
      <c r="C1326" s="1" t="n">
        <v>46132</v>
      </c>
      <c r="D1326" t="inlineStr">
        <is>
          <t>ÖREBRO LÄN</t>
        </is>
      </c>
      <c r="E1326" t="inlineStr">
        <is>
          <t>LAXÅ</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14007-2024</t>
        </is>
      </c>
      <c r="B1327" s="1" t="n">
        <v>45392.47525462963</v>
      </c>
      <c r="C1327" s="1" t="n">
        <v>46132</v>
      </c>
      <c r="D1327" t="inlineStr">
        <is>
          <t>ÖREBRO LÄN</t>
        </is>
      </c>
      <c r="E1327" t="inlineStr">
        <is>
          <t>LAXÅ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36686-2024</t>
        </is>
      </c>
      <c r="B1328" s="1" t="n">
        <v>45537.665</v>
      </c>
      <c r="C1328" s="1" t="n">
        <v>46132</v>
      </c>
      <c r="D1328" t="inlineStr">
        <is>
          <t>ÖREBRO LÄN</t>
        </is>
      </c>
      <c r="E1328" t="inlineStr">
        <is>
          <t>LINDESBERG</t>
        </is>
      </c>
      <c r="F1328" t="inlineStr">
        <is>
          <t>Sveaskog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53355-2023</t>
        </is>
      </c>
      <c r="B1329" s="1" t="n">
        <v>45229.66430555555</v>
      </c>
      <c r="C1329" s="1" t="n">
        <v>46132</v>
      </c>
      <c r="D1329" t="inlineStr">
        <is>
          <t>ÖREBRO LÄN</t>
        </is>
      </c>
      <c r="E1329" t="inlineStr">
        <is>
          <t>LINDESBERG</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20515-2025</t>
        </is>
      </c>
      <c r="B1330" s="1" t="n">
        <v>45775</v>
      </c>
      <c r="C1330" s="1" t="n">
        <v>46132</v>
      </c>
      <c r="D1330" t="inlineStr">
        <is>
          <t>ÖREBRO LÄN</t>
        </is>
      </c>
      <c r="E1330" t="inlineStr">
        <is>
          <t>ASKERSUND</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36680-2024</t>
        </is>
      </c>
      <c r="B1331" s="1" t="n">
        <v>45537.65305555556</v>
      </c>
      <c r="C1331" s="1" t="n">
        <v>46132</v>
      </c>
      <c r="D1331" t="inlineStr">
        <is>
          <t>ÖREBRO LÄN</t>
        </is>
      </c>
      <c r="E1331" t="inlineStr">
        <is>
          <t>LINDESBERG</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33774-2022</t>
        </is>
      </c>
      <c r="B1332" s="1" t="n">
        <v>44790.37331018518</v>
      </c>
      <c r="C1332" s="1" t="n">
        <v>46132</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47811-2024</t>
        </is>
      </c>
      <c r="B1333" s="1" t="n">
        <v>45588.61716435185</v>
      </c>
      <c r="C1333" s="1" t="n">
        <v>46132</v>
      </c>
      <c r="D1333" t="inlineStr">
        <is>
          <t>ÖREBRO LÄN</t>
        </is>
      </c>
      <c r="E1333" t="inlineStr">
        <is>
          <t>HÄLLEFORS</t>
        </is>
      </c>
      <c r="F1333" t="inlineStr">
        <is>
          <t>Bergvik skog väst AB</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54793-2024</t>
        </is>
      </c>
      <c r="B1334" s="1" t="n">
        <v>45618</v>
      </c>
      <c r="C1334" s="1" t="n">
        <v>46132</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50104-2024</t>
        </is>
      </c>
      <c r="B1335" s="1" t="n">
        <v>45600.40037037037</v>
      </c>
      <c r="C1335" s="1" t="n">
        <v>46132</v>
      </c>
      <c r="D1335" t="inlineStr">
        <is>
          <t>ÖREBRO LÄN</t>
        </is>
      </c>
      <c r="E1335" t="inlineStr">
        <is>
          <t>LEKEBERG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58657-2024</t>
        </is>
      </c>
      <c r="B1336" s="1" t="n">
        <v>45632</v>
      </c>
      <c r="C1336" s="1" t="n">
        <v>46132</v>
      </c>
      <c r="D1336" t="inlineStr">
        <is>
          <t>ÖREBRO LÄN</t>
        </is>
      </c>
      <c r="E1336" t="inlineStr">
        <is>
          <t>KUMLA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4910-2023</t>
        </is>
      </c>
      <c r="B1337" s="1" t="n">
        <v>44958.38488425926</v>
      </c>
      <c r="C1337" s="1" t="n">
        <v>46132</v>
      </c>
      <c r="D1337" t="inlineStr">
        <is>
          <t>ÖREBRO LÄN</t>
        </is>
      </c>
      <c r="E1337" t="inlineStr">
        <is>
          <t>NORA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25059-2024</t>
        </is>
      </c>
      <c r="B1338" s="1" t="n">
        <v>45462.35787037037</v>
      </c>
      <c r="C1338" s="1" t="n">
        <v>46132</v>
      </c>
      <c r="D1338" t="inlineStr">
        <is>
          <t>ÖREBRO LÄN</t>
        </is>
      </c>
      <c r="E1338" t="inlineStr">
        <is>
          <t>HÄLLEFORS</t>
        </is>
      </c>
      <c r="F1338" t="inlineStr">
        <is>
          <t>Bergvik skog väst AB</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25838-2024</t>
        </is>
      </c>
      <c r="B1339" s="1" t="n">
        <v>45467.42864583333</v>
      </c>
      <c r="C1339" s="1" t="n">
        <v>46132</v>
      </c>
      <c r="D1339" t="inlineStr">
        <is>
          <t>ÖREBRO LÄN</t>
        </is>
      </c>
      <c r="E1339" t="inlineStr">
        <is>
          <t>LAXÅ</t>
        </is>
      </c>
      <c r="F1339" t="inlineStr">
        <is>
          <t>Sveaskog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38874-2025</t>
        </is>
      </c>
      <c r="B1340" s="1" t="n">
        <v>45887</v>
      </c>
      <c r="C1340" s="1" t="n">
        <v>46132</v>
      </c>
      <c r="D1340" t="inlineStr">
        <is>
          <t>ÖREBRO LÄN</t>
        </is>
      </c>
      <c r="E1340" t="inlineStr">
        <is>
          <t>DEGERFORS</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52453-2025</t>
        </is>
      </c>
      <c r="B1341" s="1" t="n">
        <v>45954.42596064815</v>
      </c>
      <c r="C1341" s="1" t="n">
        <v>46132</v>
      </c>
      <c r="D1341" t="inlineStr">
        <is>
          <t>ÖREBRO LÄN</t>
        </is>
      </c>
      <c r="E1341" t="inlineStr">
        <is>
          <t>HÄLLEFORS</t>
        </is>
      </c>
      <c r="F1341" t="inlineStr">
        <is>
          <t>Bergvik skog väst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60965-2021</t>
        </is>
      </c>
      <c r="B1342" s="1" t="n">
        <v>44497</v>
      </c>
      <c r="C1342" s="1" t="n">
        <v>46132</v>
      </c>
      <c r="D1342" t="inlineStr">
        <is>
          <t>ÖREBRO LÄN</t>
        </is>
      </c>
      <c r="E1342" t="inlineStr">
        <is>
          <t>ASKERSUND</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27577-2024</t>
        </is>
      </c>
      <c r="B1343" s="1" t="n">
        <v>45474.65008101852</v>
      </c>
      <c r="C1343" s="1" t="n">
        <v>46132</v>
      </c>
      <c r="D1343" t="inlineStr">
        <is>
          <t>ÖREBRO LÄN</t>
        </is>
      </c>
      <c r="E1343" t="inlineStr">
        <is>
          <t>NORA</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35860-2024</t>
        </is>
      </c>
      <c r="B1344" s="1" t="n">
        <v>45533</v>
      </c>
      <c r="C1344" s="1" t="n">
        <v>46132</v>
      </c>
      <c r="D1344" t="inlineStr">
        <is>
          <t>ÖREBRO LÄN</t>
        </is>
      </c>
      <c r="E1344" t="inlineStr">
        <is>
          <t>HÄLLEFORS</t>
        </is>
      </c>
      <c r="F1344" t="inlineStr">
        <is>
          <t>Bergvik skog väst AB</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39183-2025</t>
        </is>
      </c>
      <c r="B1345" s="1" t="n">
        <v>45888.6637962963</v>
      </c>
      <c r="C1345" s="1" t="n">
        <v>46132</v>
      </c>
      <c r="D1345" t="inlineStr">
        <is>
          <t>ÖREBRO LÄN</t>
        </is>
      </c>
      <c r="E1345" t="inlineStr">
        <is>
          <t>HÄLLEFORS</t>
        </is>
      </c>
      <c r="F1345" t="inlineStr">
        <is>
          <t>Bergvik skog väst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52135-2025</t>
        </is>
      </c>
      <c r="B1346" s="1" t="n">
        <v>45952.84231481481</v>
      </c>
      <c r="C1346" s="1" t="n">
        <v>46132</v>
      </c>
      <c r="D1346" t="inlineStr">
        <is>
          <t>ÖREBRO LÄN</t>
        </is>
      </c>
      <c r="E1346" t="inlineStr">
        <is>
          <t>ÖREBRO</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40597-2021</t>
        </is>
      </c>
      <c r="B1347" s="1" t="n">
        <v>44420</v>
      </c>
      <c r="C1347" s="1" t="n">
        <v>46132</v>
      </c>
      <c r="D1347" t="inlineStr">
        <is>
          <t>ÖREBRO LÄN</t>
        </is>
      </c>
      <c r="E1347" t="inlineStr">
        <is>
          <t>ÖREBRO</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49632-2022</t>
        </is>
      </c>
      <c r="B1348" s="1" t="n">
        <v>44862.43023148148</v>
      </c>
      <c r="C1348" s="1" t="n">
        <v>46132</v>
      </c>
      <c r="D1348" t="inlineStr">
        <is>
          <t>ÖREBRO LÄN</t>
        </is>
      </c>
      <c r="E1348" t="inlineStr">
        <is>
          <t>NORA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4779-2023</t>
        </is>
      </c>
      <c r="B1349" s="1" t="n">
        <v>44957</v>
      </c>
      <c r="C1349" s="1" t="n">
        <v>46132</v>
      </c>
      <c r="D1349" t="inlineStr">
        <is>
          <t>ÖREBRO LÄN</t>
        </is>
      </c>
      <c r="E1349" t="inlineStr">
        <is>
          <t>ASKERSUND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38875-2025</t>
        </is>
      </c>
      <c r="B1350" s="1" t="n">
        <v>45887</v>
      </c>
      <c r="C1350" s="1" t="n">
        <v>46132</v>
      </c>
      <c r="D1350" t="inlineStr">
        <is>
          <t>ÖREBRO LÄN</t>
        </is>
      </c>
      <c r="E1350" t="inlineStr">
        <is>
          <t>DEGERFORS</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38881-2025</t>
        </is>
      </c>
      <c r="B1351" s="1" t="n">
        <v>45887</v>
      </c>
      <c r="C1351" s="1" t="n">
        <v>46132</v>
      </c>
      <c r="D1351" t="inlineStr">
        <is>
          <t>ÖREBRO LÄN</t>
        </is>
      </c>
      <c r="E1351" t="inlineStr">
        <is>
          <t>ASKERSUND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22755-2025</t>
        </is>
      </c>
      <c r="B1352" s="1" t="n">
        <v>45789.61872685186</v>
      </c>
      <c r="C1352" s="1" t="n">
        <v>46132</v>
      </c>
      <c r="D1352" t="inlineStr">
        <is>
          <t>ÖREBRO LÄN</t>
        </is>
      </c>
      <c r="E1352" t="inlineStr">
        <is>
          <t>ÖREBRO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13389-2024</t>
        </is>
      </c>
      <c r="B1353" s="1" t="n">
        <v>45387.40418981481</v>
      </c>
      <c r="C1353" s="1" t="n">
        <v>46132</v>
      </c>
      <c r="D1353" t="inlineStr">
        <is>
          <t>ÖREBRO LÄN</t>
        </is>
      </c>
      <c r="E1353" t="inlineStr">
        <is>
          <t>LJUSNARSBERG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6313-2025</t>
        </is>
      </c>
      <c r="B1354" s="1" t="n">
        <v>45698</v>
      </c>
      <c r="C1354" s="1" t="n">
        <v>46132</v>
      </c>
      <c r="D1354" t="inlineStr">
        <is>
          <t>ÖREBRO LÄN</t>
        </is>
      </c>
      <c r="E1354" t="inlineStr">
        <is>
          <t>LJUSNARSBERG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12907-2025</t>
        </is>
      </c>
      <c r="B1355" s="1" t="n">
        <v>45733.8203587963</v>
      </c>
      <c r="C1355" s="1" t="n">
        <v>46132</v>
      </c>
      <c r="D1355" t="inlineStr">
        <is>
          <t>ÖREBRO LÄN</t>
        </is>
      </c>
      <c r="E1355" t="inlineStr">
        <is>
          <t>NORA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33334-2023</t>
        </is>
      </c>
      <c r="B1356" s="1" t="n">
        <v>45128.33488425926</v>
      </c>
      <c r="C1356" s="1" t="n">
        <v>46132</v>
      </c>
      <c r="D1356" t="inlineStr">
        <is>
          <t>ÖREBRO LÄN</t>
        </is>
      </c>
      <c r="E1356" t="inlineStr">
        <is>
          <t>LEKEBERG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44199-2024</t>
        </is>
      </c>
      <c r="B1357" s="1" t="n">
        <v>45573</v>
      </c>
      <c r="C1357" s="1" t="n">
        <v>46132</v>
      </c>
      <c r="D1357" t="inlineStr">
        <is>
          <t>ÖREBRO LÄN</t>
        </is>
      </c>
      <c r="E1357" t="inlineStr">
        <is>
          <t>ÖREBRO</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35862-2024</t>
        </is>
      </c>
      <c r="B1358" s="1" t="n">
        <v>45533.33909722222</v>
      </c>
      <c r="C1358" s="1" t="n">
        <v>46132</v>
      </c>
      <c r="D1358" t="inlineStr">
        <is>
          <t>ÖREBRO LÄN</t>
        </is>
      </c>
      <c r="E1358" t="inlineStr">
        <is>
          <t>HÄLLEFORS</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50619-2022</t>
        </is>
      </c>
      <c r="B1359" s="1" t="n">
        <v>44866.79668981482</v>
      </c>
      <c r="C1359" s="1" t="n">
        <v>46132</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53395-2021</t>
        </is>
      </c>
      <c r="B1360" s="1" t="n">
        <v>44468.62</v>
      </c>
      <c r="C1360" s="1" t="n">
        <v>46132</v>
      </c>
      <c r="D1360" t="inlineStr">
        <is>
          <t>ÖREBRO LÄN</t>
        </is>
      </c>
      <c r="E1360" t="inlineStr">
        <is>
          <t>LJUSNARSBERG</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34336-2024</t>
        </is>
      </c>
      <c r="B1361" s="1" t="n">
        <v>45524.94774305556</v>
      </c>
      <c r="C1361" s="1" t="n">
        <v>46132</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38872-2025</t>
        </is>
      </c>
      <c r="B1362" s="1" t="n">
        <v>45887.5749074074</v>
      </c>
      <c r="C1362" s="1" t="n">
        <v>46132</v>
      </c>
      <c r="D1362" t="inlineStr">
        <is>
          <t>ÖREBRO LÄN</t>
        </is>
      </c>
      <c r="E1362" t="inlineStr">
        <is>
          <t>DEGERFORS</t>
        </is>
      </c>
      <c r="F1362" t="inlineStr">
        <is>
          <t>Sveaskog</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26597-2021</t>
        </is>
      </c>
      <c r="B1363" s="1" t="n">
        <v>44348.6058449074</v>
      </c>
      <c r="C1363" s="1" t="n">
        <v>46132</v>
      </c>
      <c r="D1363" t="inlineStr">
        <is>
          <t>ÖREBRO LÄN</t>
        </is>
      </c>
      <c r="E1363" t="inlineStr">
        <is>
          <t>LJUSNARSBERG</t>
        </is>
      </c>
      <c r="F1363" t="inlineStr">
        <is>
          <t>Bergvik skog väst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38782-2025</t>
        </is>
      </c>
      <c r="B1364" s="1" t="n">
        <v>45887</v>
      </c>
      <c r="C1364" s="1" t="n">
        <v>46132</v>
      </c>
      <c r="D1364" t="inlineStr">
        <is>
          <t>ÖREBRO LÄN</t>
        </is>
      </c>
      <c r="E1364" t="inlineStr">
        <is>
          <t>DEGERFORS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38861-2025</t>
        </is>
      </c>
      <c r="B1365" s="1" t="n">
        <v>45887.56101851852</v>
      </c>
      <c r="C1365" s="1" t="n">
        <v>46132</v>
      </c>
      <c r="D1365" t="inlineStr">
        <is>
          <t>ÖREBRO LÄN</t>
        </is>
      </c>
      <c r="E1365" t="inlineStr">
        <is>
          <t>LINDESBERG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59630-2024</t>
        </is>
      </c>
      <c r="B1366" s="1" t="n">
        <v>45638.90166666666</v>
      </c>
      <c r="C1366" s="1" t="n">
        <v>46132</v>
      </c>
      <c r="D1366" t="inlineStr">
        <is>
          <t>ÖREBRO LÄN</t>
        </is>
      </c>
      <c r="E1366" t="inlineStr">
        <is>
          <t>LJUSNARSBERG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29280-2025</t>
        </is>
      </c>
      <c r="B1367" s="1" t="n">
        <v>45824</v>
      </c>
      <c r="C1367" s="1" t="n">
        <v>46132</v>
      </c>
      <c r="D1367" t="inlineStr">
        <is>
          <t>ÖREBRO LÄN</t>
        </is>
      </c>
      <c r="E1367" t="inlineStr">
        <is>
          <t>HÄLLEFORS</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26443-2024</t>
        </is>
      </c>
      <c r="B1368" s="1" t="n">
        <v>45469.49901620371</v>
      </c>
      <c r="C1368" s="1" t="n">
        <v>46132</v>
      </c>
      <c r="D1368" t="inlineStr">
        <is>
          <t>ÖREBRO LÄN</t>
        </is>
      </c>
      <c r="E1368" t="inlineStr">
        <is>
          <t>ÖREBRO</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48780-2024</t>
        </is>
      </c>
      <c r="B1369" s="1" t="n">
        <v>45593</v>
      </c>
      <c r="C1369" s="1" t="n">
        <v>46132</v>
      </c>
      <c r="D1369" t="inlineStr">
        <is>
          <t>ÖREBRO LÄN</t>
        </is>
      </c>
      <c r="E1369" t="inlineStr">
        <is>
          <t>LJUSNARSBERG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35477-2024</t>
        </is>
      </c>
      <c r="B1370" s="1" t="n">
        <v>45531</v>
      </c>
      <c r="C1370" s="1" t="n">
        <v>46132</v>
      </c>
      <c r="D1370" t="inlineStr">
        <is>
          <t>ÖREBRO LÄN</t>
        </is>
      </c>
      <c r="E1370" t="inlineStr">
        <is>
          <t>ÖREBRO</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36114-2024</t>
        </is>
      </c>
      <c r="B1371" s="1" t="n">
        <v>45534.30509259259</v>
      </c>
      <c r="C1371" s="1" t="n">
        <v>46132</v>
      </c>
      <c r="D1371" t="inlineStr">
        <is>
          <t>ÖREBRO LÄN</t>
        </is>
      </c>
      <c r="E1371" t="inlineStr">
        <is>
          <t>HÄLLEFORS</t>
        </is>
      </c>
      <c r="F1371" t="inlineStr">
        <is>
          <t>Bergvik skog väst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22543-2025</t>
        </is>
      </c>
      <c r="B1372" s="1" t="n">
        <v>45788.42467592593</v>
      </c>
      <c r="C1372" s="1" t="n">
        <v>46132</v>
      </c>
      <c r="D1372" t="inlineStr">
        <is>
          <t>ÖREBRO LÄN</t>
        </is>
      </c>
      <c r="E1372" t="inlineStr">
        <is>
          <t>LINDESBERG</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54831-2024</t>
        </is>
      </c>
      <c r="B1373" s="1" t="n">
        <v>45618.55291666667</v>
      </c>
      <c r="C1373" s="1" t="n">
        <v>46132</v>
      </c>
      <c r="D1373" t="inlineStr">
        <is>
          <t>ÖREBRO LÄN</t>
        </is>
      </c>
      <c r="E1373" t="inlineStr">
        <is>
          <t>LAXÅ</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36902-2021</t>
        </is>
      </c>
      <c r="B1374" s="1" t="n">
        <v>44393.45766203704</v>
      </c>
      <c r="C1374" s="1" t="n">
        <v>46132</v>
      </c>
      <c r="D1374" t="inlineStr">
        <is>
          <t>ÖREBRO LÄN</t>
        </is>
      </c>
      <c r="E1374" t="inlineStr">
        <is>
          <t>LAXÅ</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22999-2025</t>
        </is>
      </c>
      <c r="B1375" s="1" t="n">
        <v>45790.58875</v>
      </c>
      <c r="C1375" s="1" t="n">
        <v>46132</v>
      </c>
      <c r="D1375" t="inlineStr">
        <is>
          <t>ÖREBRO LÄN</t>
        </is>
      </c>
      <c r="E1375" t="inlineStr">
        <is>
          <t>ASKERSUND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41678-2024</t>
        </is>
      </c>
      <c r="B1376" s="1" t="n">
        <v>45560</v>
      </c>
      <c r="C1376" s="1" t="n">
        <v>46132</v>
      </c>
      <c r="D1376" t="inlineStr">
        <is>
          <t>ÖREBRO LÄN</t>
        </is>
      </c>
      <c r="E1376" t="inlineStr">
        <is>
          <t>ÖREBRO</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11726-2025</t>
        </is>
      </c>
      <c r="B1377" s="1" t="n">
        <v>45727</v>
      </c>
      <c r="C1377" s="1" t="n">
        <v>46132</v>
      </c>
      <c r="D1377" t="inlineStr">
        <is>
          <t>ÖREBRO LÄN</t>
        </is>
      </c>
      <c r="E1377" t="inlineStr">
        <is>
          <t>HALLSBERG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18582-2025</t>
        </is>
      </c>
      <c r="B1378" s="1" t="n">
        <v>45763</v>
      </c>
      <c r="C1378" s="1" t="n">
        <v>46132</v>
      </c>
      <c r="D1378" t="inlineStr">
        <is>
          <t>ÖREBRO LÄN</t>
        </is>
      </c>
      <c r="E1378" t="inlineStr">
        <is>
          <t>HÄLLEFORS</t>
        </is>
      </c>
      <c r="F1378" t="inlineStr">
        <is>
          <t>Bergvik skog väst AB</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28566-2025</t>
        </is>
      </c>
      <c r="B1379" s="1" t="n">
        <v>45819</v>
      </c>
      <c r="C1379" s="1" t="n">
        <v>46132</v>
      </c>
      <c r="D1379" t="inlineStr">
        <is>
          <t>ÖREBRO LÄN</t>
        </is>
      </c>
      <c r="E1379" t="inlineStr">
        <is>
          <t>LAXÅ</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31357-2025</t>
        </is>
      </c>
      <c r="B1380" s="1" t="n">
        <v>45832</v>
      </c>
      <c r="C1380" s="1" t="n">
        <v>46132</v>
      </c>
      <c r="D1380" t="inlineStr">
        <is>
          <t>ÖREBRO LÄN</t>
        </is>
      </c>
      <c r="E1380" t="inlineStr">
        <is>
          <t>LJUSNARSBERG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26176-2024</t>
        </is>
      </c>
      <c r="B1381" s="1" t="n">
        <v>45468.55660879629</v>
      </c>
      <c r="C1381" s="1" t="n">
        <v>46132</v>
      </c>
      <c r="D1381" t="inlineStr">
        <is>
          <t>ÖREBRO LÄN</t>
        </is>
      </c>
      <c r="E1381" t="inlineStr">
        <is>
          <t>DEGERFORS</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43578-2024</t>
        </is>
      </c>
      <c r="B1382" s="1" t="n">
        <v>45569.41788194444</v>
      </c>
      <c r="C1382" s="1" t="n">
        <v>46132</v>
      </c>
      <c r="D1382" t="inlineStr">
        <is>
          <t>ÖREBRO LÄN</t>
        </is>
      </c>
      <c r="E1382" t="inlineStr">
        <is>
          <t>ASKERSUND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29116-2024</t>
        </is>
      </c>
      <c r="B1383" s="1" t="n">
        <v>45481.97215277778</v>
      </c>
      <c r="C1383" s="1" t="n">
        <v>46132</v>
      </c>
      <c r="D1383" t="inlineStr">
        <is>
          <t>ÖREBRO LÄN</t>
        </is>
      </c>
      <c r="E1383" t="inlineStr">
        <is>
          <t>ASKERSUND</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29127-2024</t>
        </is>
      </c>
      <c r="B1384" s="1" t="n">
        <v>45481</v>
      </c>
      <c r="C1384" s="1" t="n">
        <v>46132</v>
      </c>
      <c r="D1384" t="inlineStr">
        <is>
          <t>ÖREBRO LÄN</t>
        </is>
      </c>
      <c r="E1384" t="inlineStr">
        <is>
          <t>ASKERSUND</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33081-2025</t>
        </is>
      </c>
      <c r="B1385" s="1" t="n">
        <v>45840</v>
      </c>
      <c r="C1385" s="1" t="n">
        <v>46132</v>
      </c>
      <c r="D1385" t="inlineStr">
        <is>
          <t>ÖREBRO LÄN</t>
        </is>
      </c>
      <c r="E1385" t="inlineStr">
        <is>
          <t>ASKERSUND</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28540-2024</t>
        </is>
      </c>
      <c r="B1386" s="1" t="n">
        <v>45478.34668981482</v>
      </c>
      <c r="C1386" s="1" t="n">
        <v>46132</v>
      </c>
      <c r="D1386" t="inlineStr">
        <is>
          <t>ÖREBRO LÄN</t>
        </is>
      </c>
      <c r="E1386" t="inlineStr">
        <is>
          <t>HALLSBERG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58091-2022</t>
        </is>
      </c>
      <c r="B1387" s="1" t="n">
        <v>44900</v>
      </c>
      <c r="C1387" s="1" t="n">
        <v>46132</v>
      </c>
      <c r="D1387" t="inlineStr">
        <is>
          <t>ÖREBRO LÄN</t>
        </is>
      </c>
      <c r="E1387" t="inlineStr">
        <is>
          <t>KARLSKOGA</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25843-2024</t>
        </is>
      </c>
      <c r="B1388" s="1" t="n">
        <v>45467.43387731481</v>
      </c>
      <c r="C1388" s="1" t="n">
        <v>46132</v>
      </c>
      <c r="D1388" t="inlineStr">
        <is>
          <t>ÖREBRO LÄN</t>
        </is>
      </c>
      <c r="E1388" t="inlineStr">
        <is>
          <t>LAXÅ</t>
        </is>
      </c>
      <c r="F1388" t="inlineStr">
        <is>
          <t>Sveaskog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53344-2024</t>
        </is>
      </c>
      <c r="B1389" s="1" t="n">
        <v>45614.44175925926</v>
      </c>
      <c r="C1389" s="1" t="n">
        <v>46132</v>
      </c>
      <c r="D1389" t="inlineStr">
        <is>
          <t>ÖREBRO LÄN</t>
        </is>
      </c>
      <c r="E1389" t="inlineStr">
        <is>
          <t>HÄLLEFORS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53892-2023</t>
        </is>
      </c>
      <c r="B1390" s="1" t="n">
        <v>45231</v>
      </c>
      <c r="C1390" s="1" t="n">
        <v>46132</v>
      </c>
      <c r="D1390" t="inlineStr">
        <is>
          <t>ÖREBRO LÄN</t>
        </is>
      </c>
      <c r="E1390" t="inlineStr">
        <is>
          <t>HÄLLEFORS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26338-2021</t>
        </is>
      </c>
      <c r="B1391" s="1" t="n">
        <v>44347</v>
      </c>
      <c r="C1391" s="1" t="n">
        <v>46132</v>
      </c>
      <c r="D1391" t="inlineStr">
        <is>
          <t>ÖREBRO LÄN</t>
        </is>
      </c>
      <c r="E1391" t="inlineStr">
        <is>
          <t>ÖREBRO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61090-2023</t>
        </is>
      </c>
      <c r="B1392" s="1" t="n">
        <v>45261.64101851852</v>
      </c>
      <c r="C1392" s="1" t="n">
        <v>46132</v>
      </c>
      <c r="D1392" t="inlineStr">
        <is>
          <t>ÖREBRO LÄN</t>
        </is>
      </c>
      <c r="E1392" t="inlineStr">
        <is>
          <t>LAXÅ</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1574-2025</t>
        </is>
      </c>
      <c r="B1393" s="1" t="n">
        <v>45670.55908564815</v>
      </c>
      <c r="C1393" s="1" t="n">
        <v>46132</v>
      </c>
      <c r="D1393" t="inlineStr">
        <is>
          <t>ÖREBRO LÄN</t>
        </is>
      </c>
      <c r="E1393" t="inlineStr">
        <is>
          <t>LEKEBERG</t>
        </is>
      </c>
      <c r="F1393" t="inlineStr">
        <is>
          <t>Allmännings- och besparingsskogar</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46603-2021</t>
        </is>
      </c>
      <c r="B1394" s="1" t="n">
        <v>44445</v>
      </c>
      <c r="C1394" s="1" t="n">
        <v>46132</v>
      </c>
      <c r="D1394" t="inlineStr">
        <is>
          <t>ÖREBRO LÄN</t>
        </is>
      </c>
      <c r="E1394" t="inlineStr">
        <is>
          <t>LINDESBERG</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39003-2025</t>
        </is>
      </c>
      <c r="B1395" s="1" t="n">
        <v>45888.34467592592</v>
      </c>
      <c r="C1395" s="1" t="n">
        <v>46132</v>
      </c>
      <c r="D1395" t="inlineStr">
        <is>
          <t>ÖREBRO LÄN</t>
        </is>
      </c>
      <c r="E1395" t="inlineStr">
        <is>
          <t>ÖREBRO</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15422-2022</t>
        </is>
      </c>
      <c r="B1396" s="1" t="n">
        <v>44659.63753472222</v>
      </c>
      <c r="C1396" s="1" t="n">
        <v>46132</v>
      </c>
      <c r="D1396" t="inlineStr">
        <is>
          <t>ÖREBRO LÄN</t>
        </is>
      </c>
      <c r="E1396" t="inlineStr">
        <is>
          <t>ÖREBRO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26320-2022</t>
        </is>
      </c>
      <c r="B1397" s="1" t="n">
        <v>44735.60184027778</v>
      </c>
      <c r="C1397" s="1" t="n">
        <v>46132</v>
      </c>
      <c r="D1397" t="inlineStr">
        <is>
          <t>ÖREBRO LÄN</t>
        </is>
      </c>
      <c r="E1397" t="inlineStr">
        <is>
          <t>NORA</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71266-2021</t>
        </is>
      </c>
      <c r="B1398" s="1" t="n">
        <v>44539</v>
      </c>
      <c r="C1398" s="1" t="n">
        <v>46132</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3735-2024</t>
        </is>
      </c>
      <c r="B1399" s="1" t="n">
        <v>45321</v>
      </c>
      <c r="C1399" s="1" t="n">
        <v>46132</v>
      </c>
      <c r="D1399" t="inlineStr">
        <is>
          <t>ÖREBRO LÄN</t>
        </is>
      </c>
      <c r="E1399" t="inlineStr">
        <is>
          <t>KARLSKOGA</t>
        </is>
      </c>
      <c r="F1399" t="inlineStr">
        <is>
          <t>Övriga Aktiebolag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71267-2021</t>
        </is>
      </c>
      <c r="B1400" s="1" t="n">
        <v>44539</v>
      </c>
      <c r="C1400" s="1" t="n">
        <v>46132</v>
      </c>
      <c r="D1400" t="inlineStr">
        <is>
          <t>ÖREBRO LÄN</t>
        </is>
      </c>
      <c r="E1400" t="inlineStr">
        <is>
          <t>ÖREBRO</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71280-2021</t>
        </is>
      </c>
      <c r="B1401" s="1" t="n">
        <v>44539</v>
      </c>
      <c r="C1401" s="1" t="n">
        <v>46132</v>
      </c>
      <c r="D1401" t="inlineStr">
        <is>
          <t>ÖREBRO LÄN</t>
        </is>
      </c>
      <c r="E1401" t="inlineStr">
        <is>
          <t>ÖREBRO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6902-2025</t>
        </is>
      </c>
      <c r="B1402" s="1" t="n">
        <v>45701</v>
      </c>
      <c r="C1402" s="1" t="n">
        <v>46132</v>
      </c>
      <c r="D1402" t="inlineStr">
        <is>
          <t>ÖREBRO LÄN</t>
        </is>
      </c>
      <c r="E1402" t="inlineStr">
        <is>
          <t>LAXÅ</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13418-2024</t>
        </is>
      </c>
      <c r="B1403" s="1" t="n">
        <v>45387.46482638889</v>
      </c>
      <c r="C1403" s="1" t="n">
        <v>46132</v>
      </c>
      <c r="D1403" t="inlineStr">
        <is>
          <t>ÖREBRO LÄN</t>
        </is>
      </c>
      <c r="E1403" t="inlineStr">
        <is>
          <t>ÖREBRO</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22564-2025</t>
        </is>
      </c>
      <c r="B1404" s="1" t="n">
        <v>45789.35614583334</v>
      </c>
      <c r="C1404" s="1" t="n">
        <v>46132</v>
      </c>
      <c r="D1404" t="inlineStr">
        <is>
          <t>ÖREBRO LÄN</t>
        </is>
      </c>
      <c r="E1404" t="inlineStr">
        <is>
          <t>LAXÅ</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27819-2025</t>
        </is>
      </c>
      <c r="B1405" s="1" t="n">
        <v>45817</v>
      </c>
      <c r="C1405" s="1" t="n">
        <v>46132</v>
      </c>
      <c r="D1405" t="inlineStr">
        <is>
          <t>ÖREBRO LÄN</t>
        </is>
      </c>
      <c r="E1405" t="inlineStr">
        <is>
          <t>ASKERSUND</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27835-2025</t>
        </is>
      </c>
      <c r="B1406" s="1" t="n">
        <v>45817.37068287037</v>
      </c>
      <c r="C1406" s="1" t="n">
        <v>46132</v>
      </c>
      <c r="D1406" t="inlineStr">
        <is>
          <t>ÖREBRO LÄN</t>
        </is>
      </c>
      <c r="E1406" t="inlineStr">
        <is>
          <t>ASKERSUND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53019-2021</t>
        </is>
      </c>
      <c r="B1407" s="1" t="n">
        <v>44467</v>
      </c>
      <c r="C1407" s="1" t="n">
        <v>46132</v>
      </c>
      <c r="D1407" t="inlineStr">
        <is>
          <t>ÖREBRO LÄN</t>
        </is>
      </c>
      <c r="E1407" t="inlineStr">
        <is>
          <t>ASKERSUND</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52401-2025</t>
        </is>
      </c>
      <c r="B1408" s="1" t="n">
        <v>45954.35075231481</v>
      </c>
      <c r="C1408" s="1" t="n">
        <v>46132</v>
      </c>
      <c r="D1408" t="inlineStr">
        <is>
          <t>ÖREBRO LÄN</t>
        </is>
      </c>
      <c r="E1408" t="inlineStr">
        <is>
          <t>LINDESBERG</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38722-2025</t>
        </is>
      </c>
      <c r="B1409" s="1" t="n">
        <v>45886</v>
      </c>
      <c r="C1409" s="1" t="n">
        <v>46132</v>
      </c>
      <c r="D1409" t="inlineStr">
        <is>
          <t>ÖREBRO LÄN</t>
        </is>
      </c>
      <c r="E1409" t="inlineStr">
        <is>
          <t>LAXÅ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9525-2025</t>
        </is>
      </c>
      <c r="B1410" s="1" t="n">
        <v>45715.56616898148</v>
      </c>
      <c r="C1410" s="1" t="n">
        <v>46132</v>
      </c>
      <c r="D1410" t="inlineStr">
        <is>
          <t>ÖREBRO LÄN</t>
        </is>
      </c>
      <c r="E1410" t="inlineStr">
        <is>
          <t>DEGERFORS</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41343-2021</t>
        </is>
      </c>
      <c r="B1411" s="1" t="n">
        <v>44424.61709490741</v>
      </c>
      <c r="C1411" s="1" t="n">
        <v>46132</v>
      </c>
      <c r="D1411" t="inlineStr">
        <is>
          <t>ÖREBRO LÄN</t>
        </is>
      </c>
      <c r="E1411" t="inlineStr">
        <is>
          <t>LINDESBERG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46323-2024</t>
        </is>
      </c>
      <c r="B1412" s="1" t="n">
        <v>45581.84538194445</v>
      </c>
      <c r="C1412" s="1" t="n">
        <v>46132</v>
      </c>
      <c r="D1412" t="inlineStr">
        <is>
          <t>ÖREBRO LÄN</t>
        </is>
      </c>
      <c r="E1412" t="inlineStr">
        <is>
          <t>ÖREBRO</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22719-2025</t>
        </is>
      </c>
      <c r="B1413" s="1" t="n">
        <v>45789</v>
      </c>
      <c r="C1413" s="1" t="n">
        <v>46132</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60357-2023</t>
        </is>
      </c>
      <c r="B1414" s="1" t="n">
        <v>45258</v>
      </c>
      <c r="C1414" s="1" t="n">
        <v>46132</v>
      </c>
      <c r="D1414" t="inlineStr">
        <is>
          <t>ÖREBRO LÄN</t>
        </is>
      </c>
      <c r="E1414" t="inlineStr">
        <is>
          <t>ASKERSUND</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9941-2025</t>
        </is>
      </c>
      <c r="B1415" s="1" t="n">
        <v>45718.83177083333</v>
      </c>
      <c r="C1415" s="1" t="n">
        <v>46132</v>
      </c>
      <c r="D1415" t="inlineStr">
        <is>
          <t>ÖREBRO LÄN</t>
        </is>
      </c>
      <c r="E1415" t="inlineStr">
        <is>
          <t>KARLSKOGA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14169-2025</t>
        </is>
      </c>
      <c r="B1416" s="1" t="n">
        <v>45740.51894675926</v>
      </c>
      <c r="C1416" s="1" t="n">
        <v>46132</v>
      </c>
      <c r="D1416" t="inlineStr">
        <is>
          <t>ÖREBRO LÄN</t>
        </is>
      </c>
      <c r="E1416" t="inlineStr">
        <is>
          <t>LEKEBERG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38824-2025</t>
        </is>
      </c>
      <c r="B1417" s="1" t="n">
        <v>45887</v>
      </c>
      <c r="C1417" s="1" t="n">
        <v>46132</v>
      </c>
      <c r="D1417" t="inlineStr">
        <is>
          <t>ÖREBRO LÄN</t>
        </is>
      </c>
      <c r="E1417" t="inlineStr">
        <is>
          <t>ASKERSUND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58935-2023</t>
        </is>
      </c>
      <c r="B1418" s="1" t="n">
        <v>45250</v>
      </c>
      <c r="C1418" s="1" t="n">
        <v>46132</v>
      </c>
      <c r="D1418" t="inlineStr">
        <is>
          <t>ÖREBRO LÄN</t>
        </is>
      </c>
      <c r="E1418" t="inlineStr">
        <is>
          <t>LEKEBERG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14734-2024</t>
        </is>
      </c>
      <c r="B1419" s="1" t="n">
        <v>45397.5890625</v>
      </c>
      <c r="C1419" s="1" t="n">
        <v>46132</v>
      </c>
      <c r="D1419" t="inlineStr">
        <is>
          <t>ÖREBRO LÄN</t>
        </is>
      </c>
      <c r="E1419" t="inlineStr">
        <is>
          <t>LEKEBERG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52449-2025</t>
        </is>
      </c>
      <c r="B1420" s="1" t="n">
        <v>45954.41862268518</v>
      </c>
      <c r="C1420" s="1" t="n">
        <v>46132</v>
      </c>
      <c r="D1420" t="inlineStr">
        <is>
          <t>ÖREBRO LÄN</t>
        </is>
      </c>
      <c r="E1420" t="inlineStr">
        <is>
          <t>HÄLLEFORS</t>
        </is>
      </c>
      <c r="F1420" t="inlineStr">
        <is>
          <t>Bergvik skog väst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23641-2024</t>
        </is>
      </c>
      <c r="B1421" s="1" t="n">
        <v>45454.49679398148</v>
      </c>
      <c r="C1421" s="1" t="n">
        <v>46132</v>
      </c>
      <c r="D1421" t="inlineStr">
        <is>
          <t>ÖREBRO LÄN</t>
        </is>
      </c>
      <c r="E1421" t="inlineStr">
        <is>
          <t>LINDESBERG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23245-2025</t>
        </is>
      </c>
      <c r="B1422" s="1" t="n">
        <v>45791.50862268519</v>
      </c>
      <c r="C1422" s="1" t="n">
        <v>46132</v>
      </c>
      <c r="D1422" t="inlineStr">
        <is>
          <t>ÖREBRO LÄN</t>
        </is>
      </c>
      <c r="E1422" t="inlineStr">
        <is>
          <t>LINDESBERG</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27728-2021</t>
        </is>
      </c>
      <c r="B1423" s="1" t="n">
        <v>44354.47241898148</v>
      </c>
      <c r="C1423" s="1" t="n">
        <v>46132</v>
      </c>
      <c r="D1423" t="inlineStr">
        <is>
          <t>ÖREBRO LÄN</t>
        </is>
      </c>
      <c r="E1423" t="inlineStr">
        <is>
          <t>KARLSKOGA</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30316-2024</t>
        </is>
      </c>
      <c r="B1424" s="1" t="n">
        <v>45490</v>
      </c>
      <c r="C1424" s="1" t="n">
        <v>46132</v>
      </c>
      <c r="D1424" t="inlineStr">
        <is>
          <t>ÖREBRO LÄN</t>
        </is>
      </c>
      <c r="E1424" t="inlineStr">
        <is>
          <t>ÖREBRO</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16441-2025</t>
        </is>
      </c>
      <c r="B1425" s="1" t="n">
        <v>45751.49979166667</v>
      </c>
      <c r="C1425" s="1" t="n">
        <v>46132</v>
      </c>
      <c r="D1425" t="inlineStr">
        <is>
          <t>ÖREBRO LÄN</t>
        </is>
      </c>
      <c r="E1425" t="inlineStr">
        <is>
          <t>HALLSBERG</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5263-2025</t>
        </is>
      </c>
      <c r="B1426" s="1" t="n">
        <v>45692.37509259259</v>
      </c>
      <c r="C1426" s="1" t="n">
        <v>46132</v>
      </c>
      <c r="D1426" t="inlineStr">
        <is>
          <t>ÖREBRO LÄN</t>
        </is>
      </c>
      <c r="E1426" t="inlineStr">
        <is>
          <t>HÄLLEFORS</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32319-2022</t>
        </is>
      </c>
      <c r="B1427" s="1" t="n">
        <v>44781</v>
      </c>
      <c r="C1427" s="1" t="n">
        <v>46132</v>
      </c>
      <c r="D1427" t="inlineStr">
        <is>
          <t>ÖREBRO LÄN</t>
        </is>
      </c>
      <c r="E1427" t="inlineStr">
        <is>
          <t>ASKERSUND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26916-2022</t>
        </is>
      </c>
      <c r="B1428" s="1" t="n">
        <v>44740</v>
      </c>
      <c r="C1428" s="1" t="n">
        <v>46132</v>
      </c>
      <c r="D1428" t="inlineStr">
        <is>
          <t>ÖREBRO LÄN</t>
        </is>
      </c>
      <c r="E1428" t="inlineStr">
        <is>
          <t>NORA</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24255-2024</t>
        </is>
      </c>
      <c r="B1429" s="1" t="n">
        <v>45457.39487268519</v>
      </c>
      <c r="C1429" s="1" t="n">
        <v>46132</v>
      </c>
      <c r="D1429" t="inlineStr">
        <is>
          <t>ÖREBRO LÄN</t>
        </is>
      </c>
      <c r="E1429" t="inlineStr">
        <is>
          <t>KARLSKOGA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23234-2025</t>
        </is>
      </c>
      <c r="B1430" s="1" t="n">
        <v>45791.49327546296</v>
      </c>
      <c r="C1430" s="1" t="n">
        <v>46132</v>
      </c>
      <c r="D1430" t="inlineStr">
        <is>
          <t>ÖREBRO LÄN</t>
        </is>
      </c>
      <c r="E1430" t="inlineStr">
        <is>
          <t>LAXÅ</t>
        </is>
      </c>
      <c r="F1430" t="inlineStr">
        <is>
          <t>Sveaskog</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5045-2025</t>
        </is>
      </c>
      <c r="B1431" s="1" t="n">
        <v>45691.44689814815</v>
      </c>
      <c r="C1431" s="1" t="n">
        <v>46132</v>
      </c>
      <c r="D1431" t="inlineStr">
        <is>
          <t>ÖREBRO LÄN</t>
        </is>
      </c>
      <c r="E1431" t="inlineStr">
        <is>
          <t>HÄLLEFORS</t>
        </is>
      </c>
      <c r="F1431" t="inlineStr">
        <is>
          <t>Bergvik skog väst AB</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29644-2025</t>
        </is>
      </c>
      <c r="B1432" s="1" t="n">
        <v>45825</v>
      </c>
      <c r="C1432" s="1" t="n">
        <v>46132</v>
      </c>
      <c r="D1432" t="inlineStr">
        <is>
          <t>ÖREBRO LÄN</t>
        </is>
      </c>
      <c r="E1432" t="inlineStr">
        <is>
          <t>LAXÅ</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38790-2024</t>
        </is>
      </c>
      <c r="B1433" s="1" t="n">
        <v>45547.48450231482</v>
      </c>
      <c r="C1433" s="1" t="n">
        <v>46132</v>
      </c>
      <c r="D1433" t="inlineStr">
        <is>
          <t>ÖREBRO LÄN</t>
        </is>
      </c>
      <c r="E1433" t="inlineStr">
        <is>
          <t>ÖREBRO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61279-2024</t>
        </is>
      </c>
      <c r="B1434" s="1" t="n">
        <v>45645</v>
      </c>
      <c r="C1434" s="1" t="n">
        <v>46132</v>
      </c>
      <c r="D1434" t="inlineStr">
        <is>
          <t>ÖREBRO LÄN</t>
        </is>
      </c>
      <c r="E1434" t="inlineStr">
        <is>
          <t>ÖREBRO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6779-2025</t>
        </is>
      </c>
      <c r="B1435" s="1" t="n">
        <v>45700.64820601852</v>
      </c>
      <c r="C1435" s="1" t="n">
        <v>46132</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58662-2022</t>
        </is>
      </c>
      <c r="B1436" s="1" t="n">
        <v>44902</v>
      </c>
      <c r="C1436" s="1" t="n">
        <v>46132</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1566-2025</t>
        </is>
      </c>
      <c r="B1437" s="1" t="n">
        <v>45670</v>
      </c>
      <c r="C1437" s="1" t="n">
        <v>46132</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36031-2024</t>
        </is>
      </c>
      <c r="B1438" s="1" t="n">
        <v>45533.58539351852</v>
      </c>
      <c r="C1438" s="1" t="n">
        <v>46132</v>
      </c>
      <c r="D1438" t="inlineStr">
        <is>
          <t>ÖREBRO LÄN</t>
        </is>
      </c>
      <c r="E1438" t="inlineStr">
        <is>
          <t>ASKERSUND</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30100-2024</t>
        </is>
      </c>
      <c r="B1439" s="1" t="n">
        <v>45489.4169212963</v>
      </c>
      <c r="C1439" s="1" t="n">
        <v>46132</v>
      </c>
      <c r="D1439" t="inlineStr">
        <is>
          <t>ÖREBRO LÄN</t>
        </is>
      </c>
      <c r="E1439" t="inlineStr">
        <is>
          <t>ASKERSUND</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71269-2021</t>
        </is>
      </c>
      <c r="B1440" s="1" t="n">
        <v>44539</v>
      </c>
      <c r="C1440" s="1" t="n">
        <v>46132</v>
      </c>
      <c r="D1440" t="inlineStr">
        <is>
          <t>ÖREBRO LÄN</t>
        </is>
      </c>
      <c r="E1440" t="inlineStr">
        <is>
          <t>ÖREBRO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6766-2025</t>
        </is>
      </c>
      <c r="B1441" s="1" t="n">
        <v>45700.63533564815</v>
      </c>
      <c r="C1441" s="1" t="n">
        <v>46132</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41595-2022</t>
        </is>
      </c>
      <c r="B1442" s="1" t="n">
        <v>44827.45902777778</v>
      </c>
      <c r="C1442" s="1" t="n">
        <v>46132</v>
      </c>
      <c r="D1442" t="inlineStr">
        <is>
          <t>ÖREBRO LÄN</t>
        </is>
      </c>
      <c r="E1442" t="inlineStr">
        <is>
          <t>HALLSBERG</t>
        </is>
      </c>
      <c r="F1442" t="inlineStr">
        <is>
          <t>Kommuner</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23238-2025</t>
        </is>
      </c>
      <c r="B1443" s="1" t="n">
        <v>45791.49697916667</v>
      </c>
      <c r="C1443" s="1" t="n">
        <v>46132</v>
      </c>
      <c r="D1443" t="inlineStr">
        <is>
          <t>ÖREBRO LÄN</t>
        </is>
      </c>
      <c r="E1443" t="inlineStr">
        <is>
          <t>LAXÅ</t>
        </is>
      </c>
      <c r="F1443" t="inlineStr">
        <is>
          <t>Sveaskog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23239-2025</t>
        </is>
      </c>
      <c r="B1444" s="1" t="n">
        <v>45791.49789351852</v>
      </c>
      <c r="C1444" s="1" t="n">
        <v>46132</v>
      </c>
      <c r="D1444" t="inlineStr">
        <is>
          <t>ÖREBRO LÄN</t>
        </is>
      </c>
      <c r="E1444" t="inlineStr">
        <is>
          <t>LAXÅ</t>
        </is>
      </c>
      <c r="F1444" t="inlineStr">
        <is>
          <t>Sveaskog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29522-2024</t>
        </is>
      </c>
      <c r="B1445" s="1" t="n">
        <v>45484.44842592593</v>
      </c>
      <c r="C1445" s="1" t="n">
        <v>46132</v>
      </c>
      <c r="D1445" t="inlineStr">
        <is>
          <t>ÖREBRO LÄN</t>
        </is>
      </c>
      <c r="E1445" t="inlineStr">
        <is>
          <t>ASKERSUND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30172-2023</t>
        </is>
      </c>
      <c r="B1446" s="1" t="n">
        <v>45110.5818287037</v>
      </c>
      <c r="C1446" s="1" t="n">
        <v>46132</v>
      </c>
      <c r="D1446" t="inlineStr">
        <is>
          <t>ÖREBRO LÄN</t>
        </is>
      </c>
      <c r="E1446" t="inlineStr">
        <is>
          <t>LJUSNARSBERG</t>
        </is>
      </c>
      <c r="F1446" t="inlineStr">
        <is>
          <t>Bergvik skog väst AB</t>
        </is>
      </c>
      <c r="G1446" t="n">
        <v>10.8</v>
      </c>
      <c r="H1446" t="n">
        <v>0</v>
      </c>
      <c r="I1446" t="n">
        <v>0</v>
      </c>
      <c r="J1446" t="n">
        <v>0</v>
      </c>
      <c r="K1446" t="n">
        <v>0</v>
      </c>
      <c r="L1446" t="n">
        <v>0</v>
      </c>
      <c r="M1446" t="n">
        <v>0</v>
      </c>
      <c r="N1446" t="n">
        <v>0</v>
      </c>
      <c r="O1446" t="n">
        <v>0</v>
      </c>
      <c r="P1446" t="n">
        <v>0</v>
      </c>
      <c r="Q1446" t="n">
        <v>0</v>
      </c>
      <c r="R1446" s="2" t="inlineStr"/>
    </row>
    <row r="1447" ht="15" customHeight="1">
      <c r="A1447" t="inlineStr">
        <is>
          <t>A 34926-2023</t>
        </is>
      </c>
      <c r="B1447" s="1" t="n">
        <v>45142.49333333333</v>
      </c>
      <c r="C1447" s="1" t="n">
        <v>46132</v>
      </c>
      <c r="D1447" t="inlineStr">
        <is>
          <t>ÖREBRO LÄN</t>
        </is>
      </c>
      <c r="E1447" t="inlineStr">
        <is>
          <t>LJUSNARSBERG</t>
        </is>
      </c>
      <c r="F1447" t="inlineStr">
        <is>
          <t>Bergvik skog väst AB</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39446-2025</t>
        </is>
      </c>
      <c r="B1448" s="1" t="n">
        <v>45889.70388888889</v>
      </c>
      <c r="C1448" s="1" t="n">
        <v>46132</v>
      </c>
      <c r="D1448" t="inlineStr">
        <is>
          <t>ÖREBRO LÄN</t>
        </is>
      </c>
      <c r="E1448" t="inlineStr">
        <is>
          <t>ÖREBRO</t>
        </is>
      </c>
      <c r="F1448" t="inlineStr">
        <is>
          <t>Kyrkan</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39479-2025</t>
        </is>
      </c>
      <c r="B1449" s="1" t="n">
        <v>45890.34752314815</v>
      </c>
      <c r="C1449" s="1" t="n">
        <v>46132</v>
      </c>
      <c r="D1449" t="inlineStr">
        <is>
          <t>ÖREBRO LÄN</t>
        </is>
      </c>
      <c r="E1449" t="inlineStr">
        <is>
          <t>ÖREBRO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15555-2025</t>
        </is>
      </c>
      <c r="B1450" s="1" t="n">
        <v>45747.67768518518</v>
      </c>
      <c r="C1450" s="1" t="n">
        <v>46132</v>
      </c>
      <c r="D1450" t="inlineStr">
        <is>
          <t>ÖREBRO LÄN</t>
        </is>
      </c>
      <c r="E1450" t="inlineStr">
        <is>
          <t>ÖREBRO</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39424-2025</t>
        </is>
      </c>
      <c r="B1451" s="1" t="n">
        <v>45889.67290509259</v>
      </c>
      <c r="C1451" s="1" t="n">
        <v>46132</v>
      </c>
      <c r="D1451" t="inlineStr">
        <is>
          <t>ÖREBRO LÄN</t>
        </is>
      </c>
      <c r="E1451" t="inlineStr">
        <is>
          <t>LINDESBERG</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39429-2025</t>
        </is>
      </c>
      <c r="B1452" s="1" t="n">
        <v>45889.67577546297</v>
      </c>
      <c r="C1452" s="1" t="n">
        <v>46132</v>
      </c>
      <c r="D1452" t="inlineStr">
        <is>
          <t>ÖREBRO LÄN</t>
        </is>
      </c>
      <c r="E1452" t="inlineStr">
        <is>
          <t>LINDESBERG</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44780-2024</t>
        </is>
      </c>
      <c r="B1453" s="1" t="n">
        <v>45574</v>
      </c>
      <c r="C1453" s="1" t="n">
        <v>46132</v>
      </c>
      <c r="D1453" t="inlineStr">
        <is>
          <t>ÖREBRO LÄN</t>
        </is>
      </c>
      <c r="E1453" t="inlineStr">
        <is>
          <t>LJUSNARSBERG</t>
        </is>
      </c>
      <c r="F1453" t="inlineStr">
        <is>
          <t>Bergvik skog väst AB</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33259-2023</t>
        </is>
      </c>
      <c r="B1454" s="1" t="n">
        <v>45127.56025462963</v>
      </c>
      <c r="C1454" s="1" t="n">
        <v>46132</v>
      </c>
      <c r="D1454" t="inlineStr">
        <is>
          <t>ÖREBRO LÄN</t>
        </is>
      </c>
      <c r="E1454" t="inlineStr">
        <is>
          <t>LEKEBERG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28564-2024</t>
        </is>
      </c>
      <c r="B1455" s="1" t="n">
        <v>45478.38640046296</v>
      </c>
      <c r="C1455" s="1" t="n">
        <v>46132</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23224-2025</t>
        </is>
      </c>
      <c r="B1456" s="1" t="n">
        <v>45791.48628472222</v>
      </c>
      <c r="C1456" s="1" t="n">
        <v>46132</v>
      </c>
      <c r="D1456" t="inlineStr">
        <is>
          <t>ÖREBRO LÄN</t>
        </is>
      </c>
      <c r="E1456" t="inlineStr">
        <is>
          <t>LAXÅ</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42707-2023</t>
        </is>
      </c>
      <c r="B1457" s="1" t="n">
        <v>45181</v>
      </c>
      <c r="C1457" s="1" t="n">
        <v>46132</v>
      </c>
      <c r="D1457" t="inlineStr">
        <is>
          <t>ÖREBRO LÄN</t>
        </is>
      </c>
      <c r="E1457" t="inlineStr">
        <is>
          <t>LINDESBERG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21935-2024</t>
        </is>
      </c>
      <c r="B1458" s="1" t="n">
        <v>45443.47237268519</v>
      </c>
      <c r="C1458" s="1" t="n">
        <v>46132</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18503-2025</t>
        </is>
      </c>
      <c r="B1459" s="1" t="n">
        <v>45763.37480324074</v>
      </c>
      <c r="C1459" s="1" t="n">
        <v>46132</v>
      </c>
      <c r="D1459" t="inlineStr">
        <is>
          <t>ÖREBRO LÄN</t>
        </is>
      </c>
      <c r="E1459" t="inlineStr">
        <is>
          <t>HÄLLEFORS</t>
        </is>
      </c>
      <c r="F1459" t="inlineStr">
        <is>
          <t>Bergvik skog väst AB</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44976-2021</t>
        </is>
      </c>
      <c r="B1460" s="1" t="n">
        <v>44438</v>
      </c>
      <c r="C1460" s="1" t="n">
        <v>46132</v>
      </c>
      <c r="D1460" t="inlineStr">
        <is>
          <t>ÖREBRO LÄN</t>
        </is>
      </c>
      <c r="E1460" t="inlineStr">
        <is>
          <t>ASKERSUND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39421-2025</t>
        </is>
      </c>
      <c r="B1461" s="1" t="n">
        <v>45889.66935185185</v>
      </c>
      <c r="C1461" s="1" t="n">
        <v>46132</v>
      </c>
      <c r="D1461" t="inlineStr">
        <is>
          <t>ÖREBRO LÄN</t>
        </is>
      </c>
      <c r="E1461" t="inlineStr">
        <is>
          <t>LINDESBERG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25177-2024</t>
        </is>
      </c>
      <c r="B1462" s="1" t="n">
        <v>45462.546875</v>
      </c>
      <c r="C1462" s="1" t="n">
        <v>46132</v>
      </c>
      <c r="D1462" t="inlineStr">
        <is>
          <t>ÖREBRO LÄN</t>
        </is>
      </c>
      <c r="E1462" t="inlineStr">
        <is>
          <t>DEGERFORS</t>
        </is>
      </c>
      <c r="F1462" t="inlineStr">
        <is>
          <t>Sveaskog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39234-2025</t>
        </is>
      </c>
      <c r="B1463" s="1" t="n">
        <v>45889.33067129629</v>
      </c>
      <c r="C1463" s="1" t="n">
        <v>46132</v>
      </c>
      <c r="D1463" t="inlineStr">
        <is>
          <t>ÖREBRO LÄN</t>
        </is>
      </c>
      <c r="E1463" t="inlineStr">
        <is>
          <t>LJUSNARSBERG</t>
        </is>
      </c>
      <c r="F1463" t="inlineStr">
        <is>
          <t>Bergvik skog väst AB</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59641-2024</t>
        </is>
      </c>
      <c r="B1464" s="1" t="n">
        <v>45639.30934027778</v>
      </c>
      <c r="C1464" s="1" t="n">
        <v>46132</v>
      </c>
      <c r="D1464" t="inlineStr">
        <is>
          <t>ÖREBRO LÄN</t>
        </is>
      </c>
      <c r="E1464" t="inlineStr">
        <is>
          <t>LINDESBERG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39690-2025</t>
        </is>
      </c>
      <c r="B1465" s="1" t="n">
        <v>45890.67743055556</v>
      </c>
      <c r="C1465" s="1" t="n">
        <v>46132</v>
      </c>
      <c r="D1465" t="inlineStr">
        <is>
          <t>ÖREBRO LÄN</t>
        </is>
      </c>
      <c r="E1465" t="inlineStr">
        <is>
          <t>ASKERSUND</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38798-2021</t>
        </is>
      </c>
      <c r="B1466" s="1" t="n">
        <v>44410</v>
      </c>
      <c r="C1466" s="1" t="n">
        <v>46132</v>
      </c>
      <c r="D1466" t="inlineStr">
        <is>
          <t>ÖREBRO LÄN</t>
        </is>
      </c>
      <c r="E1466" t="inlineStr">
        <is>
          <t>NORA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57367-2021</t>
        </is>
      </c>
      <c r="B1467" s="1" t="n">
        <v>44483</v>
      </c>
      <c r="C1467" s="1" t="n">
        <v>46132</v>
      </c>
      <c r="D1467" t="inlineStr">
        <is>
          <t>ÖREBRO LÄN</t>
        </is>
      </c>
      <c r="E1467" t="inlineStr">
        <is>
          <t>LAXÅ</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37027-2022</t>
        </is>
      </c>
      <c r="B1468" s="1" t="n">
        <v>44806</v>
      </c>
      <c r="C1468" s="1" t="n">
        <v>46132</v>
      </c>
      <c r="D1468" t="inlineStr">
        <is>
          <t>ÖREBRO LÄN</t>
        </is>
      </c>
      <c r="E1468" t="inlineStr">
        <is>
          <t>HÄLLEFORS</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1662-2024</t>
        </is>
      </c>
      <c r="B1469" s="1" t="n">
        <v>45306</v>
      </c>
      <c r="C1469" s="1" t="n">
        <v>46132</v>
      </c>
      <c r="D1469" t="inlineStr">
        <is>
          <t>ÖREBRO LÄN</t>
        </is>
      </c>
      <c r="E1469" t="inlineStr">
        <is>
          <t>LAXÅ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28032-2023</t>
        </is>
      </c>
      <c r="B1470" s="1" t="n">
        <v>45099</v>
      </c>
      <c r="C1470" s="1" t="n">
        <v>46132</v>
      </c>
      <c r="D1470" t="inlineStr">
        <is>
          <t>ÖREBRO LÄN</t>
        </is>
      </c>
      <c r="E1470" t="inlineStr">
        <is>
          <t>LINDESBERG</t>
        </is>
      </c>
      <c r="F1470" t="inlineStr">
        <is>
          <t>Kyrkan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39673-2025</t>
        </is>
      </c>
      <c r="B1471" s="1" t="n">
        <v>45890.64559027777</v>
      </c>
      <c r="C1471" s="1" t="n">
        <v>46132</v>
      </c>
      <c r="D1471" t="inlineStr">
        <is>
          <t>ÖREBRO LÄN</t>
        </is>
      </c>
      <c r="E1471" t="inlineStr">
        <is>
          <t>KARLSKOGA</t>
        </is>
      </c>
      <c r="F1471" t="inlineStr">
        <is>
          <t>Kyrkan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41762-2021</t>
        </is>
      </c>
      <c r="B1472" s="1" t="n">
        <v>44425.63494212963</v>
      </c>
      <c r="C1472" s="1" t="n">
        <v>46132</v>
      </c>
      <c r="D1472" t="inlineStr">
        <is>
          <t>ÖREBRO LÄN</t>
        </is>
      </c>
      <c r="E1472" t="inlineStr">
        <is>
          <t>ASKERSUND</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60081-2023</t>
        </is>
      </c>
      <c r="B1473" s="1" t="n">
        <v>45258</v>
      </c>
      <c r="C1473" s="1" t="n">
        <v>46132</v>
      </c>
      <c r="D1473" t="inlineStr">
        <is>
          <t>ÖREBRO LÄN</t>
        </is>
      </c>
      <c r="E1473" t="inlineStr">
        <is>
          <t>HALLSBERG</t>
        </is>
      </c>
      <c r="F1473" t="inlineStr">
        <is>
          <t>Sveaskog</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32937-2024</t>
        </is>
      </c>
      <c r="B1474" s="1" t="n">
        <v>45517.32866898148</v>
      </c>
      <c r="C1474" s="1" t="n">
        <v>46132</v>
      </c>
      <c r="D1474" t="inlineStr">
        <is>
          <t>ÖREBRO LÄN</t>
        </is>
      </c>
      <c r="E1474" t="inlineStr">
        <is>
          <t>HÄLLEFORS</t>
        </is>
      </c>
      <c r="F1474" t="inlineStr">
        <is>
          <t>Bergvik skog väst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52298-2025</t>
        </is>
      </c>
      <c r="B1475" s="1" t="n">
        <v>45953.61387731481</v>
      </c>
      <c r="C1475" s="1" t="n">
        <v>46132</v>
      </c>
      <c r="D1475" t="inlineStr">
        <is>
          <t>ÖREBRO LÄN</t>
        </is>
      </c>
      <c r="E1475" t="inlineStr">
        <is>
          <t>LINDESBERG</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4067-2024</t>
        </is>
      </c>
      <c r="B1476" s="1" t="n">
        <v>45323</v>
      </c>
      <c r="C1476" s="1" t="n">
        <v>46132</v>
      </c>
      <c r="D1476" t="inlineStr">
        <is>
          <t>ÖREBRO LÄN</t>
        </is>
      </c>
      <c r="E1476" t="inlineStr">
        <is>
          <t>LINDESBERG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39513-2025</t>
        </is>
      </c>
      <c r="B1477" s="1" t="n">
        <v>45890.41581018519</v>
      </c>
      <c r="C1477" s="1" t="n">
        <v>46132</v>
      </c>
      <c r="D1477" t="inlineStr">
        <is>
          <t>ÖREBRO LÄN</t>
        </is>
      </c>
      <c r="E1477" t="inlineStr">
        <is>
          <t>NORA</t>
        </is>
      </c>
      <c r="F1477" t="inlineStr">
        <is>
          <t>Kommuner</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39514-2025</t>
        </is>
      </c>
      <c r="B1478" s="1" t="n">
        <v>45890.41994212963</v>
      </c>
      <c r="C1478" s="1" t="n">
        <v>46132</v>
      </c>
      <c r="D1478" t="inlineStr">
        <is>
          <t>ÖREBRO LÄN</t>
        </is>
      </c>
      <c r="E1478" t="inlineStr">
        <is>
          <t>LJUSNARSBERG</t>
        </is>
      </c>
      <c r="F1478" t="inlineStr">
        <is>
          <t>Bergvik skog väst AB</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5136-2024</t>
        </is>
      </c>
      <c r="B1479" s="1" t="n">
        <v>45330</v>
      </c>
      <c r="C1479" s="1" t="n">
        <v>46132</v>
      </c>
      <c r="D1479" t="inlineStr">
        <is>
          <t>ÖREBRO LÄN</t>
        </is>
      </c>
      <c r="E1479" t="inlineStr">
        <is>
          <t>ÖREBRO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17779-2024</t>
        </is>
      </c>
      <c r="B1480" s="1" t="n">
        <v>45418.66800925926</v>
      </c>
      <c r="C1480" s="1" t="n">
        <v>46132</v>
      </c>
      <c r="D1480" t="inlineStr">
        <is>
          <t>ÖREBRO LÄN</t>
        </is>
      </c>
      <c r="E1480" t="inlineStr">
        <is>
          <t>LINDESBERG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3675-2023</t>
        </is>
      </c>
      <c r="B1481" s="1" t="n">
        <v>44950</v>
      </c>
      <c r="C1481" s="1" t="n">
        <v>46132</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3680-2023</t>
        </is>
      </c>
      <c r="B1482" s="1" t="n">
        <v>44950.90216435185</v>
      </c>
      <c r="C1482" s="1" t="n">
        <v>46132</v>
      </c>
      <c r="D1482" t="inlineStr">
        <is>
          <t>ÖREBRO LÄN</t>
        </is>
      </c>
      <c r="E1482" t="inlineStr">
        <is>
          <t>ASKERSUND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48644-2024</t>
        </is>
      </c>
      <c r="B1483" s="1" t="n">
        <v>45593.47466435185</v>
      </c>
      <c r="C1483" s="1" t="n">
        <v>46132</v>
      </c>
      <c r="D1483" t="inlineStr">
        <is>
          <t>ÖREBRO LÄN</t>
        </is>
      </c>
      <c r="E1483" t="inlineStr">
        <is>
          <t>ÖREBRO</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64172-2023</t>
        </is>
      </c>
      <c r="B1484" s="1" t="n">
        <v>45279</v>
      </c>
      <c r="C1484" s="1" t="n">
        <v>46132</v>
      </c>
      <c r="D1484" t="inlineStr">
        <is>
          <t>ÖREBRO LÄN</t>
        </is>
      </c>
      <c r="E1484" t="inlineStr">
        <is>
          <t>HALLSBERG</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53035-2022</t>
        </is>
      </c>
      <c r="B1485" s="1" t="n">
        <v>44876.30667824074</v>
      </c>
      <c r="C1485" s="1" t="n">
        <v>46132</v>
      </c>
      <c r="D1485" t="inlineStr">
        <is>
          <t>ÖREBRO LÄN</t>
        </is>
      </c>
      <c r="E1485" t="inlineStr">
        <is>
          <t>HÄLLEFORS</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23233-2025</t>
        </is>
      </c>
      <c r="B1486" s="1" t="n">
        <v>45791</v>
      </c>
      <c r="C1486" s="1" t="n">
        <v>46132</v>
      </c>
      <c r="D1486" t="inlineStr">
        <is>
          <t>ÖREBRO LÄN</t>
        </is>
      </c>
      <c r="E1486" t="inlineStr">
        <is>
          <t>ASKERSUND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23308-2025</t>
        </is>
      </c>
      <c r="B1487" s="1" t="n">
        <v>45791.6047800926</v>
      </c>
      <c r="C1487" s="1" t="n">
        <v>46132</v>
      </c>
      <c r="D1487" t="inlineStr">
        <is>
          <t>ÖREBRO LÄN</t>
        </is>
      </c>
      <c r="E1487" t="inlineStr">
        <is>
          <t>KARLSKOGA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55727-2024</t>
        </is>
      </c>
      <c r="B1488" s="1" t="n">
        <v>45622.90070601852</v>
      </c>
      <c r="C1488" s="1" t="n">
        <v>46132</v>
      </c>
      <c r="D1488" t="inlineStr">
        <is>
          <t>ÖREBRO LÄN</t>
        </is>
      </c>
      <c r="E1488" t="inlineStr">
        <is>
          <t>LEKEBERG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54393-2024</t>
        </is>
      </c>
      <c r="B1489" s="1" t="n">
        <v>45617.45731481481</v>
      </c>
      <c r="C1489" s="1" t="n">
        <v>46132</v>
      </c>
      <c r="D1489" t="inlineStr">
        <is>
          <t>ÖREBRO LÄN</t>
        </is>
      </c>
      <c r="E1489" t="inlineStr">
        <is>
          <t>ASKERSUND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39926-2025</t>
        </is>
      </c>
      <c r="B1490" s="1" t="n">
        <v>45891.68451388889</v>
      </c>
      <c r="C1490" s="1" t="n">
        <v>46132</v>
      </c>
      <c r="D1490" t="inlineStr">
        <is>
          <t>ÖREBRO LÄN</t>
        </is>
      </c>
      <c r="E1490" t="inlineStr">
        <is>
          <t>HÄLLEFORS</t>
        </is>
      </c>
      <c r="F1490" t="inlineStr">
        <is>
          <t>Bergvik skog väst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48581-2024</t>
        </is>
      </c>
      <c r="B1491" s="1" t="n">
        <v>45593.41642361111</v>
      </c>
      <c r="C1491" s="1" t="n">
        <v>46132</v>
      </c>
      <c r="D1491" t="inlineStr">
        <is>
          <t>ÖREBRO LÄN</t>
        </is>
      </c>
      <c r="E1491" t="inlineStr">
        <is>
          <t>ÖREBRO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48458-2021</t>
        </is>
      </c>
      <c r="B1492" s="1" t="n">
        <v>44452</v>
      </c>
      <c r="C1492" s="1" t="n">
        <v>46132</v>
      </c>
      <c r="D1492" t="inlineStr">
        <is>
          <t>ÖREBRO LÄN</t>
        </is>
      </c>
      <c r="E1492" t="inlineStr">
        <is>
          <t>ASKERSUND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54604-2024</t>
        </is>
      </c>
      <c r="B1493" s="1" t="n">
        <v>45617.683125</v>
      </c>
      <c r="C1493" s="1" t="n">
        <v>46132</v>
      </c>
      <c r="D1493" t="inlineStr">
        <is>
          <t>ÖREBRO LÄN</t>
        </is>
      </c>
      <c r="E1493" t="inlineStr">
        <is>
          <t>NORA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50863-2024</t>
        </is>
      </c>
      <c r="B1494" s="1" t="n">
        <v>45602.63560185185</v>
      </c>
      <c r="C1494" s="1" t="n">
        <v>46132</v>
      </c>
      <c r="D1494" t="inlineStr">
        <is>
          <t>ÖREBRO LÄN</t>
        </is>
      </c>
      <c r="E1494" t="inlineStr">
        <is>
          <t>KARLSKOGA</t>
        </is>
      </c>
      <c r="F1494" t="inlineStr">
        <is>
          <t>Kyrkan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24389-2024</t>
        </is>
      </c>
      <c r="B1495" s="1" t="n">
        <v>45457.63585648148</v>
      </c>
      <c r="C1495" s="1" t="n">
        <v>46132</v>
      </c>
      <c r="D1495" t="inlineStr">
        <is>
          <t>ÖREBRO LÄN</t>
        </is>
      </c>
      <c r="E1495" t="inlineStr">
        <is>
          <t>NORA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31265-2024</t>
        </is>
      </c>
      <c r="B1496" s="1" t="n">
        <v>45503.97861111111</v>
      </c>
      <c r="C1496" s="1" t="n">
        <v>46132</v>
      </c>
      <c r="D1496" t="inlineStr">
        <is>
          <t>ÖREBRO LÄN</t>
        </is>
      </c>
      <c r="E1496" t="inlineStr">
        <is>
          <t>ASKERSUND</t>
        </is>
      </c>
      <c r="G1496" t="n">
        <v>15.5</v>
      </c>
      <c r="H1496" t="n">
        <v>0</v>
      </c>
      <c r="I1496" t="n">
        <v>0</v>
      </c>
      <c r="J1496" t="n">
        <v>0</v>
      </c>
      <c r="K1496" t="n">
        <v>0</v>
      </c>
      <c r="L1496" t="n">
        <v>0</v>
      </c>
      <c r="M1496" t="n">
        <v>0</v>
      </c>
      <c r="N1496" t="n">
        <v>0</v>
      </c>
      <c r="O1496" t="n">
        <v>0</v>
      </c>
      <c r="P1496" t="n">
        <v>0</v>
      </c>
      <c r="Q1496" t="n">
        <v>0</v>
      </c>
      <c r="R1496" s="2" t="inlineStr"/>
    </row>
    <row r="1497" ht="15" customHeight="1">
      <c r="A1497" t="inlineStr">
        <is>
          <t>A 40063-2025</t>
        </is>
      </c>
      <c r="B1497" s="1" t="n">
        <v>45894.4325</v>
      </c>
      <c r="C1497" s="1" t="n">
        <v>46132</v>
      </c>
      <c r="D1497" t="inlineStr">
        <is>
          <t>ÖREBRO LÄN</t>
        </is>
      </c>
      <c r="E1497" t="inlineStr">
        <is>
          <t>HALLSBERG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52377-2025</t>
        </is>
      </c>
      <c r="B1498" s="1" t="n">
        <v>45953.94622685185</v>
      </c>
      <c r="C1498" s="1" t="n">
        <v>46132</v>
      </c>
      <c r="D1498" t="inlineStr">
        <is>
          <t>ÖREBRO LÄN</t>
        </is>
      </c>
      <c r="E1498" t="inlineStr">
        <is>
          <t>KARLSKOGA</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5313-2024</t>
        </is>
      </c>
      <c r="B1499" s="1" t="n">
        <v>45331.39503472222</v>
      </c>
      <c r="C1499" s="1" t="n">
        <v>46132</v>
      </c>
      <c r="D1499" t="inlineStr">
        <is>
          <t>ÖREBRO LÄN</t>
        </is>
      </c>
      <c r="E1499" t="inlineStr">
        <is>
          <t>LEKEBERG</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4380-2025</t>
        </is>
      </c>
      <c r="B1500" s="1" t="n">
        <v>45686.3959375</v>
      </c>
      <c r="C1500" s="1" t="n">
        <v>46132</v>
      </c>
      <c r="D1500" t="inlineStr">
        <is>
          <t>ÖREBRO LÄN</t>
        </is>
      </c>
      <c r="E1500" t="inlineStr">
        <is>
          <t>ÖREBRO</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21202-2024</t>
        </is>
      </c>
      <c r="B1501" s="1" t="n">
        <v>45440.5433912037</v>
      </c>
      <c r="C1501" s="1" t="n">
        <v>46132</v>
      </c>
      <c r="D1501" t="inlineStr">
        <is>
          <t>ÖREBRO LÄN</t>
        </is>
      </c>
      <c r="E1501" t="inlineStr">
        <is>
          <t>LINDESBERG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53247-2024</t>
        </is>
      </c>
      <c r="B1502" s="1" t="n">
        <v>45614.06451388889</v>
      </c>
      <c r="C1502" s="1" t="n">
        <v>46132</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1400-2025</t>
        </is>
      </c>
      <c r="B1503" s="1" t="n">
        <v>45667</v>
      </c>
      <c r="C1503" s="1" t="n">
        <v>46132</v>
      </c>
      <c r="D1503" t="inlineStr">
        <is>
          <t>ÖREBRO LÄN</t>
        </is>
      </c>
      <c r="E1503" t="inlineStr">
        <is>
          <t>LINDESBERG</t>
        </is>
      </c>
      <c r="F1503" t="inlineStr">
        <is>
          <t>Allmännings- och besparingsskogar</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60306-2024</t>
        </is>
      </c>
      <c r="B1504" s="1" t="n">
        <v>45643.34040509259</v>
      </c>
      <c r="C1504" s="1" t="n">
        <v>46132</v>
      </c>
      <c r="D1504" t="inlineStr">
        <is>
          <t>ÖREBRO LÄN</t>
        </is>
      </c>
      <c r="E1504" t="inlineStr">
        <is>
          <t>HÄLLEFORS</t>
        </is>
      </c>
      <c r="F1504" t="inlineStr">
        <is>
          <t>Bergvik skog väst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17815-2025</t>
        </is>
      </c>
      <c r="B1505" s="1" t="n">
        <v>45758.56148148148</v>
      </c>
      <c r="C1505" s="1" t="n">
        <v>46132</v>
      </c>
      <c r="D1505" t="inlineStr">
        <is>
          <t>ÖREBRO LÄN</t>
        </is>
      </c>
      <c r="E1505" t="inlineStr">
        <is>
          <t>KARLSKOGA</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28415-2025</t>
        </is>
      </c>
      <c r="B1506" s="1" t="n">
        <v>45819.35181712963</v>
      </c>
      <c r="C1506" s="1" t="n">
        <v>46132</v>
      </c>
      <c r="D1506" t="inlineStr">
        <is>
          <t>ÖREBRO LÄN</t>
        </is>
      </c>
      <c r="E1506" t="inlineStr">
        <is>
          <t>LAXÅ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47047-2022</t>
        </is>
      </c>
      <c r="B1507" s="1" t="n">
        <v>44852.39063657408</v>
      </c>
      <c r="C1507" s="1" t="n">
        <v>46132</v>
      </c>
      <c r="D1507" t="inlineStr">
        <is>
          <t>ÖREBRO LÄN</t>
        </is>
      </c>
      <c r="E1507" t="inlineStr">
        <is>
          <t>ÖREBRO</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27814-2025</t>
        </is>
      </c>
      <c r="B1508" s="1" t="n">
        <v>45817.32715277778</v>
      </c>
      <c r="C1508" s="1" t="n">
        <v>46132</v>
      </c>
      <c r="D1508" t="inlineStr">
        <is>
          <t>ÖREBRO LÄN</t>
        </is>
      </c>
      <c r="E1508" t="inlineStr">
        <is>
          <t>ASKERSUND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23835-2025</t>
        </is>
      </c>
      <c r="B1509" s="1" t="n">
        <v>45793.61047453704</v>
      </c>
      <c r="C1509" s="1" t="n">
        <v>46132</v>
      </c>
      <c r="D1509" t="inlineStr">
        <is>
          <t>ÖREBRO LÄN</t>
        </is>
      </c>
      <c r="E1509" t="inlineStr">
        <is>
          <t>LINDESBERG</t>
        </is>
      </c>
      <c r="F1509" t="inlineStr">
        <is>
          <t>Sveaskog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17098-2025</t>
        </is>
      </c>
      <c r="B1510" s="1" t="n">
        <v>45755.65709490741</v>
      </c>
      <c r="C1510" s="1" t="n">
        <v>46132</v>
      </c>
      <c r="D1510" t="inlineStr">
        <is>
          <t>ÖREBRO LÄN</t>
        </is>
      </c>
      <c r="E1510" t="inlineStr">
        <is>
          <t>HÄLLEFORS</t>
        </is>
      </c>
      <c r="F1510" t="inlineStr">
        <is>
          <t>Bergvik skog väst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40442-2024</t>
        </is>
      </c>
      <c r="B1511" s="1" t="n">
        <v>45555.48539351852</v>
      </c>
      <c r="C1511" s="1" t="n">
        <v>46132</v>
      </c>
      <c r="D1511" t="inlineStr">
        <is>
          <t>ÖREBRO LÄN</t>
        </is>
      </c>
      <c r="E1511" t="inlineStr">
        <is>
          <t>LJUSNARSBERG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40067-2025</t>
        </is>
      </c>
      <c r="B1512" s="1" t="n">
        <v>45894.43824074074</v>
      </c>
      <c r="C1512" s="1" t="n">
        <v>46132</v>
      </c>
      <c r="D1512" t="inlineStr">
        <is>
          <t>ÖREBRO LÄN</t>
        </is>
      </c>
      <c r="E1512" t="inlineStr">
        <is>
          <t>HALLSBERG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39852-2025</t>
        </is>
      </c>
      <c r="B1513" s="1" t="n">
        <v>45891.58693287037</v>
      </c>
      <c r="C1513" s="1" t="n">
        <v>46132</v>
      </c>
      <c r="D1513" t="inlineStr">
        <is>
          <t>ÖREBRO LÄN</t>
        </is>
      </c>
      <c r="E1513" t="inlineStr">
        <is>
          <t>LAXÅ</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24017-2025</t>
        </is>
      </c>
      <c r="B1514" s="1" t="n">
        <v>45796.44885416667</v>
      </c>
      <c r="C1514" s="1" t="n">
        <v>46132</v>
      </c>
      <c r="D1514" t="inlineStr">
        <is>
          <t>ÖREBRO LÄN</t>
        </is>
      </c>
      <c r="E1514" t="inlineStr">
        <is>
          <t>LINDESBERG</t>
        </is>
      </c>
      <c r="F1514" t="inlineStr">
        <is>
          <t>Sveaskog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39908-2025</t>
        </is>
      </c>
      <c r="B1515" s="1" t="n">
        <v>45891</v>
      </c>
      <c r="C1515" s="1" t="n">
        <v>46132</v>
      </c>
      <c r="D1515" t="inlineStr">
        <is>
          <t>ÖREBRO LÄN</t>
        </is>
      </c>
      <c r="E1515" t="inlineStr">
        <is>
          <t>ASKERSUND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39920-2025</t>
        </is>
      </c>
      <c r="B1516" s="1" t="n">
        <v>45891.66709490741</v>
      </c>
      <c r="C1516" s="1" t="n">
        <v>46132</v>
      </c>
      <c r="D1516" t="inlineStr">
        <is>
          <t>ÖREBRO LÄN</t>
        </is>
      </c>
      <c r="E1516" t="inlineStr">
        <is>
          <t>HALLSBERG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39837-2025</t>
        </is>
      </c>
      <c r="B1517" s="1" t="n">
        <v>45891.56561342593</v>
      </c>
      <c r="C1517" s="1" t="n">
        <v>46132</v>
      </c>
      <c r="D1517" t="inlineStr">
        <is>
          <t>ÖREBRO LÄN</t>
        </is>
      </c>
      <c r="E1517" t="inlineStr">
        <is>
          <t>NORA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35850-2024</t>
        </is>
      </c>
      <c r="B1518" s="1" t="n">
        <v>45532.89505787037</v>
      </c>
      <c r="C1518" s="1" t="n">
        <v>46132</v>
      </c>
      <c r="D1518" t="inlineStr">
        <is>
          <t>ÖREBRO LÄN</t>
        </is>
      </c>
      <c r="E1518" t="inlineStr">
        <is>
          <t>LAXÅ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40072-2025</t>
        </is>
      </c>
      <c r="B1519" s="1" t="n">
        <v>45894.44390046296</v>
      </c>
      <c r="C1519" s="1" t="n">
        <v>46132</v>
      </c>
      <c r="D1519" t="inlineStr">
        <is>
          <t>ÖREBRO LÄN</t>
        </is>
      </c>
      <c r="E1519" t="inlineStr">
        <is>
          <t>HALLSBERG</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61644-2023</t>
        </is>
      </c>
      <c r="B1520" s="1" t="n">
        <v>45263</v>
      </c>
      <c r="C1520" s="1" t="n">
        <v>46132</v>
      </c>
      <c r="D1520" t="inlineStr">
        <is>
          <t>ÖREBRO LÄN</t>
        </is>
      </c>
      <c r="E1520" t="inlineStr">
        <is>
          <t>LEKEBERG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24107-2025</t>
        </is>
      </c>
      <c r="B1521" s="1" t="n">
        <v>45796</v>
      </c>
      <c r="C1521" s="1" t="n">
        <v>46132</v>
      </c>
      <c r="D1521" t="inlineStr">
        <is>
          <t>ÖREBRO LÄN</t>
        </is>
      </c>
      <c r="E1521" t="inlineStr">
        <is>
          <t>LINDESBERG</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56887-2022</t>
        </is>
      </c>
      <c r="B1522" s="1" t="n">
        <v>44894.57006944445</v>
      </c>
      <c r="C1522" s="1" t="n">
        <v>46132</v>
      </c>
      <c r="D1522" t="inlineStr">
        <is>
          <t>ÖREBRO LÄN</t>
        </is>
      </c>
      <c r="E1522" t="inlineStr">
        <is>
          <t>KARLSKOGA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21036-2024</t>
        </is>
      </c>
      <c r="B1523" s="1" t="n">
        <v>45439.65954861111</v>
      </c>
      <c r="C1523" s="1" t="n">
        <v>46132</v>
      </c>
      <c r="D1523" t="inlineStr">
        <is>
          <t>ÖREBRO LÄN</t>
        </is>
      </c>
      <c r="E1523" t="inlineStr">
        <is>
          <t>ÖREBRO</t>
        </is>
      </c>
      <c r="F1523" t="inlineStr">
        <is>
          <t>Övriga Aktiebolag</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30767-2023</t>
        </is>
      </c>
      <c r="B1524" s="1" t="n">
        <v>45112.67952546296</v>
      </c>
      <c r="C1524" s="1" t="n">
        <v>46132</v>
      </c>
      <c r="D1524" t="inlineStr">
        <is>
          <t>ÖREBRO LÄN</t>
        </is>
      </c>
      <c r="E1524" t="inlineStr">
        <is>
          <t>LINDESBERG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30774-2023</t>
        </is>
      </c>
      <c r="B1525" s="1" t="n">
        <v>45112.6903125</v>
      </c>
      <c r="C1525" s="1" t="n">
        <v>46132</v>
      </c>
      <c r="D1525" t="inlineStr">
        <is>
          <t>ÖREBRO LÄN</t>
        </is>
      </c>
      <c r="E1525" t="inlineStr">
        <is>
          <t>LJUSNARSBERG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49582-2022</t>
        </is>
      </c>
      <c r="B1526" s="1" t="n">
        <v>44862.36460648148</v>
      </c>
      <c r="C1526" s="1" t="n">
        <v>46132</v>
      </c>
      <c r="D1526" t="inlineStr">
        <is>
          <t>ÖREBRO LÄN</t>
        </is>
      </c>
      <c r="E1526" t="inlineStr">
        <is>
          <t>HALLSBERG</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44107-2024</t>
        </is>
      </c>
      <c r="B1527" s="1" t="n">
        <v>45572.63357638889</v>
      </c>
      <c r="C1527" s="1" t="n">
        <v>46132</v>
      </c>
      <c r="D1527" t="inlineStr">
        <is>
          <t>ÖREBRO LÄN</t>
        </is>
      </c>
      <c r="E1527" t="inlineStr">
        <is>
          <t>HÄLLEFORS</t>
        </is>
      </c>
      <c r="F1527" t="inlineStr">
        <is>
          <t>Bergvik skog väst AB</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39952-2024</t>
        </is>
      </c>
      <c r="B1528" s="1" t="n">
        <v>45553</v>
      </c>
      <c r="C1528" s="1" t="n">
        <v>46132</v>
      </c>
      <c r="D1528" t="inlineStr">
        <is>
          <t>ÖREBRO LÄN</t>
        </is>
      </c>
      <c r="E1528" t="inlineStr">
        <is>
          <t>LAXÅ</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6266-2025</t>
        </is>
      </c>
      <c r="B1529" s="1" t="n">
        <v>45698</v>
      </c>
      <c r="C1529" s="1" t="n">
        <v>46132</v>
      </c>
      <c r="D1529" t="inlineStr">
        <is>
          <t>ÖREBRO LÄN</t>
        </is>
      </c>
      <c r="E1529" t="inlineStr">
        <is>
          <t>KUMLA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34358-2022</t>
        </is>
      </c>
      <c r="B1530" s="1" t="n">
        <v>44792.45494212963</v>
      </c>
      <c r="C1530" s="1" t="n">
        <v>46132</v>
      </c>
      <c r="D1530" t="inlineStr">
        <is>
          <t>ÖREBRO LÄN</t>
        </is>
      </c>
      <c r="E1530" t="inlineStr">
        <is>
          <t>ÖREBRO</t>
        </is>
      </c>
      <c r="F1530" t="inlineStr">
        <is>
          <t>Övriga Aktiebolag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5237-2025</t>
        </is>
      </c>
      <c r="B1531" s="1" t="n">
        <v>45692.30760416666</v>
      </c>
      <c r="C1531" s="1" t="n">
        <v>46132</v>
      </c>
      <c r="D1531" t="inlineStr">
        <is>
          <t>ÖREBRO LÄN</t>
        </is>
      </c>
      <c r="E1531" t="inlineStr">
        <is>
          <t>HÄLLEFORS</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17923-2024</t>
        </is>
      </c>
      <c r="B1532" s="1" t="n">
        <v>45419.58890046296</v>
      </c>
      <c r="C1532" s="1" t="n">
        <v>46132</v>
      </c>
      <c r="D1532" t="inlineStr">
        <is>
          <t>ÖREBRO LÄN</t>
        </is>
      </c>
      <c r="E1532" t="inlineStr">
        <is>
          <t>LJUSNARSBERG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17924-2024</t>
        </is>
      </c>
      <c r="B1533" s="1" t="n">
        <v>45419.59212962963</v>
      </c>
      <c r="C1533" s="1" t="n">
        <v>46132</v>
      </c>
      <c r="D1533" t="inlineStr">
        <is>
          <t>ÖREBRO LÄN</t>
        </is>
      </c>
      <c r="E1533" t="inlineStr">
        <is>
          <t>LJUSNARSBERG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23932-2025</t>
        </is>
      </c>
      <c r="B1534" s="1" t="n">
        <v>45795.70912037037</v>
      </c>
      <c r="C1534" s="1" t="n">
        <v>46132</v>
      </c>
      <c r="D1534" t="inlineStr">
        <is>
          <t>ÖREBRO LÄN</t>
        </is>
      </c>
      <c r="E1534" t="inlineStr">
        <is>
          <t>LINDESBERG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40082-2025</t>
        </is>
      </c>
      <c r="B1535" s="1" t="n">
        <v>45894.46731481481</v>
      </c>
      <c r="C1535" s="1" t="n">
        <v>46132</v>
      </c>
      <c r="D1535" t="inlineStr">
        <is>
          <t>ÖREBRO LÄN</t>
        </is>
      </c>
      <c r="E1535" t="inlineStr">
        <is>
          <t>NORA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63508-2023</t>
        </is>
      </c>
      <c r="B1536" s="1" t="n">
        <v>45274</v>
      </c>
      <c r="C1536" s="1" t="n">
        <v>46132</v>
      </c>
      <c r="D1536" t="inlineStr">
        <is>
          <t>ÖREBRO LÄN</t>
        </is>
      </c>
      <c r="E1536" t="inlineStr">
        <is>
          <t>LINDESBERG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39851-2025</t>
        </is>
      </c>
      <c r="B1537" s="1" t="n">
        <v>45891.58603009259</v>
      </c>
      <c r="C1537" s="1" t="n">
        <v>46132</v>
      </c>
      <c r="D1537" t="inlineStr">
        <is>
          <t>ÖREBRO LÄN</t>
        </is>
      </c>
      <c r="E1537" t="inlineStr">
        <is>
          <t>LAXÅ</t>
        </is>
      </c>
      <c r="F1537" t="inlineStr">
        <is>
          <t>Sveaskog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10274-2023</t>
        </is>
      </c>
      <c r="B1538" s="1" t="n">
        <v>44986</v>
      </c>
      <c r="C1538" s="1" t="n">
        <v>46132</v>
      </c>
      <c r="D1538" t="inlineStr">
        <is>
          <t>ÖREBRO LÄN</t>
        </is>
      </c>
      <c r="E1538" t="inlineStr">
        <is>
          <t>LEKEBERG</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3177-2022</t>
        </is>
      </c>
      <c r="B1539" s="1" t="n">
        <v>44582.61244212963</v>
      </c>
      <c r="C1539" s="1" t="n">
        <v>46132</v>
      </c>
      <c r="D1539" t="inlineStr">
        <is>
          <t>ÖREBRO LÄN</t>
        </is>
      </c>
      <c r="E1539" t="inlineStr">
        <is>
          <t>DEGERFORS</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40366-2025</t>
        </is>
      </c>
      <c r="B1540" s="1" t="n">
        <v>45895.49994212963</v>
      </c>
      <c r="C1540" s="1" t="n">
        <v>46132</v>
      </c>
      <c r="D1540" t="inlineStr">
        <is>
          <t>ÖREBRO LÄN</t>
        </is>
      </c>
      <c r="E1540" t="inlineStr">
        <is>
          <t>LINDESBERG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36280-2023</t>
        </is>
      </c>
      <c r="B1541" s="1" t="n">
        <v>45152.34586805556</v>
      </c>
      <c r="C1541" s="1" t="n">
        <v>46132</v>
      </c>
      <c r="D1541" t="inlineStr">
        <is>
          <t>ÖREBRO LÄN</t>
        </is>
      </c>
      <c r="E1541" t="inlineStr">
        <is>
          <t>LINDESBERG</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15695-2024</t>
        </is>
      </c>
      <c r="B1542" s="1" t="n">
        <v>45404.45487268519</v>
      </c>
      <c r="C1542" s="1" t="n">
        <v>46132</v>
      </c>
      <c r="D1542" t="inlineStr">
        <is>
          <t>ÖREBRO LÄN</t>
        </is>
      </c>
      <c r="E1542" t="inlineStr">
        <is>
          <t>ÖREBRO</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23460-2024</t>
        </is>
      </c>
      <c r="B1543" s="1" t="n">
        <v>45453.65363425926</v>
      </c>
      <c r="C1543" s="1" t="n">
        <v>46132</v>
      </c>
      <c r="D1543" t="inlineStr">
        <is>
          <t>ÖREBRO LÄN</t>
        </is>
      </c>
      <c r="E1543" t="inlineStr">
        <is>
          <t>DEGERFORS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29595-2025</t>
        </is>
      </c>
      <c r="B1544" s="1" t="n">
        <v>45825</v>
      </c>
      <c r="C1544" s="1" t="n">
        <v>46132</v>
      </c>
      <c r="D1544" t="inlineStr">
        <is>
          <t>ÖREBRO LÄN</t>
        </is>
      </c>
      <c r="E1544" t="inlineStr">
        <is>
          <t>LJUSNARSBERG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17344-2024</t>
        </is>
      </c>
      <c r="B1545" s="1" t="n">
        <v>45414.58052083333</v>
      </c>
      <c r="C1545" s="1" t="n">
        <v>46132</v>
      </c>
      <c r="D1545" t="inlineStr">
        <is>
          <t>ÖREBRO LÄN</t>
        </is>
      </c>
      <c r="E1545" t="inlineStr">
        <is>
          <t>NORA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24011-2025</t>
        </is>
      </c>
      <c r="B1546" s="1" t="n">
        <v>45796</v>
      </c>
      <c r="C1546" s="1" t="n">
        <v>46132</v>
      </c>
      <c r="D1546" t="inlineStr">
        <is>
          <t>ÖREBRO LÄN</t>
        </is>
      </c>
      <c r="E1546" t="inlineStr">
        <is>
          <t>LINDESBERG</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24020-2025</t>
        </is>
      </c>
      <c r="B1547" s="1" t="n">
        <v>45796.45054398148</v>
      </c>
      <c r="C1547" s="1" t="n">
        <v>46132</v>
      </c>
      <c r="D1547" t="inlineStr">
        <is>
          <t>ÖREBRO LÄN</t>
        </is>
      </c>
      <c r="E1547" t="inlineStr">
        <is>
          <t>LINDESBERG</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50378-2024</t>
        </is>
      </c>
      <c r="B1548" s="1" t="n">
        <v>45601.2984375</v>
      </c>
      <c r="C1548" s="1" t="n">
        <v>46132</v>
      </c>
      <c r="D1548" t="inlineStr">
        <is>
          <t>ÖREBRO LÄN</t>
        </is>
      </c>
      <c r="E1548" t="inlineStr">
        <is>
          <t>DEGERFORS</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10432-2025</t>
        </is>
      </c>
      <c r="B1549" s="1" t="n">
        <v>45720</v>
      </c>
      <c r="C1549" s="1" t="n">
        <v>46132</v>
      </c>
      <c r="D1549" t="inlineStr">
        <is>
          <t>ÖREBRO LÄN</t>
        </is>
      </c>
      <c r="E1549" t="inlineStr">
        <is>
          <t>ASKERSUND</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35861-2024</t>
        </is>
      </c>
      <c r="B1550" s="1" t="n">
        <v>45533.33751157407</v>
      </c>
      <c r="C1550" s="1" t="n">
        <v>46132</v>
      </c>
      <c r="D1550" t="inlineStr">
        <is>
          <t>ÖREBRO LÄN</t>
        </is>
      </c>
      <c r="E1550" t="inlineStr">
        <is>
          <t>HÄLLEFORS</t>
        </is>
      </c>
      <c r="F1550" t="inlineStr">
        <is>
          <t>Bergvik skog väst AB</t>
        </is>
      </c>
      <c r="G1550" t="n">
        <v>25.9</v>
      </c>
      <c r="H1550" t="n">
        <v>0</v>
      </c>
      <c r="I1550" t="n">
        <v>0</v>
      </c>
      <c r="J1550" t="n">
        <v>0</v>
      </c>
      <c r="K1550" t="n">
        <v>0</v>
      </c>
      <c r="L1550" t="n">
        <v>0</v>
      </c>
      <c r="M1550" t="n">
        <v>0</v>
      </c>
      <c r="N1550" t="n">
        <v>0</v>
      </c>
      <c r="O1550" t="n">
        <v>0</v>
      </c>
      <c r="P1550" t="n">
        <v>0</v>
      </c>
      <c r="Q1550" t="n">
        <v>0</v>
      </c>
      <c r="R1550" s="2" t="inlineStr"/>
    </row>
    <row r="1551" ht="15" customHeight="1">
      <c r="A1551" t="inlineStr">
        <is>
          <t>A 33284-2024</t>
        </is>
      </c>
      <c r="B1551" s="1" t="n">
        <v>45518.71721064814</v>
      </c>
      <c r="C1551" s="1" t="n">
        <v>46132</v>
      </c>
      <c r="D1551" t="inlineStr">
        <is>
          <t>ÖREBRO LÄN</t>
        </is>
      </c>
      <c r="E1551" t="inlineStr">
        <is>
          <t>LINDESBERG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33963-2023</t>
        </is>
      </c>
      <c r="B1552" s="1" t="n">
        <v>45134.62525462963</v>
      </c>
      <c r="C1552" s="1" t="n">
        <v>46132</v>
      </c>
      <c r="D1552" t="inlineStr">
        <is>
          <t>ÖREBRO LÄN</t>
        </is>
      </c>
      <c r="E1552" t="inlineStr">
        <is>
          <t>LEKEBERG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33974-2023</t>
        </is>
      </c>
      <c r="B1553" s="1" t="n">
        <v>45124</v>
      </c>
      <c r="C1553" s="1" t="n">
        <v>46132</v>
      </c>
      <c r="D1553" t="inlineStr">
        <is>
          <t>ÖREBRO LÄN</t>
        </is>
      </c>
      <c r="E1553" t="inlineStr">
        <is>
          <t>LJUSNARSBERG</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33978-2023</t>
        </is>
      </c>
      <c r="B1554" s="1" t="n">
        <v>45134.68158564815</v>
      </c>
      <c r="C1554" s="1" t="n">
        <v>46132</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33979-2023</t>
        </is>
      </c>
      <c r="B1555" s="1" t="n">
        <v>45124</v>
      </c>
      <c r="C1555" s="1" t="n">
        <v>46132</v>
      </c>
      <c r="D1555" t="inlineStr">
        <is>
          <t>ÖREBRO LÄN</t>
        </is>
      </c>
      <c r="E1555" t="inlineStr">
        <is>
          <t>LJUSNARSBERG</t>
        </is>
      </c>
      <c r="F1555" t="inlineStr">
        <is>
          <t>Bergvik skog väst AB</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4989-2023</t>
        </is>
      </c>
      <c r="B1556" s="1" t="n">
        <v>44956</v>
      </c>
      <c r="C1556" s="1" t="n">
        <v>46132</v>
      </c>
      <c r="D1556" t="inlineStr">
        <is>
          <t>ÖREBRO LÄN</t>
        </is>
      </c>
      <c r="E1556" t="inlineStr">
        <is>
          <t>LJUSNARSBERG</t>
        </is>
      </c>
      <c r="F1556" t="inlineStr">
        <is>
          <t>Bergvik skog väst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40357-2025</t>
        </is>
      </c>
      <c r="B1557" s="1" t="n">
        <v>45895.48927083334</v>
      </c>
      <c r="C1557" s="1" t="n">
        <v>46132</v>
      </c>
      <c r="D1557" t="inlineStr">
        <is>
          <t>ÖREBRO LÄN</t>
        </is>
      </c>
      <c r="E1557" t="inlineStr">
        <is>
          <t>LINDESBERG</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23036-2024</t>
        </is>
      </c>
      <c r="B1558" s="1" t="n">
        <v>45450.39145833333</v>
      </c>
      <c r="C1558" s="1" t="n">
        <v>46132</v>
      </c>
      <c r="D1558" t="inlineStr">
        <is>
          <t>ÖREBRO LÄN</t>
        </is>
      </c>
      <c r="E1558" t="inlineStr">
        <is>
          <t>HÄLLEFORS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23897-2025</t>
        </is>
      </c>
      <c r="B1559" s="1" t="n">
        <v>45794.33498842592</v>
      </c>
      <c r="C1559" s="1" t="n">
        <v>46132</v>
      </c>
      <c r="D1559" t="inlineStr">
        <is>
          <t>ÖREBRO LÄN</t>
        </is>
      </c>
      <c r="E1559" t="inlineStr">
        <is>
          <t>LINDESBERG</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40477-2025</t>
        </is>
      </c>
      <c r="B1560" s="1" t="n">
        <v>45895</v>
      </c>
      <c r="C1560" s="1" t="n">
        <v>46132</v>
      </c>
      <c r="D1560" t="inlineStr">
        <is>
          <t>ÖREBRO LÄN</t>
        </is>
      </c>
      <c r="E1560" t="inlineStr">
        <is>
          <t>LJUSNARSBERG</t>
        </is>
      </c>
      <c r="F1560" t="inlineStr">
        <is>
          <t>Bergvik skog väst AB</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19750-2024</t>
        </is>
      </c>
      <c r="B1561" s="1" t="n">
        <v>45432.66407407408</v>
      </c>
      <c r="C1561" s="1" t="n">
        <v>46132</v>
      </c>
      <c r="D1561" t="inlineStr">
        <is>
          <t>ÖREBRO LÄN</t>
        </is>
      </c>
      <c r="E1561" t="inlineStr">
        <is>
          <t>HALLSBERG</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5406-2025</t>
        </is>
      </c>
      <c r="B1562" s="1" t="n">
        <v>45692.64821759259</v>
      </c>
      <c r="C1562" s="1" t="n">
        <v>46132</v>
      </c>
      <c r="D1562" t="inlineStr">
        <is>
          <t>ÖREBRO LÄN</t>
        </is>
      </c>
      <c r="E1562" t="inlineStr">
        <is>
          <t>ÖREBRO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5042-2025</t>
        </is>
      </c>
      <c r="B1563" s="1" t="n">
        <v>45691.43619212963</v>
      </c>
      <c r="C1563" s="1" t="n">
        <v>46132</v>
      </c>
      <c r="D1563" t="inlineStr">
        <is>
          <t>ÖREBRO LÄN</t>
        </is>
      </c>
      <c r="E1563" t="inlineStr">
        <is>
          <t>HÄLLEFORS</t>
        </is>
      </c>
      <c r="F1563" t="inlineStr">
        <is>
          <t>Bergvik skog väst AB</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38196-2024</t>
        </is>
      </c>
      <c r="B1564" s="1" t="n">
        <v>45545.49483796296</v>
      </c>
      <c r="C1564" s="1" t="n">
        <v>46132</v>
      </c>
      <c r="D1564" t="inlineStr">
        <is>
          <t>ÖREBRO LÄN</t>
        </is>
      </c>
      <c r="E1564" t="inlineStr">
        <is>
          <t>KARLSKOGA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40580-2025</t>
        </is>
      </c>
      <c r="B1565" s="1" t="n">
        <v>45896.51261574074</v>
      </c>
      <c r="C1565" s="1" t="n">
        <v>46132</v>
      </c>
      <c r="D1565" t="inlineStr">
        <is>
          <t>ÖREBRO LÄN</t>
        </is>
      </c>
      <c r="E1565" t="inlineStr">
        <is>
          <t>ASKERSUND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40587-2025</t>
        </is>
      </c>
      <c r="B1566" s="1" t="n">
        <v>45896.52702546296</v>
      </c>
      <c r="C1566" s="1" t="n">
        <v>46132</v>
      </c>
      <c r="D1566" t="inlineStr">
        <is>
          <t>ÖREBRO LÄN</t>
        </is>
      </c>
      <c r="E1566" t="inlineStr">
        <is>
          <t>ASKERSUND</t>
        </is>
      </c>
      <c r="F1566" t="inlineStr">
        <is>
          <t>Kyrkan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7499-2024</t>
        </is>
      </c>
      <c r="B1567" s="1" t="n">
        <v>45347.84356481482</v>
      </c>
      <c r="C1567" s="1" t="n">
        <v>46132</v>
      </c>
      <c r="D1567" t="inlineStr">
        <is>
          <t>ÖREBRO LÄN</t>
        </is>
      </c>
      <c r="E1567" t="inlineStr">
        <is>
          <t>LJUSNARSBERG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38762-2021</t>
        </is>
      </c>
      <c r="B1568" s="1" t="n">
        <v>44410.61837962963</v>
      </c>
      <c r="C1568" s="1" t="n">
        <v>46132</v>
      </c>
      <c r="D1568" t="inlineStr">
        <is>
          <t>ÖREBRO LÄN</t>
        </is>
      </c>
      <c r="E1568" t="inlineStr">
        <is>
          <t>LINDESBERG</t>
        </is>
      </c>
      <c r="F1568" t="inlineStr">
        <is>
          <t>Sveaskog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23716-2025</t>
        </is>
      </c>
      <c r="B1569" s="1" t="n">
        <v>45793.39087962963</v>
      </c>
      <c r="C1569" s="1" t="n">
        <v>46132</v>
      </c>
      <c r="D1569" t="inlineStr">
        <is>
          <t>ÖREBRO LÄN</t>
        </is>
      </c>
      <c r="E1569" t="inlineStr">
        <is>
          <t>KARLSKOGA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40330-2025</t>
        </is>
      </c>
      <c r="B1570" s="1" t="n">
        <v>45895.4531712963</v>
      </c>
      <c r="C1570" s="1" t="n">
        <v>46132</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40668-2025</t>
        </is>
      </c>
      <c r="B1571" s="1" t="n">
        <v>45896</v>
      </c>
      <c r="C1571" s="1" t="n">
        <v>46132</v>
      </c>
      <c r="D1571" t="inlineStr">
        <is>
          <t>ÖREBRO LÄN</t>
        </is>
      </c>
      <c r="E1571" t="inlineStr">
        <is>
          <t>LAXÅ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40351-2025</t>
        </is>
      </c>
      <c r="B1572" s="1" t="n">
        <v>45895.48394675926</v>
      </c>
      <c r="C1572" s="1" t="n">
        <v>46132</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64089-2023</t>
        </is>
      </c>
      <c r="B1573" s="1" t="n">
        <v>45279</v>
      </c>
      <c r="C1573" s="1" t="n">
        <v>46132</v>
      </c>
      <c r="D1573" t="inlineStr">
        <is>
          <t>ÖREBRO LÄN</t>
        </is>
      </c>
      <c r="E1573" t="inlineStr">
        <is>
          <t>NORA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40485-2025</t>
        </is>
      </c>
      <c r="B1574" s="1" t="n">
        <v>45895.85320601852</v>
      </c>
      <c r="C1574" s="1" t="n">
        <v>46132</v>
      </c>
      <c r="D1574" t="inlineStr">
        <is>
          <t>ÖREBRO LÄN</t>
        </is>
      </c>
      <c r="E1574" t="inlineStr">
        <is>
          <t>HÄLLEFORS</t>
        </is>
      </c>
      <c r="F1574" t="inlineStr">
        <is>
          <t>Bergvik skog väst AB</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40347-2025</t>
        </is>
      </c>
      <c r="B1575" s="1" t="n">
        <v>45895.4790625</v>
      </c>
      <c r="C1575" s="1" t="n">
        <v>46132</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41089-2022</t>
        </is>
      </c>
      <c r="B1576" s="1" t="n">
        <v>44825.64613425926</v>
      </c>
      <c r="C1576" s="1" t="n">
        <v>46132</v>
      </c>
      <c r="D1576" t="inlineStr">
        <is>
          <t>ÖREBRO LÄN</t>
        </is>
      </c>
      <c r="E1576" t="inlineStr">
        <is>
          <t>HÄLLEFORS</t>
        </is>
      </c>
      <c r="F1576" t="inlineStr">
        <is>
          <t>Sveaskog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44616-2024</t>
        </is>
      </c>
      <c r="B1577" s="1" t="n">
        <v>45574.51289351852</v>
      </c>
      <c r="C1577" s="1" t="n">
        <v>46132</v>
      </c>
      <c r="D1577" t="inlineStr">
        <is>
          <t>ÖREBRO LÄN</t>
        </is>
      </c>
      <c r="E1577" t="inlineStr">
        <is>
          <t>HALLSBERG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23898-2025</t>
        </is>
      </c>
      <c r="B1578" s="1" t="n">
        <v>45794.3419212963</v>
      </c>
      <c r="C1578" s="1" t="n">
        <v>46132</v>
      </c>
      <c r="D1578" t="inlineStr">
        <is>
          <t>ÖREBRO LÄN</t>
        </is>
      </c>
      <c r="E1578" t="inlineStr">
        <is>
          <t>LINDESBERG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23933-2025</t>
        </is>
      </c>
      <c r="B1579" s="1" t="n">
        <v>45795.71300925926</v>
      </c>
      <c r="C1579" s="1" t="n">
        <v>46132</v>
      </c>
      <c r="D1579" t="inlineStr">
        <is>
          <t>ÖREBRO LÄN</t>
        </is>
      </c>
      <c r="E1579" t="inlineStr">
        <is>
          <t>LINDESBERG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40332-2025</t>
        </is>
      </c>
      <c r="B1580" s="1" t="n">
        <v>45895.46060185185</v>
      </c>
      <c r="C1580" s="1" t="n">
        <v>46132</v>
      </c>
      <c r="D1580" t="inlineStr">
        <is>
          <t>ÖREBRO LÄN</t>
        </is>
      </c>
      <c r="E1580" t="inlineStr">
        <is>
          <t>ÖREBRO</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23717-2025</t>
        </is>
      </c>
      <c r="B1581" s="1" t="n">
        <v>45793.39612268518</v>
      </c>
      <c r="C1581" s="1" t="n">
        <v>46132</v>
      </c>
      <c r="D1581" t="inlineStr">
        <is>
          <t>ÖREBRO LÄN</t>
        </is>
      </c>
      <c r="E1581" t="inlineStr">
        <is>
          <t>KARLSKOGA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25842-2024</t>
        </is>
      </c>
      <c r="B1582" s="1" t="n">
        <v>45467.43387731481</v>
      </c>
      <c r="C1582" s="1" t="n">
        <v>46132</v>
      </c>
      <c r="D1582" t="inlineStr">
        <is>
          <t>ÖREBRO LÄN</t>
        </is>
      </c>
      <c r="E1582" t="inlineStr">
        <is>
          <t>LAXÅ</t>
        </is>
      </c>
      <c r="F1582" t="inlineStr">
        <is>
          <t>Sveaskog</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25845-2024</t>
        </is>
      </c>
      <c r="B1583" s="1" t="n">
        <v>45467.43505787037</v>
      </c>
      <c r="C1583" s="1" t="n">
        <v>46132</v>
      </c>
      <c r="D1583" t="inlineStr">
        <is>
          <t>ÖREBRO LÄN</t>
        </is>
      </c>
      <c r="E1583" t="inlineStr">
        <is>
          <t>LAXÅ</t>
        </is>
      </c>
      <c r="F1583" t="inlineStr">
        <is>
          <t>Sveaskog</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40616-2025</t>
        </is>
      </c>
      <c r="B1584" s="1" t="n">
        <v>45896.58164351852</v>
      </c>
      <c r="C1584" s="1" t="n">
        <v>46132</v>
      </c>
      <c r="D1584" t="inlineStr">
        <is>
          <t>ÖREBRO LÄN</t>
        </is>
      </c>
      <c r="E1584" t="inlineStr">
        <is>
          <t>ASKERSUND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40346-2025</t>
        </is>
      </c>
      <c r="B1585" s="1" t="n">
        <v>45895.47704861111</v>
      </c>
      <c r="C1585" s="1" t="n">
        <v>46132</v>
      </c>
      <c r="D1585" t="inlineStr">
        <is>
          <t>ÖREBRO LÄN</t>
        </is>
      </c>
      <c r="E1585" t="inlineStr">
        <is>
          <t>LINDESBERG</t>
        </is>
      </c>
      <c r="F1585" t="inlineStr">
        <is>
          <t>Sveaskog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53545-2023</t>
        </is>
      </c>
      <c r="B1586" s="1" t="n">
        <v>45230</v>
      </c>
      <c r="C1586" s="1" t="n">
        <v>46132</v>
      </c>
      <c r="D1586" t="inlineStr">
        <is>
          <t>ÖREBRO LÄN</t>
        </is>
      </c>
      <c r="E1586" t="inlineStr">
        <is>
          <t>LAXÅ</t>
        </is>
      </c>
      <c r="F1586" t="inlineStr">
        <is>
          <t>Sveaskog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36015-2021</t>
        </is>
      </c>
      <c r="B1587" s="1" t="n">
        <v>44389</v>
      </c>
      <c r="C1587" s="1" t="n">
        <v>46132</v>
      </c>
      <c r="D1587" t="inlineStr">
        <is>
          <t>ÖREBRO LÄN</t>
        </is>
      </c>
      <c r="E1587" t="inlineStr">
        <is>
          <t>LINDESBERG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40477-2025</t>
        </is>
      </c>
      <c r="B1588" s="1" t="n">
        <v>45895</v>
      </c>
      <c r="C1588" s="1" t="n">
        <v>46132</v>
      </c>
      <c r="D1588" t="inlineStr">
        <is>
          <t>ÖREBRO LÄN</t>
        </is>
      </c>
      <c r="E1588" t="inlineStr">
        <is>
          <t>LJUSNARSBERG</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41288-2025</t>
        </is>
      </c>
      <c r="B1589" s="1" t="n">
        <v>45898.63958333333</v>
      </c>
      <c r="C1589" s="1" t="n">
        <v>46132</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54995-2024</t>
        </is>
      </c>
      <c r="B1590" s="1" t="n">
        <v>45621.28127314815</v>
      </c>
      <c r="C1590" s="1" t="n">
        <v>46132</v>
      </c>
      <c r="D1590" t="inlineStr">
        <is>
          <t>ÖREBRO LÄN</t>
        </is>
      </c>
      <c r="E1590" t="inlineStr">
        <is>
          <t>HÄLLEFORS</t>
        </is>
      </c>
      <c r="F1590" t="inlineStr">
        <is>
          <t>Bergvik skog väst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23934-2025</t>
        </is>
      </c>
      <c r="B1591" s="1" t="n">
        <v>45795.71547453704</v>
      </c>
      <c r="C1591" s="1" t="n">
        <v>46132</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54705-2022</t>
        </is>
      </c>
      <c r="B1592" s="1" t="n">
        <v>44883</v>
      </c>
      <c r="C1592" s="1" t="n">
        <v>46132</v>
      </c>
      <c r="D1592" t="inlineStr">
        <is>
          <t>ÖREBRO LÄN</t>
        </is>
      </c>
      <c r="E1592" t="inlineStr">
        <is>
          <t>LINDESBERG</t>
        </is>
      </c>
      <c r="G1592" t="n">
        <v>8.800000000000001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52730-2025</t>
        </is>
      </c>
      <c r="B1593" s="1" t="n">
        <v>45957.36386574074</v>
      </c>
      <c r="C1593" s="1" t="n">
        <v>46132</v>
      </c>
      <c r="D1593" t="inlineStr">
        <is>
          <t>ÖREBRO LÄN</t>
        </is>
      </c>
      <c r="E1593" t="inlineStr">
        <is>
          <t>LINDESBERG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57944-2023</t>
        </is>
      </c>
      <c r="B1594" s="1" t="n">
        <v>45244</v>
      </c>
      <c r="C1594" s="1" t="n">
        <v>46132</v>
      </c>
      <c r="D1594" t="inlineStr">
        <is>
          <t>ÖREBRO LÄN</t>
        </is>
      </c>
      <c r="E1594" t="inlineStr">
        <is>
          <t>LINDESBERG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7066-2024</t>
        </is>
      </c>
      <c r="B1595" s="1" t="n">
        <v>45343</v>
      </c>
      <c r="C1595" s="1" t="n">
        <v>46132</v>
      </c>
      <c r="D1595" t="inlineStr">
        <is>
          <t>ÖREBRO LÄN</t>
        </is>
      </c>
      <c r="E1595" t="inlineStr">
        <is>
          <t>HÄLLEFORS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31763-2023</t>
        </is>
      </c>
      <c r="B1596" s="1" t="n">
        <v>45106</v>
      </c>
      <c r="C1596" s="1" t="n">
        <v>46132</v>
      </c>
      <c r="D1596" t="inlineStr">
        <is>
          <t>ÖREBRO LÄN</t>
        </is>
      </c>
      <c r="E1596" t="inlineStr">
        <is>
          <t>LJUSNARSBERG</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40852-2025</t>
        </is>
      </c>
      <c r="B1597" s="1" t="n">
        <v>45897</v>
      </c>
      <c r="C1597" s="1" t="n">
        <v>46132</v>
      </c>
      <c r="D1597" t="inlineStr">
        <is>
          <t>ÖREBRO LÄN</t>
        </is>
      </c>
      <c r="E1597" t="inlineStr">
        <is>
          <t>LJUSNARSBERG</t>
        </is>
      </c>
      <c r="F1597" t="inlineStr">
        <is>
          <t>Bergvik skog väst AB</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58548-2024</t>
        </is>
      </c>
      <c r="B1598" s="1" t="n">
        <v>45635.45878472222</v>
      </c>
      <c r="C1598" s="1" t="n">
        <v>46132</v>
      </c>
      <c r="D1598" t="inlineStr">
        <is>
          <t>ÖREBRO LÄN</t>
        </is>
      </c>
      <c r="E1598" t="inlineStr">
        <is>
          <t>LEKEBERG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24055-2025</t>
        </is>
      </c>
      <c r="B1599" s="1" t="n">
        <v>45796</v>
      </c>
      <c r="C1599" s="1" t="n">
        <v>46132</v>
      </c>
      <c r="D1599" t="inlineStr">
        <is>
          <t>ÖREBRO LÄN</t>
        </is>
      </c>
      <c r="E1599" t="inlineStr">
        <is>
          <t>LEKEBERG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30743-2025</t>
        </is>
      </c>
      <c r="B1600" s="1" t="n">
        <v>45831</v>
      </c>
      <c r="C1600" s="1" t="n">
        <v>46132</v>
      </c>
      <c r="D1600" t="inlineStr">
        <is>
          <t>ÖREBRO LÄN</t>
        </is>
      </c>
      <c r="E1600" t="inlineStr">
        <is>
          <t>ÖREBRO</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24043-2024</t>
        </is>
      </c>
      <c r="B1601" s="1" t="n">
        <v>45456.48927083334</v>
      </c>
      <c r="C1601" s="1" t="n">
        <v>46132</v>
      </c>
      <c r="D1601" t="inlineStr">
        <is>
          <t>ÖREBRO LÄN</t>
        </is>
      </c>
      <c r="E1601" t="inlineStr">
        <is>
          <t>LINDESBERG</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22348-2024</t>
        </is>
      </c>
      <c r="B1602" s="1" t="n">
        <v>45446.61256944444</v>
      </c>
      <c r="C1602" s="1" t="n">
        <v>46132</v>
      </c>
      <c r="D1602" t="inlineStr">
        <is>
          <t>ÖREBRO LÄN</t>
        </is>
      </c>
      <c r="E1602" t="inlineStr">
        <is>
          <t>ÖREBRO</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23844-2025</t>
        </is>
      </c>
      <c r="B1603" s="1" t="n">
        <v>45793.62422453704</v>
      </c>
      <c r="C1603" s="1" t="n">
        <v>46132</v>
      </c>
      <c r="D1603" t="inlineStr">
        <is>
          <t>ÖREBRO LÄN</t>
        </is>
      </c>
      <c r="E1603" t="inlineStr">
        <is>
          <t>LINDESBERG</t>
        </is>
      </c>
      <c r="F1603" t="inlineStr">
        <is>
          <t>Sveaskog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41032-2025</t>
        </is>
      </c>
      <c r="B1604" s="1" t="n">
        <v>45897</v>
      </c>
      <c r="C1604" s="1" t="n">
        <v>46132</v>
      </c>
      <c r="D1604" t="inlineStr">
        <is>
          <t>ÖREBRO LÄN</t>
        </is>
      </c>
      <c r="E1604" t="inlineStr">
        <is>
          <t>LJUSNARSBERG</t>
        </is>
      </c>
      <c r="F1604" t="inlineStr">
        <is>
          <t>Bergvik skog väst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52018-2024</t>
        </is>
      </c>
      <c r="B1605" s="1" t="n">
        <v>45607.82974537037</v>
      </c>
      <c r="C1605" s="1" t="n">
        <v>46132</v>
      </c>
      <c r="D1605" t="inlineStr">
        <is>
          <t>ÖREBRO LÄN</t>
        </is>
      </c>
      <c r="E1605" t="inlineStr">
        <is>
          <t>ÖREBRO</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44122-2024</t>
        </is>
      </c>
      <c r="B1606" s="1" t="n">
        <v>45572.6396875</v>
      </c>
      <c r="C1606" s="1" t="n">
        <v>46132</v>
      </c>
      <c r="D1606" t="inlineStr">
        <is>
          <t>ÖREBRO LÄN</t>
        </is>
      </c>
      <c r="E1606" t="inlineStr">
        <is>
          <t>HÄLLEFORS</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30089-2024</t>
        </is>
      </c>
      <c r="B1607" s="1" t="n">
        <v>45485</v>
      </c>
      <c r="C1607" s="1" t="n">
        <v>46132</v>
      </c>
      <c r="D1607" t="inlineStr">
        <is>
          <t>ÖREBRO LÄN</t>
        </is>
      </c>
      <c r="E1607" t="inlineStr">
        <is>
          <t>ÖREBRO</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18845-2023</t>
        </is>
      </c>
      <c r="B1608" s="1" t="n">
        <v>45042</v>
      </c>
      <c r="C1608" s="1" t="n">
        <v>46132</v>
      </c>
      <c r="D1608" t="inlineStr">
        <is>
          <t>ÖREBRO LÄN</t>
        </is>
      </c>
      <c r="E1608" t="inlineStr">
        <is>
          <t>LAXÅ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41196-2023</t>
        </is>
      </c>
      <c r="B1609" s="1" t="n">
        <v>45174</v>
      </c>
      <c r="C1609" s="1" t="n">
        <v>46132</v>
      </c>
      <c r="D1609" t="inlineStr">
        <is>
          <t>ÖREBRO LÄN</t>
        </is>
      </c>
      <c r="E1609" t="inlineStr">
        <is>
          <t>HALLSBERG</t>
        </is>
      </c>
      <c r="F1609" t="inlineStr">
        <is>
          <t>Allmännings- och besparingsskogar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16927-2025</t>
        </is>
      </c>
      <c r="B1610" s="1" t="n">
        <v>45755.39212962963</v>
      </c>
      <c r="C1610" s="1" t="n">
        <v>46132</v>
      </c>
      <c r="D1610" t="inlineStr">
        <is>
          <t>ÖREBRO LÄN</t>
        </is>
      </c>
      <c r="E1610" t="inlineStr">
        <is>
          <t>HÄLLEFORS</t>
        </is>
      </c>
      <c r="F1610" t="inlineStr">
        <is>
          <t>Bergvik skog väst AB</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16739-2023</t>
        </is>
      </c>
      <c r="B1611" s="1" t="n">
        <v>45030.72627314815</v>
      </c>
      <c r="C1611" s="1" t="n">
        <v>46132</v>
      </c>
      <c r="D1611" t="inlineStr">
        <is>
          <t>ÖREBRO LÄN</t>
        </is>
      </c>
      <c r="E1611" t="inlineStr">
        <is>
          <t>ÖREBRO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30102-2024</t>
        </is>
      </c>
      <c r="B1612" s="1" t="n">
        <v>45489.41846064815</v>
      </c>
      <c r="C1612" s="1" t="n">
        <v>46132</v>
      </c>
      <c r="D1612" t="inlineStr">
        <is>
          <t>ÖREBRO LÄN</t>
        </is>
      </c>
      <c r="E1612" t="inlineStr">
        <is>
          <t>ASKERSUND</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55212-2021</t>
        </is>
      </c>
      <c r="B1613" s="1" t="n">
        <v>44475</v>
      </c>
      <c r="C1613" s="1" t="n">
        <v>46132</v>
      </c>
      <c r="D1613" t="inlineStr">
        <is>
          <t>ÖREBRO LÄN</t>
        </is>
      </c>
      <c r="E1613" t="inlineStr">
        <is>
          <t>LAXÅ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55214-2021</t>
        </is>
      </c>
      <c r="B1614" s="1" t="n">
        <v>44475.37439814815</v>
      </c>
      <c r="C1614" s="1" t="n">
        <v>46132</v>
      </c>
      <c r="D1614" t="inlineStr">
        <is>
          <t>ÖREBRO LÄN</t>
        </is>
      </c>
      <c r="E1614" t="inlineStr">
        <is>
          <t>LAXÅ</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12250-2025</t>
        </is>
      </c>
      <c r="B1615" s="1" t="n">
        <v>45729.60775462963</v>
      </c>
      <c r="C1615" s="1" t="n">
        <v>46132</v>
      </c>
      <c r="D1615" t="inlineStr">
        <is>
          <t>ÖREBRO LÄN</t>
        </is>
      </c>
      <c r="E1615" t="inlineStr">
        <is>
          <t>LINDESBERG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40745-2025</t>
        </is>
      </c>
      <c r="B1616" s="1" t="n">
        <v>45897.37609953704</v>
      </c>
      <c r="C1616" s="1" t="n">
        <v>46132</v>
      </c>
      <c r="D1616" t="inlineStr">
        <is>
          <t>ÖREBRO LÄN</t>
        </is>
      </c>
      <c r="E1616" t="inlineStr">
        <is>
          <t>ASKERSUND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3873-2023</t>
        </is>
      </c>
      <c r="B1617" s="1" t="n">
        <v>44951</v>
      </c>
      <c r="C1617" s="1" t="n">
        <v>46132</v>
      </c>
      <c r="D1617" t="inlineStr">
        <is>
          <t>ÖREBRO LÄN</t>
        </is>
      </c>
      <c r="E1617" t="inlineStr">
        <is>
          <t>KUMLA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40854-2025</t>
        </is>
      </c>
      <c r="B1618" s="1" t="n">
        <v>45897</v>
      </c>
      <c r="C1618" s="1" t="n">
        <v>46132</v>
      </c>
      <c r="D1618" t="inlineStr">
        <is>
          <t>ÖREBRO LÄN</t>
        </is>
      </c>
      <c r="E1618" t="inlineStr">
        <is>
          <t>LJUSNARSBERG</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5559-2024</t>
        </is>
      </c>
      <c r="B1619" s="1" t="n">
        <v>45334</v>
      </c>
      <c r="C1619" s="1" t="n">
        <v>46132</v>
      </c>
      <c r="D1619" t="inlineStr">
        <is>
          <t>ÖREBRO LÄN</t>
        </is>
      </c>
      <c r="E1619" t="inlineStr">
        <is>
          <t>LEKEBERG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36748-2024</t>
        </is>
      </c>
      <c r="B1620" s="1" t="n">
        <v>45538.34460648148</v>
      </c>
      <c r="C1620" s="1" t="n">
        <v>46132</v>
      </c>
      <c r="D1620" t="inlineStr">
        <is>
          <t>ÖREBRO LÄN</t>
        </is>
      </c>
      <c r="E1620" t="inlineStr">
        <is>
          <t>LINDESBERG</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5657-2024</t>
        </is>
      </c>
      <c r="B1621" s="1" t="n">
        <v>45334</v>
      </c>
      <c r="C1621" s="1" t="n">
        <v>46132</v>
      </c>
      <c r="D1621" t="inlineStr">
        <is>
          <t>ÖREBRO LÄN</t>
        </is>
      </c>
      <c r="E1621" t="inlineStr">
        <is>
          <t>HÄLLEFORS</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53092-2025</t>
        </is>
      </c>
      <c r="B1622" s="1" t="n">
        <v>45958.42094907408</v>
      </c>
      <c r="C1622" s="1" t="n">
        <v>46132</v>
      </c>
      <c r="D1622" t="inlineStr">
        <is>
          <t>ÖREBRO LÄN</t>
        </is>
      </c>
      <c r="E1622" t="inlineStr">
        <is>
          <t>LAXÅ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24385-2025</t>
        </is>
      </c>
      <c r="B1623" s="1" t="n">
        <v>45797</v>
      </c>
      <c r="C1623" s="1" t="n">
        <v>46132</v>
      </c>
      <c r="D1623" t="inlineStr">
        <is>
          <t>ÖREBRO LÄN</t>
        </is>
      </c>
      <c r="E1623" t="inlineStr">
        <is>
          <t>LJUSNARSBERG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46132</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21390-2024</t>
        </is>
      </c>
      <c r="B1625" s="1" t="n">
        <v>45441.30899305556</v>
      </c>
      <c r="C1625" s="1" t="n">
        <v>46132</v>
      </c>
      <c r="D1625" t="inlineStr">
        <is>
          <t>ÖREBRO LÄN</t>
        </is>
      </c>
      <c r="E1625" t="inlineStr">
        <is>
          <t>LINDESBERG</t>
        </is>
      </c>
      <c r="F1625" t="inlineStr">
        <is>
          <t>Sveaskog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21392-2024</t>
        </is>
      </c>
      <c r="B1626" s="1" t="n">
        <v>45441.30998842593</v>
      </c>
      <c r="C1626" s="1" t="n">
        <v>46132</v>
      </c>
      <c r="D1626" t="inlineStr">
        <is>
          <t>ÖREBRO LÄN</t>
        </is>
      </c>
      <c r="E1626" t="inlineStr">
        <is>
          <t>LINDESBERG</t>
        </is>
      </c>
      <c r="F1626" t="inlineStr">
        <is>
          <t>Sveaskog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52380-2025</t>
        </is>
      </c>
      <c r="B1627" s="1" t="n">
        <v>45953.94951388889</v>
      </c>
      <c r="C1627" s="1" t="n">
        <v>46132</v>
      </c>
      <c r="D1627" t="inlineStr">
        <is>
          <t>ÖREBRO LÄN</t>
        </is>
      </c>
      <c r="E1627" t="inlineStr">
        <is>
          <t>NORA</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35378-2024</t>
        </is>
      </c>
      <c r="B1628" s="1" t="n">
        <v>45531</v>
      </c>
      <c r="C1628" s="1" t="n">
        <v>46132</v>
      </c>
      <c r="D1628" t="inlineStr">
        <is>
          <t>ÖREBRO LÄN</t>
        </is>
      </c>
      <c r="E1628" t="inlineStr">
        <is>
          <t>LJUSNARSBERG</t>
        </is>
      </c>
      <c r="F1628" t="inlineStr">
        <is>
          <t>Bergvik skog väst AB</t>
        </is>
      </c>
      <c r="G1628" t="n">
        <v>21.8</v>
      </c>
      <c r="H1628" t="n">
        <v>0</v>
      </c>
      <c r="I1628" t="n">
        <v>0</v>
      </c>
      <c r="J1628" t="n">
        <v>0</v>
      </c>
      <c r="K1628" t="n">
        <v>0</v>
      </c>
      <c r="L1628" t="n">
        <v>0</v>
      </c>
      <c r="M1628" t="n">
        <v>0</v>
      </c>
      <c r="N1628" t="n">
        <v>0</v>
      </c>
      <c r="O1628" t="n">
        <v>0</v>
      </c>
      <c r="P1628" t="n">
        <v>0</v>
      </c>
      <c r="Q1628" t="n">
        <v>0</v>
      </c>
      <c r="R1628" s="2" t="inlineStr"/>
    </row>
    <row r="1629" ht="15" customHeight="1">
      <c r="A1629" t="inlineStr">
        <is>
          <t>A 52518-2022</t>
        </is>
      </c>
      <c r="B1629" s="1" t="n">
        <v>44874</v>
      </c>
      <c r="C1629" s="1" t="n">
        <v>46132</v>
      </c>
      <c r="D1629" t="inlineStr">
        <is>
          <t>ÖREBRO LÄN</t>
        </is>
      </c>
      <c r="E1629" t="inlineStr">
        <is>
          <t>ASKERSUND</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3457-2025</t>
        </is>
      </c>
      <c r="B1630" s="1" t="n">
        <v>45680</v>
      </c>
      <c r="C1630" s="1" t="n">
        <v>46132</v>
      </c>
      <c r="D1630" t="inlineStr">
        <is>
          <t>ÖREBRO LÄN</t>
        </is>
      </c>
      <c r="E1630" t="inlineStr">
        <is>
          <t>ASKERSUND</t>
        </is>
      </c>
      <c r="F1630" t="inlineStr">
        <is>
          <t>Sveaskog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41267-2025</t>
        </is>
      </c>
      <c r="B1631" s="1" t="n">
        <v>45898.61796296296</v>
      </c>
      <c r="C1631" s="1" t="n">
        <v>46132</v>
      </c>
      <c r="D1631" t="inlineStr">
        <is>
          <t>ÖREBRO LÄN</t>
        </is>
      </c>
      <c r="E1631" t="inlineStr">
        <is>
          <t>KARLSKOGA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46030-2024</t>
        </is>
      </c>
      <c r="B1632" s="1" t="n">
        <v>45580.70377314815</v>
      </c>
      <c r="C1632" s="1" t="n">
        <v>46132</v>
      </c>
      <c r="D1632" t="inlineStr">
        <is>
          <t>ÖREBRO LÄN</t>
        </is>
      </c>
      <c r="E1632" t="inlineStr">
        <is>
          <t>ÖREBRO</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41383-2025</t>
        </is>
      </c>
      <c r="B1633" s="1" t="n">
        <v>45898</v>
      </c>
      <c r="C1633" s="1" t="n">
        <v>46132</v>
      </c>
      <c r="D1633" t="inlineStr">
        <is>
          <t>ÖREBRO LÄN</t>
        </is>
      </c>
      <c r="E1633" t="inlineStr">
        <is>
          <t>LJUSNARSBERG</t>
        </is>
      </c>
      <c r="F1633" t="inlineStr">
        <is>
          <t>Bergvik skog väst AB</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40933-2025</t>
        </is>
      </c>
      <c r="B1634" s="1" t="n">
        <v>45897</v>
      </c>
      <c r="C1634" s="1" t="n">
        <v>46132</v>
      </c>
      <c r="D1634" t="inlineStr">
        <is>
          <t>ÖREBRO LÄN</t>
        </is>
      </c>
      <c r="E1634" t="inlineStr">
        <is>
          <t>LJUSNARSBERG</t>
        </is>
      </c>
      <c r="F1634" t="inlineStr">
        <is>
          <t>Bergvik skog väst AB</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70200-2021</t>
        </is>
      </c>
      <c r="B1635" s="1" t="n">
        <v>44534.82171296296</v>
      </c>
      <c r="C1635" s="1" t="n">
        <v>46132</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41017-2025</t>
        </is>
      </c>
      <c r="B1636" s="1" t="n">
        <v>45897</v>
      </c>
      <c r="C1636" s="1" t="n">
        <v>46132</v>
      </c>
      <c r="D1636" t="inlineStr">
        <is>
          <t>ÖREBRO LÄN</t>
        </is>
      </c>
      <c r="E1636" t="inlineStr">
        <is>
          <t>LJUSNARSBERG</t>
        </is>
      </c>
      <c r="F1636" t="inlineStr">
        <is>
          <t>Bergvik skog väst AB</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41027-2025</t>
        </is>
      </c>
      <c r="B1637" s="1" t="n">
        <v>45898.37138888889</v>
      </c>
      <c r="C1637" s="1" t="n">
        <v>46132</v>
      </c>
      <c r="D1637" t="inlineStr">
        <is>
          <t>ÖREBRO LÄN</t>
        </is>
      </c>
      <c r="E1637" t="inlineStr">
        <is>
          <t>LINDESBERG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2771-2023</t>
        </is>
      </c>
      <c r="B1638" s="1" t="n">
        <v>44944.64704861111</v>
      </c>
      <c r="C1638" s="1" t="n">
        <v>46132</v>
      </c>
      <c r="D1638" t="inlineStr">
        <is>
          <t>ÖREBRO LÄN</t>
        </is>
      </c>
      <c r="E1638" t="inlineStr">
        <is>
          <t>ÖREBRO</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5218-2024</t>
        </is>
      </c>
      <c r="B1639" s="1" t="n">
        <v>45330.64273148148</v>
      </c>
      <c r="C1639" s="1" t="n">
        <v>46132</v>
      </c>
      <c r="D1639" t="inlineStr">
        <is>
          <t>ÖREBRO LÄN</t>
        </is>
      </c>
      <c r="E1639" t="inlineStr">
        <is>
          <t>DEGERFORS</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5643-2025</t>
        </is>
      </c>
      <c r="B1640" s="1" t="n">
        <v>45693</v>
      </c>
      <c r="C1640" s="1" t="n">
        <v>46132</v>
      </c>
      <c r="D1640" t="inlineStr">
        <is>
          <t>ÖREBRO LÄN</t>
        </is>
      </c>
      <c r="E1640" t="inlineStr">
        <is>
          <t>ÖREBRO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62265-2022</t>
        </is>
      </c>
      <c r="B1641" s="1" t="n">
        <v>44923</v>
      </c>
      <c r="C1641" s="1" t="n">
        <v>46132</v>
      </c>
      <c r="D1641" t="inlineStr">
        <is>
          <t>ÖREBRO LÄN</t>
        </is>
      </c>
      <c r="E1641" t="inlineStr">
        <is>
          <t>HÄLLEFORS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41420-2025</t>
        </is>
      </c>
      <c r="B1642" s="1" t="n">
        <v>45898</v>
      </c>
      <c r="C1642" s="1" t="n">
        <v>46132</v>
      </c>
      <c r="D1642" t="inlineStr">
        <is>
          <t>ÖREBRO LÄN</t>
        </is>
      </c>
      <c r="E1642" t="inlineStr">
        <is>
          <t>LJUSNARSBERG</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40964-2025</t>
        </is>
      </c>
      <c r="B1643" s="1" t="n">
        <v>45897</v>
      </c>
      <c r="C1643" s="1" t="n">
        <v>46132</v>
      </c>
      <c r="D1643" t="inlineStr">
        <is>
          <t>ÖREBRO LÄN</t>
        </is>
      </c>
      <c r="E1643" t="inlineStr">
        <is>
          <t>LJUSNARSBERG</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41152-2025</t>
        </is>
      </c>
      <c r="B1644" s="1" t="n">
        <v>45898.5128587963</v>
      </c>
      <c r="C1644" s="1" t="n">
        <v>46132</v>
      </c>
      <c r="D1644" t="inlineStr">
        <is>
          <t>ÖREBRO LÄN</t>
        </is>
      </c>
      <c r="E1644" t="inlineStr">
        <is>
          <t>HÄLLEFORS</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59637-2021</t>
        </is>
      </c>
      <c r="B1645" s="1" t="n">
        <v>44493</v>
      </c>
      <c r="C1645" s="1" t="n">
        <v>46132</v>
      </c>
      <c r="D1645" t="inlineStr">
        <is>
          <t>ÖREBRO LÄN</t>
        </is>
      </c>
      <c r="E1645" t="inlineStr">
        <is>
          <t>NORA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48231-2024</t>
        </is>
      </c>
      <c r="B1646" s="1" t="n">
        <v>45590.37590277778</v>
      </c>
      <c r="C1646" s="1" t="n">
        <v>46132</v>
      </c>
      <c r="D1646" t="inlineStr">
        <is>
          <t>ÖREBRO LÄN</t>
        </is>
      </c>
      <c r="E1646" t="inlineStr">
        <is>
          <t>LINDESBERG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12648-2025</t>
        </is>
      </c>
      <c r="B1647" s="1" t="n">
        <v>45733.39797453704</v>
      </c>
      <c r="C1647" s="1" t="n">
        <v>46132</v>
      </c>
      <c r="D1647" t="inlineStr">
        <is>
          <t>ÖREBRO LÄN</t>
        </is>
      </c>
      <c r="E1647" t="inlineStr">
        <is>
          <t>HÄLLEFORS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54649-2023</t>
        </is>
      </c>
      <c r="B1648" s="1" t="n">
        <v>45235</v>
      </c>
      <c r="C1648" s="1" t="n">
        <v>46132</v>
      </c>
      <c r="D1648" t="inlineStr">
        <is>
          <t>ÖREBRO LÄN</t>
        </is>
      </c>
      <c r="E1648" t="inlineStr">
        <is>
          <t>ASKERSUND</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54679-2023</t>
        </is>
      </c>
      <c r="B1649" s="1" t="n">
        <v>45235.89943287037</v>
      </c>
      <c r="C1649" s="1" t="n">
        <v>46132</v>
      </c>
      <c r="D1649" t="inlineStr">
        <is>
          <t>ÖREBRO LÄN</t>
        </is>
      </c>
      <c r="E1649" t="inlineStr">
        <is>
          <t>HALLSBERG</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18981-2024</t>
        </is>
      </c>
      <c r="B1650" s="1" t="n">
        <v>45427.58246527778</v>
      </c>
      <c r="C1650" s="1" t="n">
        <v>46132</v>
      </c>
      <c r="D1650" t="inlineStr">
        <is>
          <t>ÖREBRO LÄN</t>
        </is>
      </c>
      <c r="E1650" t="inlineStr">
        <is>
          <t>ASKERSUND</t>
        </is>
      </c>
      <c r="F1650" t="inlineStr">
        <is>
          <t>Sveaskog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41692-2025</t>
        </is>
      </c>
      <c r="B1651" s="1" t="n">
        <v>45902.4041087963</v>
      </c>
      <c r="C1651" s="1" t="n">
        <v>46132</v>
      </c>
      <c r="D1651" t="inlineStr">
        <is>
          <t>ÖREBRO LÄN</t>
        </is>
      </c>
      <c r="E1651" t="inlineStr">
        <is>
          <t>LEKEBERG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24231-2025</t>
        </is>
      </c>
      <c r="B1652" s="1" t="n">
        <v>45797</v>
      </c>
      <c r="C1652" s="1" t="n">
        <v>46132</v>
      </c>
      <c r="D1652" t="inlineStr">
        <is>
          <t>ÖREBRO LÄN</t>
        </is>
      </c>
      <c r="E1652" t="inlineStr">
        <is>
          <t>HALLSBERG</t>
        </is>
      </c>
      <c r="F1652" t="inlineStr">
        <is>
          <t>Kyrkan</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11516-2024</t>
        </is>
      </c>
      <c r="B1653" s="1" t="n">
        <v>45372</v>
      </c>
      <c r="C1653" s="1" t="n">
        <v>46132</v>
      </c>
      <c r="D1653" t="inlineStr">
        <is>
          <t>ÖREBRO LÄN</t>
        </is>
      </c>
      <c r="E1653" t="inlineStr">
        <is>
          <t>ÖREBRO</t>
        </is>
      </c>
      <c r="G1653" t="n">
        <v>10.7</v>
      </c>
      <c r="H1653" t="n">
        <v>0</v>
      </c>
      <c r="I1653" t="n">
        <v>0</v>
      </c>
      <c r="J1653" t="n">
        <v>0</v>
      </c>
      <c r="K1653" t="n">
        <v>0</v>
      </c>
      <c r="L1653" t="n">
        <v>0</v>
      </c>
      <c r="M1653" t="n">
        <v>0</v>
      </c>
      <c r="N1653" t="n">
        <v>0</v>
      </c>
      <c r="O1653" t="n">
        <v>0</v>
      </c>
      <c r="P1653" t="n">
        <v>0</v>
      </c>
      <c r="Q1653" t="n">
        <v>0</v>
      </c>
      <c r="R1653" s="2" t="inlineStr"/>
    </row>
    <row r="1654" ht="15" customHeight="1">
      <c r="A1654" t="inlineStr">
        <is>
          <t>A 1332-2024</t>
        </is>
      </c>
      <c r="B1654" s="1" t="n">
        <v>45303</v>
      </c>
      <c r="C1654" s="1" t="n">
        <v>46132</v>
      </c>
      <c r="D1654" t="inlineStr">
        <is>
          <t>ÖREBRO LÄN</t>
        </is>
      </c>
      <c r="E1654" t="inlineStr">
        <is>
          <t>ASKERSUND</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41468-2025</t>
        </is>
      </c>
      <c r="B1655" s="1" t="n">
        <v>45896</v>
      </c>
      <c r="C1655" s="1" t="n">
        <v>46132</v>
      </c>
      <c r="D1655" t="inlineStr">
        <is>
          <t>ÖREBRO LÄN</t>
        </is>
      </c>
      <c r="E1655" t="inlineStr">
        <is>
          <t>HALLSBERG</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13305-2023</t>
        </is>
      </c>
      <c r="B1656" s="1" t="n">
        <v>45005.35967592592</v>
      </c>
      <c r="C1656" s="1" t="n">
        <v>46132</v>
      </c>
      <c r="D1656" t="inlineStr">
        <is>
          <t>ÖREBRO LÄN</t>
        </is>
      </c>
      <c r="E1656" t="inlineStr">
        <is>
          <t>LINDESBERG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13368-2023</t>
        </is>
      </c>
      <c r="B1657" s="1" t="n">
        <v>45005.47820601852</v>
      </c>
      <c r="C1657" s="1" t="n">
        <v>46132</v>
      </c>
      <c r="D1657" t="inlineStr">
        <is>
          <t>ÖREBRO LÄN</t>
        </is>
      </c>
      <c r="E1657" t="inlineStr">
        <is>
          <t>LINDESBERG</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47202-2024</t>
        </is>
      </c>
      <c r="B1658" s="1" t="n">
        <v>45586.63421296296</v>
      </c>
      <c r="C1658" s="1" t="n">
        <v>46132</v>
      </c>
      <c r="D1658" t="inlineStr">
        <is>
          <t>ÖREBRO LÄN</t>
        </is>
      </c>
      <c r="E1658" t="inlineStr">
        <is>
          <t>ASKERSUND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5342-2024</t>
        </is>
      </c>
      <c r="B1659" s="1" t="n">
        <v>45331.44145833333</v>
      </c>
      <c r="C1659" s="1" t="n">
        <v>46132</v>
      </c>
      <c r="D1659" t="inlineStr">
        <is>
          <t>ÖREBRO LÄN</t>
        </is>
      </c>
      <c r="E1659" t="inlineStr">
        <is>
          <t>ÖREBRO</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41588-2025</t>
        </is>
      </c>
      <c r="B1660" s="1" t="n">
        <v>45901.63114583334</v>
      </c>
      <c r="C1660" s="1" t="n">
        <v>46132</v>
      </c>
      <c r="D1660" t="inlineStr">
        <is>
          <t>ÖREBRO LÄN</t>
        </is>
      </c>
      <c r="E1660" t="inlineStr">
        <is>
          <t>NORA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37125-2023</t>
        </is>
      </c>
      <c r="B1661" s="1" t="n">
        <v>45155.5653125</v>
      </c>
      <c r="C1661" s="1" t="n">
        <v>46132</v>
      </c>
      <c r="D1661" t="inlineStr">
        <is>
          <t>ÖREBRO LÄN</t>
        </is>
      </c>
      <c r="E1661" t="inlineStr">
        <is>
          <t>LINDESBERG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29942-2024</t>
        </is>
      </c>
      <c r="B1662" s="1" t="n">
        <v>45488.42258101852</v>
      </c>
      <c r="C1662" s="1" t="n">
        <v>46132</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53789-2022</t>
        </is>
      </c>
      <c r="B1663" s="1" t="n">
        <v>44880.49702546297</v>
      </c>
      <c r="C1663" s="1" t="n">
        <v>46132</v>
      </c>
      <c r="D1663" t="inlineStr">
        <is>
          <t>ÖREBRO LÄN</t>
        </is>
      </c>
      <c r="E1663" t="inlineStr">
        <is>
          <t>LJUSNARSBERG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29908-2024</t>
        </is>
      </c>
      <c r="B1664" s="1" t="n">
        <v>45487.82888888889</v>
      </c>
      <c r="C1664" s="1" t="n">
        <v>46132</v>
      </c>
      <c r="D1664" t="inlineStr">
        <is>
          <t>ÖREBRO LÄN</t>
        </is>
      </c>
      <c r="E1664" t="inlineStr">
        <is>
          <t>HALLSBERG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41653-2025</t>
        </is>
      </c>
      <c r="B1665" s="1" t="n">
        <v>45902.3406712963</v>
      </c>
      <c r="C1665" s="1" t="n">
        <v>46132</v>
      </c>
      <c r="D1665" t="inlineStr">
        <is>
          <t>ÖREBRO LÄN</t>
        </is>
      </c>
      <c r="E1665" t="inlineStr">
        <is>
          <t>LINDESBERG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12017-2024</t>
        </is>
      </c>
      <c r="B1666" s="1" t="n">
        <v>45377</v>
      </c>
      <c r="C1666" s="1" t="n">
        <v>46132</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41695-2025</t>
        </is>
      </c>
      <c r="B1667" s="1" t="n">
        <v>45902.40634259259</v>
      </c>
      <c r="C1667" s="1" t="n">
        <v>46132</v>
      </c>
      <c r="D1667" t="inlineStr">
        <is>
          <t>ÖREBRO LÄN</t>
        </is>
      </c>
      <c r="E1667" t="inlineStr">
        <is>
          <t>HALLSBERG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41766-2025</t>
        </is>
      </c>
      <c r="B1668" s="1" t="n">
        <v>45902.54806712963</v>
      </c>
      <c r="C1668" s="1" t="n">
        <v>46132</v>
      </c>
      <c r="D1668" t="inlineStr">
        <is>
          <t>ÖREBRO LÄN</t>
        </is>
      </c>
      <c r="E1668" t="inlineStr">
        <is>
          <t>DEGERFORS</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24186-2024</t>
        </is>
      </c>
      <c r="B1669" s="1" t="n">
        <v>45456.90869212963</v>
      </c>
      <c r="C1669" s="1" t="n">
        <v>46132</v>
      </c>
      <c r="D1669" t="inlineStr">
        <is>
          <t>ÖREBRO LÄN</t>
        </is>
      </c>
      <c r="E1669" t="inlineStr">
        <is>
          <t>LINDESBERG</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8834-2023</t>
        </is>
      </c>
      <c r="B1670" s="1" t="n">
        <v>44978</v>
      </c>
      <c r="C1670" s="1" t="n">
        <v>46132</v>
      </c>
      <c r="D1670" t="inlineStr">
        <is>
          <t>ÖREBRO LÄN</t>
        </is>
      </c>
      <c r="E1670" t="inlineStr">
        <is>
          <t>LINDESBERG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8852-2023</t>
        </is>
      </c>
      <c r="B1671" s="1" t="n">
        <v>44978.8515625</v>
      </c>
      <c r="C1671" s="1" t="n">
        <v>46132</v>
      </c>
      <c r="D1671" t="inlineStr">
        <is>
          <t>ÖREBRO LÄN</t>
        </is>
      </c>
      <c r="E1671" t="inlineStr">
        <is>
          <t>KUMLA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47110-2024</t>
        </is>
      </c>
      <c r="B1672" s="1" t="n">
        <v>45586.55451388889</v>
      </c>
      <c r="C1672" s="1" t="n">
        <v>46132</v>
      </c>
      <c r="D1672" t="inlineStr">
        <is>
          <t>ÖREBRO LÄN</t>
        </is>
      </c>
      <c r="E1672" t="inlineStr">
        <is>
          <t>LINDESBERG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41767-2025</t>
        </is>
      </c>
      <c r="B1673" s="1" t="n">
        <v>45902.54892361111</v>
      </c>
      <c r="C1673" s="1" t="n">
        <v>46132</v>
      </c>
      <c r="D1673" t="inlineStr">
        <is>
          <t>ÖREBRO LÄN</t>
        </is>
      </c>
      <c r="E1673" t="inlineStr">
        <is>
          <t>DEGERFORS</t>
        </is>
      </c>
      <c r="F1673" t="inlineStr">
        <is>
          <t>Sveaskog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25388-2025</t>
        </is>
      </c>
      <c r="B1674" s="1" t="n">
        <v>45800.64457175926</v>
      </c>
      <c r="C1674" s="1" t="n">
        <v>46132</v>
      </c>
      <c r="D1674" t="inlineStr">
        <is>
          <t>ÖREBRO LÄN</t>
        </is>
      </c>
      <c r="E1674" t="inlineStr">
        <is>
          <t>LAXÅ</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24911-2025</t>
        </is>
      </c>
      <c r="B1675" s="1" t="n">
        <v>45799.53796296296</v>
      </c>
      <c r="C1675" s="1" t="n">
        <v>46132</v>
      </c>
      <c r="D1675" t="inlineStr">
        <is>
          <t>ÖREBRO LÄN</t>
        </is>
      </c>
      <c r="E1675" t="inlineStr">
        <is>
          <t>LAXÅ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41807-2025</t>
        </is>
      </c>
      <c r="B1676" s="1" t="n">
        <v>45902.64018518518</v>
      </c>
      <c r="C1676" s="1" t="n">
        <v>46132</v>
      </c>
      <c r="D1676" t="inlineStr">
        <is>
          <t>ÖREBRO LÄN</t>
        </is>
      </c>
      <c r="E1676" t="inlineStr">
        <is>
          <t>HALLSBERG</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41693-2025</t>
        </is>
      </c>
      <c r="B1677" s="1" t="n">
        <v>45902.40513888889</v>
      </c>
      <c r="C1677" s="1" t="n">
        <v>46132</v>
      </c>
      <c r="D1677" t="inlineStr">
        <is>
          <t>ÖREBRO LÄN</t>
        </is>
      </c>
      <c r="E1677" t="inlineStr">
        <is>
          <t>HALLSBERG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41340-2025</t>
        </is>
      </c>
      <c r="B1678" s="1" t="n">
        <v>45899.38057870371</v>
      </c>
      <c r="C1678" s="1" t="n">
        <v>46132</v>
      </c>
      <c r="D1678" t="inlineStr">
        <is>
          <t>ÖREBRO LÄN</t>
        </is>
      </c>
      <c r="E1678" t="inlineStr">
        <is>
          <t>LINDESBERG</t>
        </is>
      </c>
      <c r="G1678" t="n">
        <v>16.5</v>
      </c>
      <c r="H1678" t="n">
        <v>0</v>
      </c>
      <c r="I1678" t="n">
        <v>0</v>
      </c>
      <c r="J1678" t="n">
        <v>0</v>
      </c>
      <c r="K1678" t="n">
        <v>0</v>
      </c>
      <c r="L1678" t="n">
        <v>0</v>
      </c>
      <c r="M1678" t="n">
        <v>0</v>
      </c>
      <c r="N1678" t="n">
        <v>0</v>
      </c>
      <c r="O1678" t="n">
        <v>0</v>
      </c>
      <c r="P1678" t="n">
        <v>0</v>
      </c>
      <c r="Q1678" t="n">
        <v>0</v>
      </c>
      <c r="R1678" s="2" t="inlineStr"/>
    </row>
    <row r="1679" ht="15" customHeight="1">
      <c r="A1679" t="inlineStr">
        <is>
          <t>A 53187-2025</t>
        </is>
      </c>
      <c r="B1679" s="1" t="n">
        <v>45958.55577546296</v>
      </c>
      <c r="C1679" s="1" t="n">
        <v>46132</v>
      </c>
      <c r="D1679" t="inlineStr">
        <is>
          <t>ÖREBRO LÄN</t>
        </is>
      </c>
      <c r="E1679" t="inlineStr">
        <is>
          <t>LINDESBERG</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29131-2024</t>
        </is>
      </c>
      <c r="B1680" s="1" t="n">
        <v>45481</v>
      </c>
      <c r="C1680" s="1" t="n">
        <v>46132</v>
      </c>
      <c r="D1680" t="inlineStr">
        <is>
          <t>ÖREBRO LÄN</t>
        </is>
      </c>
      <c r="E1680" t="inlineStr">
        <is>
          <t>ASKERSUND</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56077-2022</t>
        </is>
      </c>
      <c r="B1681" s="1" t="n">
        <v>44889.60872685185</v>
      </c>
      <c r="C1681" s="1" t="n">
        <v>46132</v>
      </c>
      <c r="D1681" t="inlineStr">
        <is>
          <t>ÖREBRO LÄN</t>
        </is>
      </c>
      <c r="E1681" t="inlineStr">
        <is>
          <t>ÖREBRO</t>
        </is>
      </c>
      <c r="F1681" t="inlineStr">
        <is>
          <t>Övriga Aktiebolag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56136-2022</t>
        </is>
      </c>
      <c r="B1682" s="1" t="n">
        <v>44889</v>
      </c>
      <c r="C1682" s="1" t="n">
        <v>46132</v>
      </c>
      <c r="D1682" t="inlineStr">
        <is>
          <t>ÖREBRO LÄN</t>
        </is>
      </c>
      <c r="E1682" t="inlineStr">
        <is>
          <t>NORA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29027-2024</t>
        </is>
      </c>
      <c r="B1683" s="1" t="n">
        <v>45481.58833333333</v>
      </c>
      <c r="C1683" s="1" t="n">
        <v>46132</v>
      </c>
      <c r="D1683" t="inlineStr">
        <is>
          <t>ÖREBRO LÄN</t>
        </is>
      </c>
      <c r="E1683" t="inlineStr">
        <is>
          <t>HÄLLEFORS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10321-2023</t>
        </is>
      </c>
      <c r="B1684" s="1" t="n">
        <v>44986.99549768519</v>
      </c>
      <c r="C1684" s="1" t="n">
        <v>46132</v>
      </c>
      <c r="D1684" t="inlineStr">
        <is>
          <t>ÖREBRO LÄN</t>
        </is>
      </c>
      <c r="E1684" t="inlineStr">
        <is>
          <t>DEGERFORS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41369-2025</t>
        </is>
      </c>
      <c r="B1685" s="1" t="n">
        <v>45900.56857638889</v>
      </c>
      <c r="C1685" s="1" t="n">
        <v>46132</v>
      </c>
      <c r="D1685" t="inlineStr">
        <is>
          <t>ÖREBRO LÄN</t>
        </is>
      </c>
      <c r="E1685" t="inlineStr">
        <is>
          <t>DEGERFORS</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24707-2025</t>
        </is>
      </c>
      <c r="B1686" s="1" t="n">
        <v>45798.81579861111</v>
      </c>
      <c r="C1686" s="1" t="n">
        <v>46132</v>
      </c>
      <c r="D1686" t="inlineStr">
        <is>
          <t>ÖREBRO LÄN</t>
        </is>
      </c>
      <c r="E1686" t="inlineStr">
        <is>
          <t>DEGERFORS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9609-2023</t>
        </is>
      </c>
      <c r="B1687" s="1" t="n">
        <v>44983.93344907407</v>
      </c>
      <c r="C1687" s="1" t="n">
        <v>46132</v>
      </c>
      <c r="D1687" t="inlineStr">
        <is>
          <t>ÖREBRO LÄN</t>
        </is>
      </c>
      <c r="E1687" t="inlineStr">
        <is>
          <t>ÖREBRO</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41642-2025</t>
        </is>
      </c>
      <c r="B1688" s="1" t="n">
        <v>45901</v>
      </c>
      <c r="C1688" s="1" t="n">
        <v>46132</v>
      </c>
      <c r="D1688" t="inlineStr">
        <is>
          <t>ÖREBRO LÄN</t>
        </is>
      </c>
      <c r="E1688" t="inlineStr">
        <is>
          <t>DEGERFORS</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24908-2025</t>
        </is>
      </c>
      <c r="B1689" s="1" t="n">
        <v>45799.53336805556</v>
      </c>
      <c r="C1689" s="1" t="n">
        <v>46132</v>
      </c>
      <c r="D1689" t="inlineStr">
        <is>
          <t>ÖREBRO LÄN</t>
        </is>
      </c>
      <c r="E1689" t="inlineStr">
        <is>
          <t>LAXÅ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20289-2024</t>
        </is>
      </c>
      <c r="B1690" s="1" t="n">
        <v>45435.30835648148</v>
      </c>
      <c r="C1690" s="1" t="n">
        <v>46132</v>
      </c>
      <c r="D1690" t="inlineStr">
        <is>
          <t>ÖREBRO LÄN</t>
        </is>
      </c>
      <c r="E1690" t="inlineStr">
        <is>
          <t>KARLSKOGA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70707-2021</t>
        </is>
      </c>
      <c r="B1691" s="1" t="n">
        <v>44537</v>
      </c>
      <c r="C1691" s="1" t="n">
        <v>46132</v>
      </c>
      <c r="D1691" t="inlineStr">
        <is>
          <t>ÖREBRO LÄN</t>
        </is>
      </c>
      <c r="E1691" t="inlineStr">
        <is>
          <t>ÖREBRO</t>
        </is>
      </c>
      <c r="G1691" t="n">
        <v>13.2</v>
      </c>
      <c r="H1691" t="n">
        <v>0</v>
      </c>
      <c r="I1691" t="n">
        <v>0</v>
      </c>
      <c r="J1691" t="n">
        <v>0</v>
      </c>
      <c r="K1691" t="n">
        <v>0</v>
      </c>
      <c r="L1691" t="n">
        <v>0</v>
      </c>
      <c r="M1691" t="n">
        <v>0</v>
      </c>
      <c r="N1691" t="n">
        <v>0</v>
      </c>
      <c r="O1691" t="n">
        <v>0</v>
      </c>
      <c r="P1691" t="n">
        <v>0</v>
      </c>
      <c r="Q1691" t="n">
        <v>0</v>
      </c>
      <c r="R1691" s="2" t="inlineStr"/>
    </row>
    <row r="1692" ht="15" customHeight="1">
      <c r="A1692" t="inlineStr">
        <is>
          <t>A 41669-2025</t>
        </is>
      </c>
      <c r="B1692" s="1" t="n">
        <v>45902.36149305556</v>
      </c>
      <c r="C1692" s="1" t="n">
        <v>46132</v>
      </c>
      <c r="D1692" t="inlineStr">
        <is>
          <t>ÖREBRO LÄN</t>
        </is>
      </c>
      <c r="E1692" t="inlineStr">
        <is>
          <t>ÖREBRO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41412-2025</t>
        </is>
      </c>
      <c r="B1693" s="1" t="n">
        <v>45901.3549537037</v>
      </c>
      <c r="C1693" s="1" t="n">
        <v>46132</v>
      </c>
      <c r="D1693" t="inlineStr">
        <is>
          <t>ÖREBRO LÄN</t>
        </is>
      </c>
      <c r="E1693" t="inlineStr">
        <is>
          <t>ÖREBRO</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57243-2022</t>
        </is>
      </c>
      <c r="B1694" s="1" t="n">
        <v>44895.71835648148</v>
      </c>
      <c r="C1694" s="1" t="n">
        <v>46132</v>
      </c>
      <c r="D1694" t="inlineStr">
        <is>
          <t>ÖREBRO LÄN</t>
        </is>
      </c>
      <c r="E1694" t="inlineStr">
        <is>
          <t>ÖREBRO</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42056-2025</t>
        </is>
      </c>
      <c r="B1695" s="1" t="n">
        <v>45903.64190972222</v>
      </c>
      <c r="C1695" s="1" t="n">
        <v>46132</v>
      </c>
      <c r="D1695" t="inlineStr">
        <is>
          <t>ÖREBRO LÄN</t>
        </is>
      </c>
      <c r="E1695" t="inlineStr">
        <is>
          <t>NORA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41889-2025</t>
        </is>
      </c>
      <c r="B1696" s="1" t="n">
        <v>45903.37475694445</v>
      </c>
      <c r="C1696" s="1" t="n">
        <v>46132</v>
      </c>
      <c r="D1696" t="inlineStr">
        <is>
          <t>ÖREBRO LÄN</t>
        </is>
      </c>
      <c r="E1696" t="inlineStr">
        <is>
          <t>LINDESBERG</t>
        </is>
      </c>
      <c r="F1696" t="inlineStr">
        <is>
          <t>Sveaskog</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21468-2024</t>
        </is>
      </c>
      <c r="B1697" s="1" t="n">
        <v>45441.48670138889</v>
      </c>
      <c r="C1697" s="1" t="n">
        <v>46132</v>
      </c>
      <c r="D1697" t="inlineStr">
        <is>
          <t>ÖREBRO LÄN</t>
        </is>
      </c>
      <c r="E1697" t="inlineStr">
        <is>
          <t>LINDESBERG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53286-2025</t>
        </is>
      </c>
      <c r="B1698" s="1" t="n">
        <v>45958</v>
      </c>
      <c r="C1698" s="1" t="n">
        <v>46132</v>
      </c>
      <c r="D1698" t="inlineStr">
        <is>
          <t>ÖREBRO LÄN</t>
        </is>
      </c>
      <c r="E1698" t="inlineStr">
        <is>
          <t>ASKERSUND</t>
        </is>
      </c>
      <c r="F1698" t="inlineStr">
        <is>
          <t>Övriga Aktiebolag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54855-2024</t>
        </is>
      </c>
      <c r="B1699" s="1" t="n">
        <v>45618.58622685185</v>
      </c>
      <c r="C1699" s="1" t="n">
        <v>46132</v>
      </c>
      <c r="D1699" t="inlineStr">
        <is>
          <t>ÖREBRO LÄN</t>
        </is>
      </c>
      <c r="E1699" t="inlineStr">
        <is>
          <t>LINDESBERG</t>
        </is>
      </c>
      <c r="F1699" t="inlineStr">
        <is>
          <t>Sveaskog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42050-2025</t>
        </is>
      </c>
      <c r="B1700" s="1" t="n">
        <v>45903.63047453704</v>
      </c>
      <c r="C1700" s="1" t="n">
        <v>46132</v>
      </c>
      <c r="D1700" t="inlineStr">
        <is>
          <t>ÖREBRO LÄN</t>
        </is>
      </c>
      <c r="E1700" t="inlineStr">
        <is>
          <t>NORA</t>
        </is>
      </c>
      <c r="F1700" t="inlineStr">
        <is>
          <t>Övriga Aktiebolag</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58621-2024</t>
        </is>
      </c>
      <c r="B1701" s="1" t="n">
        <v>45635.56321759259</v>
      </c>
      <c r="C1701" s="1" t="n">
        <v>46132</v>
      </c>
      <c r="D1701" t="inlineStr">
        <is>
          <t>ÖREBRO LÄN</t>
        </is>
      </c>
      <c r="E1701" t="inlineStr">
        <is>
          <t>ÖREBRO</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6727-2022</t>
        </is>
      </c>
      <c r="B1702" s="1" t="n">
        <v>44602.45490740741</v>
      </c>
      <c r="C1702" s="1" t="n">
        <v>46132</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52379-2025</t>
        </is>
      </c>
      <c r="B1703" s="1" t="n">
        <v>45953.94826388889</v>
      </c>
      <c r="C1703" s="1" t="n">
        <v>46132</v>
      </c>
      <c r="D1703" t="inlineStr">
        <is>
          <t>ÖREBRO LÄN</t>
        </is>
      </c>
      <c r="E1703" t="inlineStr">
        <is>
          <t>KARLSKOGA</t>
        </is>
      </c>
      <c r="F1703" t="inlineStr">
        <is>
          <t>Sveaskog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58216-2024</t>
        </is>
      </c>
      <c r="B1704" s="1" t="n">
        <v>45632</v>
      </c>
      <c r="C1704" s="1" t="n">
        <v>46132</v>
      </c>
      <c r="D1704" t="inlineStr">
        <is>
          <t>ÖREBRO LÄN</t>
        </is>
      </c>
      <c r="E1704" t="inlineStr">
        <is>
          <t>ÖREBRO</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57234-2024</t>
        </is>
      </c>
      <c r="B1705" s="1" t="n">
        <v>45629.54484953704</v>
      </c>
      <c r="C1705" s="1" t="n">
        <v>46132</v>
      </c>
      <c r="D1705" t="inlineStr">
        <is>
          <t>ÖREBRO LÄN</t>
        </is>
      </c>
      <c r="E1705" t="inlineStr">
        <is>
          <t>DEGERFORS</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58768-2024</t>
        </is>
      </c>
      <c r="B1706" s="1" t="n">
        <v>45635</v>
      </c>
      <c r="C1706" s="1" t="n">
        <v>46132</v>
      </c>
      <c r="D1706" t="inlineStr">
        <is>
          <t>ÖREBRO LÄN</t>
        </is>
      </c>
      <c r="E1706" t="inlineStr">
        <is>
          <t>HÄLLEFORS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25172-2025</t>
        </is>
      </c>
      <c r="B1707" s="1" t="n">
        <v>45800.445</v>
      </c>
      <c r="C1707" s="1" t="n">
        <v>46132</v>
      </c>
      <c r="D1707" t="inlineStr">
        <is>
          <t>ÖREBRO LÄN</t>
        </is>
      </c>
      <c r="E1707" t="inlineStr">
        <is>
          <t>LAXÅ</t>
        </is>
      </c>
      <c r="F1707" t="inlineStr">
        <is>
          <t>Sveaskog</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41939-2025</t>
        </is>
      </c>
      <c r="B1708" s="1" t="n">
        <v>45903.44396990741</v>
      </c>
      <c r="C1708" s="1" t="n">
        <v>46132</v>
      </c>
      <c r="D1708" t="inlineStr">
        <is>
          <t>ÖREBRO LÄN</t>
        </is>
      </c>
      <c r="E1708" t="inlineStr">
        <is>
          <t>NORA</t>
        </is>
      </c>
      <c r="F1708" t="inlineStr">
        <is>
          <t>Övriga Aktiebolag</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41810-2023</t>
        </is>
      </c>
      <c r="B1709" s="1" t="n">
        <v>45176</v>
      </c>
      <c r="C1709" s="1" t="n">
        <v>46132</v>
      </c>
      <c r="D1709" t="inlineStr">
        <is>
          <t>ÖREBRO LÄN</t>
        </is>
      </c>
      <c r="E1709" t="inlineStr">
        <is>
          <t>HÄLLEFORS</t>
        </is>
      </c>
      <c r="F1709" t="inlineStr">
        <is>
          <t>Bergvik skog väst AB</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21915-2025</t>
        </is>
      </c>
      <c r="B1710" s="1" t="n">
        <v>45784</v>
      </c>
      <c r="C1710" s="1" t="n">
        <v>46132</v>
      </c>
      <c r="D1710" t="inlineStr">
        <is>
          <t>ÖREBRO LÄN</t>
        </is>
      </c>
      <c r="E1710" t="inlineStr">
        <is>
          <t>KARLSKOGA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24099-2025</t>
        </is>
      </c>
      <c r="B1711" s="1" t="n">
        <v>45796</v>
      </c>
      <c r="C1711" s="1" t="n">
        <v>46132</v>
      </c>
      <c r="D1711" t="inlineStr">
        <is>
          <t>ÖREBRO LÄN</t>
        </is>
      </c>
      <c r="E1711" t="inlineStr">
        <is>
          <t>KARLSKOGA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18645-2023</t>
        </is>
      </c>
      <c r="B1712" s="1" t="n">
        <v>45043</v>
      </c>
      <c r="C1712" s="1" t="n">
        <v>46132</v>
      </c>
      <c r="D1712" t="inlineStr">
        <is>
          <t>ÖREBRO LÄN</t>
        </is>
      </c>
      <c r="E1712" t="inlineStr">
        <is>
          <t>LEKEBERG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6723-2022</t>
        </is>
      </c>
      <c r="B1713" s="1" t="n">
        <v>44602.45162037037</v>
      </c>
      <c r="C1713" s="1" t="n">
        <v>46132</v>
      </c>
      <c r="D1713" t="inlineStr">
        <is>
          <t>ÖREBRO LÄN</t>
        </is>
      </c>
      <c r="E1713" t="inlineStr">
        <is>
          <t>LINDESBERG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54873-2024</t>
        </is>
      </c>
      <c r="B1714" s="1" t="n">
        <v>45618.601875</v>
      </c>
      <c r="C1714" s="1" t="n">
        <v>46132</v>
      </c>
      <c r="D1714" t="inlineStr">
        <is>
          <t>ÖREBRO LÄN</t>
        </is>
      </c>
      <c r="E1714" t="inlineStr">
        <is>
          <t>LAXÅ</t>
        </is>
      </c>
      <c r="F1714" t="inlineStr">
        <is>
          <t>Sveaskog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42197-2025</t>
        </is>
      </c>
      <c r="B1715" s="1" t="n">
        <v>45904.48486111111</v>
      </c>
      <c r="C1715" s="1" t="n">
        <v>46132</v>
      </c>
      <c r="D1715" t="inlineStr">
        <is>
          <t>ÖREBRO LÄN</t>
        </is>
      </c>
      <c r="E1715" t="inlineStr">
        <is>
          <t>LEKEBERG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42172-2025</t>
        </is>
      </c>
      <c r="B1716" s="1" t="n">
        <v>45904.4365625</v>
      </c>
      <c r="C1716" s="1" t="n">
        <v>46132</v>
      </c>
      <c r="D1716" t="inlineStr">
        <is>
          <t>ÖREBRO LÄN</t>
        </is>
      </c>
      <c r="E1716" t="inlineStr">
        <is>
          <t>ASKERSUND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12418-2023</t>
        </is>
      </c>
      <c r="B1717" s="1" t="n">
        <v>44999.52805555556</v>
      </c>
      <c r="C1717" s="1" t="n">
        <v>46132</v>
      </c>
      <c r="D1717" t="inlineStr">
        <is>
          <t>ÖREBRO LÄN</t>
        </is>
      </c>
      <c r="E1717" t="inlineStr">
        <is>
          <t>ASKERSUND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12423-2023</t>
        </is>
      </c>
      <c r="B1718" s="1" t="n">
        <v>44999.53216435185</v>
      </c>
      <c r="C1718" s="1" t="n">
        <v>46132</v>
      </c>
      <c r="D1718" t="inlineStr">
        <is>
          <t>ÖREBRO LÄN</t>
        </is>
      </c>
      <c r="E1718" t="inlineStr">
        <is>
          <t>ASKERSUND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4467-2022</t>
        </is>
      </c>
      <c r="B1719" s="1" t="n">
        <v>44589</v>
      </c>
      <c r="C1719" s="1" t="n">
        <v>46132</v>
      </c>
      <c r="D1719" t="inlineStr">
        <is>
          <t>ÖREBRO LÄN</t>
        </is>
      </c>
      <c r="E1719" t="inlineStr">
        <is>
          <t>LEKEBERG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11581-2024</t>
        </is>
      </c>
      <c r="B1720" s="1" t="n">
        <v>45373.34383101852</v>
      </c>
      <c r="C1720" s="1" t="n">
        <v>46132</v>
      </c>
      <c r="D1720" t="inlineStr">
        <is>
          <t>ÖREBRO LÄN</t>
        </is>
      </c>
      <c r="E1720" t="inlineStr">
        <is>
          <t>LINDESBERG</t>
        </is>
      </c>
      <c r="F1720" t="inlineStr">
        <is>
          <t>BillerudKorsnäs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4997-2024</t>
        </is>
      </c>
      <c r="B1721" s="1" t="n">
        <v>45329</v>
      </c>
      <c r="C1721" s="1" t="n">
        <v>46132</v>
      </c>
      <c r="D1721" t="inlineStr">
        <is>
          <t>ÖREBRO LÄN</t>
        </is>
      </c>
      <c r="E1721" t="inlineStr">
        <is>
          <t>LINDESBERG</t>
        </is>
      </c>
      <c r="F1721" t="inlineStr">
        <is>
          <t>BillerudKorsnäs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42281-2025</t>
        </is>
      </c>
      <c r="B1722" s="1" t="n">
        <v>45904.61800925926</v>
      </c>
      <c r="C1722" s="1" t="n">
        <v>46132</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42295-2025</t>
        </is>
      </c>
      <c r="B1723" s="1" t="n">
        <v>45904.63057870371</v>
      </c>
      <c r="C1723" s="1" t="n">
        <v>46132</v>
      </c>
      <c r="D1723" t="inlineStr">
        <is>
          <t>ÖREBRO LÄN</t>
        </is>
      </c>
      <c r="E1723" t="inlineStr">
        <is>
          <t>LEKEBERG</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5562-2025</t>
        </is>
      </c>
      <c r="B1724" s="1" t="n">
        <v>45693</v>
      </c>
      <c r="C1724" s="1" t="n">
        <v>46132</v>
      </c>
      <c r="D1724" t="inlineStr">
        <is>
          <t>ÖREBRO LÄN</t>
        </is>
      </c>
      <c r="E1724" t="inlineStr">
        <is>
          <t>NORA</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25473-2025</t>
        </is>
      </c>
      <c r="B1725" s="1" t="n">
        <v>45802.75168981482</v>
      </c>
      <c r="C1725" s="1" t="n">
        <v>46132</v>
      </c>
      <c r="D1725" t="inlineStr">
        <is>
          <t>ÖREBRO LÄN</t>
        </is>
      </c>
      <c r="E1725" t="inlineStr">
        <is>
          <t>HALLSBERG</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25474-2025</t>
        </is>
      </c>
      <c r="B1726" s="1" t="n">
        <v>45802.75615740741</v>
      </c>
      <c r="C1726" s="1" t="n">
        <v>46132</v>
      </c>
      <c r="D1726" t="inlineStr">
        <is>
          <t>ÖREBRO LÄN</t>
        </is>
      </c>
      <c r="E1726" t="inlineStr">
        <is>
          <t>HALLSBERG</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42049-2025</t>
        </is>
      </c>
      <c r="B1727" s="1" t="n">
        <v>45903.63034722222</v>
      </c>
      <c r="C1727" s="1" t="n">
        <v>46132</v>
      </c>
      <c r="D1727" t="inlineStr">
        <is>
          <t>ÖREBRO LÄN</t>
        </is>
      </c>
      <c r="E1727" t="inlineStr">
        <is>
          <t>NORA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25578-2025</t>
        </is>
      </c>
      <c r="B1728" s="1" t="n">
        <v>45803.47803240741</v>
      </c>
      <c r="C1728" s="1" t="n">
        <v>46132</v>
      </c>
      <c r="D1728" t="inlineStr">
        <is>
          <t>ÖREBRO LÄN</t>
        </is>
      </c>
      <c r="E1728" t="inlineStr">
        <is>
          <t>ÖREBRO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62501-2022</t>
        </is>
      </c>
      <c r="B1729" s="1" t="n">
        <v>44924.593125</v>
      </c>
      <c r="C1729" s="1" t="n">
        <v>46132</v>
      </c>
      <c r="D1729" t="inlineStr">
        <is>
          <t>ÖREBRO LÄN</t>
        </is>
      </c>
      <c r="E1729" t="inlineStr">
        <is>
          <t>HÄLLEFORS</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25744-2025</t>
        </is>
      </c>
      <c r="B1730" s="1" t="n">
        <v>45804.18709490741</v>
      </c>
      <c r="C1730" s="1" t="n">
        <v>46132</v>
      </c>
      <c r="D1730" t="inlineStr">
        <is>
          <t>ÖREBRO LÄN</t>
        </is>
      </c>
      <c r="E1730" t="inlineStr">
        <is>
          <t>DEGERFORS</t>
        </is>
      </c>
      <c r="F1730" t="inlineStr">
        <is>
          <t>Sveaskog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58020-2021</t>
        </is>
      </c>
      <c r="B1731" s="1" t="n">
        <v>44484</v>
      </c>
      <c r="C1731" s="1" t="n">
        <v>46132</v>
      </c>
      <c r="D1731" t="inlineStr">
        <is>
          <t>ÖREBRO LÄN</t>
        </is>
      </c>
      <c r="E1731" t="inlineStr">
        <is>
          <t>LEKEBERG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42287-2025</t>
        </is>
      </c>
      <c r="B1732" s="1" t="n">
        <v>45903</v>
      </c>
      <c r="C1732" s="1" t="n">
        <v>46132</v>
      </c>
      <c r="D1732" t="inlineStr">
        <is>
          <t>ÖREBRO LÄN</t>
        </is>
      </c>
      <c r="E1732" t="inlineStr">
        <is>
          <t>LJUSNARSBERG</t>
        </is>
      </c>
      <c r="F1732" t="inlineStr">
        <is>
          <t>Bergvik skog väst AB</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42100-2025</t>
        </is>
      </c>
      <c r="B1733" s="1" t="n">
        <v>45903.77434027778</v>
      </c>
      <c r="C1733" s="1" t="n">
        <v>46132</v>
      </c>
      <c r="D1733" t="inlineStr">
        <is>
          <t>ÖREBRO LÄN</t>
        </is>
      </c>
      <c r="E1733" t="inlineStr">
        <is>
          <t>ASKERSUND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42161-2025</t>
        </is>
      </c>
      <c r="B1734" s="1" t="n">
        <v>45904.41351851852</v>
      </c>
      <c r="C1734" s="1" t="n">
        <v>46132</v>
      </c>
      <c r="D1734" t="inlineStr">
        <is>
          <t>ÖREBRO LÄN</t>
        </is>
      </c>
      <c r="E1734" t="inlineStr">
        <is>
          <t>ASKERSUND</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42542-2025</t>
        </is>
      </c>
      <c r="B1735" s="1" t="n">
        <v>45905.57699074074</v>
      </c>
      <c r="C1735" s="1" t="n">
        <v>46132</v>
      </c>
      <c r="D1735" t="inlineStr">
        <is>
          <t>ÖREBRO LÄN</t>
        </is>
      </c>
      <c r="E1735" t="inlineStr">
        <is>
          <t>ASKERSUND</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38190-2024</t>
        </is>
      </c>
      <c r="B1736" s="1" t="n">
        <v>45545.49076388889</v>
      </c>
      <c r="C1736" s="1" t="n">
        <v>46132</v>
      </c>
      <c r="D1736" t="inlineStr">
        <is>
          <t>ÖREBRO LÄN</t>
        </is>
      </c>
      <c r="E1736" t="inlineStr">
        <is>
          <t>KARLSKOGA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42549-2025</t>
        </is>
      </c>
      <c r="B1737" s="1" t="n">
        <v>45905.59025462963</v>
      </c>
      <c r="C1737" s="1" t="n">
        <v>46132</v>
      </c>
      <c r="D1737" t="inlineStr">
        <is>
          <t>ÖREBRO LÄN</t>
        </is>
      </c>
      <c r="E1737" t="inlineStr">
        <is>
          <t>LAXÅ</t>
        </is>
      </c>
      <c r="F1737" t="inlineStr">
        <is>
          <t>Sveaskog</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42571-2025</t>
        </is>
      </c>
      <c r="B1738" s="1" t="n">
        <v>45905.60946759259</v>
      </c>
      <c r="C1738" s="1" t="n">
        <v>46132</v>
      </c>
      <c r="D1738" t="inlineStr">
        <is>
          <t>ÖREBRO LÄN</t>
        </is>
      </c>
      <c r="E1738" t="inlineStr">
        <is>
          <t>LAXÅ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42604-2025</t>
        </is>
      </c>
      <c r="B1739" s="1" t="n">
        <v>45905.67453703703</v>
      </c>
      <c r="C1739" s="1" t="n">
        <v>46132</v>
      </c>
      <c r="D1739" t="inlineStr">
        <is>
          <t>ÖREBRO LÄN</t>
        </is>
      </c>
      <c r="E1739" t="inlineStr">
        <is>
          <t>HALLSBERG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42630-2025</t>
        </is>
      </c>
      <c r="B1740" s="1" t="n">
        <v>45905.89143518519</v>
      </c>
      <c r="C1740" s="1" t="n">
        <v>46132</v>
      </c>
      <c r="D1740" t="inlineStr">
        <is>
          <t>ÖREBRO LÄN</t>
        </is>
      </c>
      <c r="E1740" t="inlineStr">
        <is>
          <t>LINDESBERG</t>
        </is>
      </c>
      <c r="F1740" t="inlineStr">
        <is>
          <t>Sveaskog</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25471-2025</t>
        </is>
      </c>
      <c r="B1741" s="1" t="n">
        <v>45802.73936342593</v>
      </c>
      <c r="C1741" s="1" t="n">
        <v>46132</v>
      </c>
      <c r="D1741" t="inlineStr">
        <is>
          <t>ÖREBRO LÄN</t>
        </is>
      </c>
      <c r="E1741" t="inlineStr">
        <is>
          <t>HALLSBERG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43796-2021</t>
        </is>
      </c>
      <c r="B1742" s="1" t="n">
        <v>44433</v>
      </c>
      <c r="C1742" s="1" t="n">
        <v>46132</v>
      </c>
      <c r="D1742" t="inlineStr">
        <is>
          <t>ÖREBRO LÄN</t>
        </is>
      </c>
      <c r="E1742" t="inlineStr">
        <is>
          <t>LAXÅ</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3057-2024</t>
        </is>
      </c>
      <c r="B1743" s="1" t="n">
        <v>45316</v>
      </c>
      <c r="C1743" s="1" t="n">
        <v>46132</v>
      </c>
      <c r="D1743" t="inlineStr">
        <is>
          <t>ÖREBRO LÄN</t>
        </is>
      </c>
      <c r="E1743" t="inlineStr">
        <is>
          <t>HÄLLEFORS</t>
        </is>
      </c>
      <c r="F1743" t="inlineStr">
        <is>
          <t>Bergvik skog väst AB</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52376-2025</t>
        </is>
      </c>
      <c r="B1744" s="1" t="n">
        <v>45953.94524305555</v>
      </c>
      <c r="C1744" s="1" t="n">
        <v>46132</v>
      </c>
      <c r="D1744" t="inlineStr">
        <is>
          <t>ÖREBRO LÄN</t>
        </is>
      </c>
      <c r="E1744" t="inlineStr">
        <is>
          <t>KARLSKOGA</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52402-2025</t>
        </is>
      </c>
      <c r="B1745" s="1" t="n">
        <v>45954.35387731482</v>
      </c>
      <c r="C1745" s="1" t="n">
        <v>46132</v>
      </c>
      <c r="D1745" t="inlineStr">
        <is>
          <t>ÖREBRO LÄN</t>
        </is>
      </c>
      <c r="E1745" t="inlineStr">
        <is>
          <t>LINDESBERG</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25842-2025</t>
        </is>
      </c>
      <c r="B1746" s="1" t="n">
        <v>45804.45474537037</v>
      </c>
      <c r="C1746" s="1" t="n">
        <v>46132</v>
      </c>
      <c r="D1746" t="inlineStr">
        <is>
          <t>ÖREBRO LÄN</t>
        </is>
      </c>
      <c r="E1746" t="inlineStr">
        <is>
          <t>LINDESBERG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51714-2022</t>
        </is>
      </c>
      <c r="B1747" s="1" t="n">
        <v>44872.46712962963</v>
      </c>
      <c r="C1747" s="1" t="n">
        <v>46132</v>
      </c>
      <c r="D1747" t="inlineStr">
        <is>
          <t>ÖREBRO LÄN</t>
        </is>
      </c>
      <c r="E1747" t="inlineStr">
        <is>
          <t>LAXÅ</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42738-2025</t>
        </is>
      </c>
      <c r="B1748" s="1" t="n">
        <v>45908.42685185185</v>
      </c>
      <c r="C1748" s="1" t="n">
        <v>46132</v>
      </c>
      <c r="D1748" t="inlineStr">
        <is>
          <t>ÖREBRO LÄN</t>
        </is>
      </c>
      <c r="E1748" t="inlineStr">
        <is>
          <t>LAXÅ</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42740-2025</t>
        </is>
      </c>
      <c r="B1749" s="1" t="n">
        <v>45908.4287962963</v>
      </c>
      <c r="C1749" s="1" t="n">
        <v>46132</v>
      </c>
      <c r="D1749" t="inlineStr">
        <is>
          <t>ÖREBRO LÄN</t>
        </is>
      </c>
      <c r="E1749" t="inlineStr">
        <is>
          <t>LAXÅ</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42743-2025</t>
        </is>
      </c>
      <c r="B1750" s="1" t="n">
        <v>45908.43072916667</v>
      </c>
      <c r="C1750" s="1" t="n">
        <v>46132</v>
      </c>
      <c r="D1750" t="inlineStr">
        <is>
          <t>ÖREBRO LÄN</t>
        </is>
      </c>
      <c r="E1750" t="inlineStr">
        <is>
          <t>LAXÅ</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25175-2024</t>
        </is>
      </c>
      <c r="B1751" s="1" t="n">
        <v>45462.545625</v>
      </c>
      <c r="C1751" s="1" t="n">
        <v>46132</v>
      </c>
      <c r="D1751" t="inlineStr">
        <is>
          <t>ÖREBRO LÄN</t>
        </is>
      </c>
      <c r="E1751" t="inlineStr">
        <is>
          <t>DEGERFORS</t>
        </is>
      </c>
      <c r="F1751" t="inlineStr">
        <is>
          <t>Sveaskog</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48884-2022</t>
        </is>
      </c>
      <c r="B1752" s="1" t="n">
        <v>44859.89707175926</v>
      </c>
      <c r="C1752" s="1" t="n">
        <v>46132</v>
      </c>
      <c r="D1752" t="inlineStr">
        <is>
          <t>ÖREBRO LÄN</t>
        </is>
      </c>
      <c r="E1752" t="inlineStr">
        <is>
          <t>ASKERSUND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25519-2025</t>
        </is>
      </c>
      <c r="B1753" s="1" t="n">
        <v>45803.38447916666</v>
      </c>
      <c r="C1753" s="1" t="n">
        <v>46132</v>
      </c>
      <c r="D1753" t="inlineStr">
        <is>
          <t>ÖREBRO LÄN</t>
        </is>
      </c>
      <c r="E1753" t="inlineStr">
        <is>
          <t>ÖREBRO</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36893-2024</t>
        </is>
      </c>
      <c r="B1754" s="1" t="n">
        <v>45538</v>
      </c>
      <c r="C1754" s="1" t="n">
        <v>46132</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25643-2025</t>
        </is>
      </c>
      <c r="B1755" s="1" t="n">
        <v>45803</v>
      </c>
      <c r="C1755" s="1" t="n">
        <v>46132</v>
      </c>
      <c r="D1755" t="inlineStr">
        <is>
          <t>ÖREBRO LÄN</t>
        </is>
      </c>
      <c r="E1755" t="inlineStr">
        <is>
          <t>LINDESBERG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25843-2025</t>
        </is>
      </c>
      <c r="B1756" s="1" t="n">
        <v>45804.45584490741</v>
      </c>
      <c r="C1756" s="1" t="n">
        <v>46132</v>
      </c>
      <c r="D1756" t="inlineStr">
        <is>
          <t>ÖREBRO LÄN</t>
        </is>
      </c>
      <c r="E1756" t="inlineStr">
        <is>
          <t>LINDESBERG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37277-2024</t>
        </is>
      </c>
      <c r="B1757" s="1" t="n">
        <v>45540.40835648148</v>
      </c>
      <c r="C1757" s="1" t="n">
        <v>46132</v>
      </c>
      <c r="D1757" t="inlineStr">
        <is>
          <t>ÖREBRO LÄN</t>
        </is>
      </c>
      <c r="E1757" t="inlineStr">
        <is>
          <t>HALLSBERG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37012-2024</t>
        </is>
      </c>
      <c r="B1758" s="1" t="n">
        <v>45539</v>
      </c>
      <c r="C1758" s="1" t="n">
        <v>46132</v>
      </c>
      <c r="D1758" t="inlineStr">
        <is>
          <t>ÖREBRO LÄN</t>
        </is>
      </c>
      <c r="E1758" t="inlineStr">
        <is>
          <t>ÖREBRO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25470-2025</t>
        </is>
      </c>
      <c r="B1759" s="1" t="n">
        <v>45802.7302199074</v>
      </c>
      <c r="C1759" s="1" t="n">
        <v>46132</v>
      </c>
      <c r="D1759" t="inlineStr">
        <is>
          <t>ÖREBRO LÄN</t>
        </is>
      </c>
      <c r="E1759" t="inlineStr">
        <is>
          <t>HALLSBERG</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37020-2024</t>
        </is>
      </c>
      <c r="B1760" s="1" t="n">
        <v>45539.38059027777</v>
      </c>
      <c r="C1760" s="1" t="n">
        <v>46132</v>
      </c>
      <c r="D1760" t="inlineStr">
        <is>
          <t>ÖREBRO LÄN</t>
        </is>
      </c>
      <c r="E1760" t="inlineStr">
        <is>
          <t>ÖREBRO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25472-2025</t>
        </is>
      </c>
      <c r="B1761" s="1" t="n">
        <v>45802.74466435185</v>
      </c>
      <c r="C1761" s="1" t="n">
        <v>46132</v>
      </c>
      <c r="D1761" t="inlineStr">
        <is>
          <t>ÖREBRO LÄN</t>
        </is>
      </c>
      <c r="E1761" t="inlineStr">
        <is>
          <t>HALLSBERG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55353-2024</t>
        </is>
      </c>
      <c r="B1762" s="1" t="n">
        <v>45621.79526620371</v>
      </c>
      <c r="C1762" s="1" t="n">
        <v>46132</v>
      </c>
      <c r="D1762" t="inlineStr">
        <is>
          <t>ÖREBRO LÄN</t>
        </is>
      </c>
      <c r="E1762" t="inlineStr">
        <is>
          <t>ÖREBRO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41676-2021</t>
        </is>
      </c>
      <c r="B1763" s="1" t="n">
        <v>44425.50175925926</v>
      </c>
      <c r="C1763" s="1" t="n">
        <v>46132</v>
      </c>
      <c r="D1763" t="inlineStr">
        <is>
          <t>ÖREBRO LÄN</t>
        </is>
      </c>
      <c r="E1763" t="inlineStr">
        <is>
          <t>NORA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61189-2022</t>
        </is>
      </c>
      <c r="B1764" s="1" t="n">
        <v>44915.51126157407</v>
      </c>
      <c r="C1764" s="1" t="n">
        <v>46132</v>
      </c>
      <c r="D1764" t="inlineStr">
        <is>
          <t>ÖREBRO LÄN</t>
        </is>
      </c>
      <c r="E1764" t="inlineStr">
        <is>
          <t>ASKERSUND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42631-2025</t>
        </is>
      </c>
      <c r="B1765" s="1" t="n">
        <v>45905.89236111111</v>
      </c>
      <c r="C1765" s="1" t="n">
        <v>46132</v>
      </c>
      <c r="D1765" t="inlineStr">
        <is>
          <t>ÖREBRO LÄN</t>
        </is>
      </c>
      <c r="E1765" t="inlineStr">
        <is>
          <t>LINDESBERG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42632-2025</t>
        </is>
      </c>
      <c r="B1766" s="1" t="n">
        <v>45905.89329861111</v>
      </c>
      <c r="C1766" s="1" t="n">
        <v>46132</v>
      </c>
      <c r="D1766" t="inlineStr">
        <is>
          <t>ÖREBRO LÄN</t>
        </is>
      </c>
      <c r="E1766" t="inlineStr">
        <is>
          <t>LINDESBERG</t>
        </is>
      </c>
      <c r="F1766" t="inlineStr">
        <is>
          <t>Sveaskog</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5590-2025</t>
        </is>
      </c>
      <c r="B1767" s="1" t="n">
        <v>45693</v>
      </c>
      <c r="C1767" s="1" t="n">
        <v>46132</v>
      </c>
      <c r="D1767" t="inlineStr">
        <is>
          <t>ÖREBRO LÄN</t>
        </is>
      </c>
      <c r="E1767" t="inlineStr">
        <is>
          <t>NORA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26016-2025</t>
        </is>
      </c>
      <c r="B1768" s="1" t="n">
        <v>45804.67795138889</v>
      </c>
      <c r="C1768" s="1" t="n">
        <v>46132</v>
      </c>
      <c r="D1768" t="inlineStr">
        <is>
          <t>ÖREBRO LÄN</t>
        </is>
      </c>
      <c r="E1768" t="inlineStr">
        <is>
          <t>LINDESBERG</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43706-2022</t>
        </is>
      </c>
      <c r="B1769" s="1" t="n">
        <v>44837</v>
      </c>
      <c r="C1769" s="1" t="n">
        <v>46132</v>
      </c>
      <c r="D1769" t="inlineStr">
        <is>
          <t>ÖREBRO LÄN</t>
        </is>
      </c>
      <c r="E1769" t="inlineStr">
        <is>
          <t>KUMLA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13968-2025</t>
        </is>
      </c>
      <c r="B1770" s="1" t="n">
        <v>45738.42981481482</v>
      </c>
      <c r="C1770" s="1" t="n">
        <v>46132</v>
      </c>
      <c r="D1770" t="inlineStr">
        <is>
          <t>ÖREBRO LÄN</t>
        </is>
      </c>
      <c r="E1770" t="inlineStr">
        <is>
          <t>LINDESBERG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25923-2025</t>
        </is>
      </c>
      <c r="B1771" s="1" t="n">
        <v>45804</v>
      </c>
      <c r="C1771" s="1" t="n">
        <v>46132</v>
      </c>
      <c r="D1771" t="inlineStr">
        <is>
          <t>ÖREBRO LÄN</t>
        </is>
      </c>
      <c r="E1771" t="inlineStr">
        <is>
          <t>DEGERFORS</t>
        </is>
      </c>
      <c r="F1771" t="inlineStr">
        <is>
          <t>Kommuner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12895-2022</t>
        </is>
      </c>
      <c r="B1772" s="1" t="n">
        <v>44642</v>
      </c>
      <c r="C1772" s="1" t="n">
        <v>46132</v>
      </c>
      <c r="D1772" t="inlineStr">
        <is>
          <t>ÖREBRO LÄN</t>
        </is>
      </c>
      <c r="E1772" t="inlineStr">
        <is>
          <t>ASKERSUND</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42551-2025</t>
        </is>
      </c>
      <c r="B1773" s="1" t="n">
        <v>45905.59076388889</v>
      </c>
      <c r="C1773" s="1" t="n">
        <v>46132</v>
      </c>
      <c r="D1773" t="inlineStr">
        <is>
          <t>ÖREBRO LÄN</t>
        </is>
      </c>
      <c r="E1773" t="inlineStr">
        <is>
          <t>LAXÅ</t>
        </is>
      </c>
      <c r="F1773" t="inlineStr">
        <is>
          <t>Sveaskog</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42559-2025</t>
        </is>
      </c>
      <c r="B1774" s="1" t="n">
        <v>45905.59568287037</v>
      </c>
      <c r="C1774" s="1" t="n">
        <v>46132</v>
      </c>
      <c r="D1774" t="inlineStr">
        <is>
          <t>ÖREBRO LÄN</t>
        </is>
      </c>
      <c r="E1774" t="inlineStr">
        <is>
          <t>LAXÅ</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42561-2025</t>
        </is>
      </c>
      <c r="B1775" s="1" t="n">
        <v>45905.59783564815</v>
      </c>
      <c r="C1775" s="1" t="n">
        <v>46132</v>
      </c>
      <c r="D1775" t="inlineStr">
        <is>
          <t>ÖREBRO LÄN</t>
        </is>
      </c>
      <c r="E1775" t="inlineStr">
        <is>
          <t>LAXÅ</t>
        </is>
      </c>
      <c r="F1775" t="inlineStr">
        <is>
          <t>Sveaskog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26301-2025</t>
        </is>
      </c>
      <c r="B1776" s="1" t="n">
        <v>45805.63861111111</v>
      </c>
      <c r="C1776" s="1" t="n">
        <v>46132</v>
      </c>
      <c r="D1776" t="inlineStr">
        <is>
          <t>ÖREBRO LÄN</t>
        </is>
      </c>
      <c r="E1776" t="inlineStr">
        <is>
          <t>DEGERFORS</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6387-2024</t>
        </is>
      </c>
      <c r="B1777" s="1" t="n">
        <v>45338.56366898148</v>
      </c>
      <c r="C1777" s="1" t="n">
        <v>46132</v>
      </c>
      <c r="D1777" t="inlineStr">
        <is>
          <t>ÖREBRO LÄN</t>
        </is>
      </c>
      <c r="E1777" t="inlineStr">
        <is>
          <t>DEGERFORS</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9712-2024</t>
        </is>
      </c>
      <c r="B1778" s="1" t="n">
        <v>45362</v>
      </c>
      <c r="C1778" s="1" t="n">
        <v>46132</v>
      </c>
      <c r="D1778" t="inlineStr">
        <is>
          <t>ÖREBRO LÄN</t>
        </is>
      </c>
      <c r="E1778" t="inlineStr">
        <is>
          <t>KARLSKOGA</t>
        </is>
      </c>
      <c r="F1778" t="inlineStr">
        <is>
          <t>Kyrkan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26170-2025</t>
        </is>
      </c>
      <c r="B1779" s="1" t="n">
        <v>45805.46351851852</v>
      </c>
      <c r="C1779" s="1" t="n">
        <v>46132</v>
      </c>
      <c r="D1779" t="inlineStr">
        <is>
          <t>ÖREBRO LÄN</t>
        </is>
      </c>
      <c r="E1779" t="inlineStr">
        <is>
          <t>DEGERFORS</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59497-2024</t>
        </is>
      </c>
      <c r="B1780" s="1" t="n">
        <v>45638.5459375</v>
      </c>
      <c r="C1780" s="1" t="n">
        <v>46132</v>
      </c>
      <c r="D1780" t="inlineStr">
        <is>
          <t>ÖREBRO LÄN</t>
        </is>
      </c>
      <c r="E1780" t="inlineStr">
        <is>
          <t>LJUSNARSBERG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42739-2025</t>
        </is>
      </c>
      <c r="B1781" s="1" t="n">
        <v>45908.42826388889</v>
      </c>
      <c r="C1781" s="1" t="n">
        <v>46132</v>
      </c>
      <c r="D1781" t="inlineStr">
        <is>
          <t>ÖREBRO LÄN</t>
        </is>
      </c>
      <c r="E1781" t="inlineStr">
        <is>
          <t>LAXÅ</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42741-2025</t>
        </is>
      </c>
      <c r="B1782" s="1" t="n">
        <v>45908.42994212963</v>
      </c>
      <c r="C1782" s="1" t="n">
        <v>46132</v>
      </c>
      <c r="D1782" t="inlineStr">
        <is>
          <t>ÖREBRO LÄN</t>
        </is>
      </c>
      <c r="E1782" t="inlineStr">
        <is>
          <t>LAXÅ</t>
        </is>
      </c>
      <c r="F1782" t="inlineStr">
        <is>
          <t>Sveaskog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26198-2025</t>
        </is>
      </c>
      <c r="B1783" s="1" t="n">
        <v>45805.50146990741</v>
      </c>
      <c r="C1783" s="1" t="n">
        <v>46132</v>
      </c>
      <c r="D1783" t="inlineStr">
        <is>
          <t>ÖREBRO LÄN</t>
        </is>
      </c>
      <c r="E1783" t="inlineStr">
        <is>
          <t>ASKERSUND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42552-2025</t>
        </is>
      </c>
      <c r="B1784" s="1" t="n">
        <v>45905.59133101852</v>
      </c>
      <c r="C1784" s="1" t="n">
        <v>46132</v>
      </c>
      <c r="D1784" t="inlineStr">
        <is>
          <t>ÖREBRO LÄN</t>
        </is>
      </c>
      <c r="E1784" t="inlineStr">
        <is>
          <t>LAXÅ</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26153-2025</t>
        </is>
      </c>
      <c r="B1785" s="1" t="n">
        <v>45805.43332175926</v>
      </c>
      <c r="C1785" s="1" t="n">
        <v>46132</v>
      </c>
      <c r="D1785" t="inlineStr">
        <is>
          <t>ÖREBRO LÄN</t>
        </is>
      </c>
      <c r="E1785" t="inlineStr">
        <is>
          <t>DEGERFORS</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10564-2023</t>
        </is>
      </c>
      <c r="B1786" s="1" t="n">
        <v>44988</v>
      </c>
      <c r="C1786" s="1" t="n">
        <v>46132</v>
      </c>
      <c r="D1786" t="inlineStr">
        <is>
          <t>ÖREBRO LÄN</t>
        </is>
      </c>
      <c r="E1786" t="inlineStr">
        <is>
          <t>LINDESBERG</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42411-2025</t>
        </is>
      </c>
      <c r="B1787" s="1" t="n">
        <v>45905.3868287037</v>
      </c>
      <c r="C1787" s="1" t="n">
        <v>46132</v>
      </c>
      <c r="D1787" t="inlineStr">
        <is>
          <t>ÖREBRO LÄN</t>
        </is>
      </c>
      <c r="E1787" t="inlineStr">
        <is>
          <t>HALLSBERG</t>
        </is>
      </c>
      <c r="F1787" t="inlineStr">
        <is>
          <t>Kommuner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52959-2025</t>
        </is>
      </c>
      <c r="B1788" s="1" t="n">
        <v>45956</v>
      </c>
      <c r="C1788" s="1" t="n">
        <v>46132</v>
      </c>
      <c r="D1788" t="inlineStr">
        <is>
          <t>ÖREBRO LÄN</t>
        </is>
      </c>
      <c r="E1788" t="inlineStr">
        <is>
          <t>HALLSBERG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22797-2024</t>
        </is>
      </c>
      <c r="B1789" s="1" t="n">
        <v>45448.51060185185</v>
      </c>
      <c r="C1789" s="1" t="n">
        <v>46132</v>
      </c>
      <c r="D1789" t="inlineStr">
        <is>
          <t>ÖREBRO LÄN</t>
        </is>
      </c>
      <c r="E1789" t="inlineStr">
        <is>
          <t>LAXÅ</t>
        </is>
      </c>
      <c r="F1789" t="inlineStr">
        <is>
          <t>Övriga statliga verk och myndigheter</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22887-2024</t>
        </is>
      </c>
      <c r="B1790" s="1" t="n">
        <v>45448</v>
      </c>
      <c r="C1790" s="1" t="n">
        <v>46132</v>
      </c>
      <c r="D1790" t="inlineStr">
        <is>
          <t>ÖREBRO LÄN</t>
        </is>
      </c>
      <c r="E1790" t="inlineStr">
        <is>
          <t>LJUSNARSBERG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53323-2025</t>
        </is>
      </c>
      <c r="B1791" s="1" t="n">
        <v>45959.35993055555</v>
      </c>
      <c r="C1791" s="1" t="n">
        <v>46132</v>
      </c>
      <c r="D1791" t="inlineStr">
        <is>
          <t>ÖREBRO LÄN</t>
        </is>
      </c>
      <c r="E1791" t="inlineStr">
        <is>
          <t>LJUSNARSBERG</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541-2025</t>
        </is>
      </c>
      <c r="B1792" s="1" t="n">
        <v>45664.52034722222</v>
      </c>
      <c r="C1792" s="1" t="n">
        <v>46132</v>
      </c>
      <c r="D1792" t="inlineStr">
        <is>
          <t>ÖREBRO LÄN</t>
        </is>
      </c>
      <c r="E1792" t="inlineStr">
        <is>
          <t>ÖREBRO</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26147-2025</t>
        </is>
      </c>
      <c r="B1793" s="1" t="n">
        <v>45805.4308912037</v>
      </c>
      <c r="C1793" s="1" t="n">
        <v>46132</v>
      </c>
      <c r="D1793" t="inlineStr">
        <is>
          <t>ÖREBRO LÄN</t>
        </is>
      </c>
      <c r="E1793" t="inlineStr">
        <is>
          <t>DEGERFORS</t>
        </is>
      </c>
      <c r="F1793" t="inlineStr">
        <is>
          <t>Sveaskog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53350-2025</t>
        </is>
      </c>
      <c r="B1794" s="1" t="n">
        <v>45959.43827546296</v>
      </c>
      <c r="C1794" s="1" t="n">
        <v>46132</v>
      </c>
      <c r="D1794" t="inlineStr">
        <is>
          <t>ÖREBRO LÄN</t>
        </is>
      </c>
      <c r="E1794" t="inlineStr">
        <is>
          <t>ÖREBRO</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53407-2025</t>
        </is>
      </c>
      <c r="B1795" s="1" t="n">
        <v>45959.57350694444</v>
      </c>
      <c r="C1795" s="1" t="n">
        <v>46132</v>
      </c>
      <c r="D1795" t="inlineStr">
        <is>
          <t>ÖREBRO LÄN</t>
        </is>
      </c>
      <c r="E1795" t="inlineStr">
        <is>
          <t>LEKEBERG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43173-2025</t>
        </is>
      </c>
      <c r="B1796" s="1" t="n">
        <v>45910.4009375</v>
      </c>
      <c r="C1796" s="1" t="n">
        <v>46132</v>
      </c>
      <c r="D1796" t="inlineStr">
        <is>
          <t>ÖREBRO LÄN</t>
        </is>
      </c>
      <c r="E1796" t="inlineStr">
        <is>
          <t>LAXÅ</t>
        </is>
      </c>
      <c r="F1796" t="inlineStr">
        <is>
          <t>Sveaskog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65054-2021</t>
        </is>
      </c>
      <c r="B1797" s="1" t="n">
        <v>44515.35802083334</v>
      </c>
      <c r="C1797" s="1" t="n">
        <v>46132</v>
      </c>
      <c r="D1797" t="inlineStr">
        <is>
          <t>ÖREBRO LÄN</t>
        </is>
      </c>
      <c r="E1797" t="inlineStr">
        <is>
          <t>HÄLLEFORS</t>
        </is>
      </c>
      <c r="F1797" t="inlineStr">
        <is>
          <t>Bergvik skog väst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53715-2025</t>
        </is>
      </c>
      <c r="B1798" s="1" t="n">
        <v>45960.61763888889</v>
      </c>
      <c r="C1798" s="1" t="n">
        <v>46132</v>
      </c>
      <c r="D1798" t="inlineStr">
        <is>
          <t>ÖREBRO LÄN</t>
        </is>
      </c>
      <c r="E1798" t="inlineStr">
        <is>
          <t>ÖREBRO</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37843-2025</t>
        </is>
      </c>
      <c r="B1799" s="1" t="n">
        <v>45881.43759259259</v>
      </c>
      <c r="C1799" s="1" t="n">
        <v>46132</v>
      </c>
      <c r="D1799" t="inlineStr">
        <is>
          <t>ÖREBRO LÄN</t>
        </is>
      </c>
      <c r="E1799" t="inlineStr">
        <is>
          <t>LINDESBERG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43206-2025</t>
        </is>
      </c>
      <c r="B1800" s="1" t="n">
        <v>45910.44984953704</v>
      </c>
      <c r="C1800" s="1" t="n">
        <v>46132</v>
      </c>
      <c r="D1800" t="inlineStr">
        <is>
          <t>ÖREBRO LÄN</t>
        </is>
      </c>
      <c r="E1800" t="inlineStr">
        <is>
          <t>NORA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26653-2025</t>
        </is>
      </c>
      <c r="B1801" s="1" t="n">
        <v>45810</v>
      </c>
      <c r="C1801" s="1" t="n">
        <v>46132</v>
      </c>
      <c r="D1801" t="inlineStr">
        <is>
          <t>ÖREBRO LÄN</t>
        </is>
      </c>
      <c r="E1801" t="inlineStr">
        <is>
          <t>KARLSKOGA</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26657-2025</t>
        </is>
      </c>
      <c r="B1802" s="1" t="n">
        <v>45810.39180555556</v>
      </c>
      <c r="C1802" s="1" t="n">
        <v>46132</v>
      </c>
      <c r="D1802" t="inlineStr">
        <is>
          <t>ÖREBRO LÄN</t>
        </is>
      </c>
      <c r="E1802" t="inlineStr">
        <is>
          <t>NORA</t>
        </is>
      </c>
      <c r="F1802" t="inlineStr">
        <is>
          <t>Sveaskog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36237-2024</t>
        </is>
      </c>
      <c r="B1803" s="1" t="n">
        <v>45534.50446759259</v>
      </c>
      <c r="C1803" s="1" t="n">
        <v>46132</v>
      </c>
      <c r="D1803" t="inlineStr">
        <is>
          <t>ÖREBRO LÄN</t>
        </is>
      </c>
      <c r="E1803" t="inlineStr">
        <is>
          <t>KUMLA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14185-2024</t>
        </is>
      </c>
      <c r="B1804" s="1" t="n">
        <v>45393.3562962963</v>
      </c>
      <c r="C1804" s="1" t="n">
        <v>46132</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43078-2025</t>
        </is>
      </c>
      <c r="B1805" s="1" t="n">
        <v>45909.60773148148</v>
      </c>
      <c r="C1805" s="1" t="n">
        <v>46132</v>
      </c>
      <c r="D1805" t="inlineStr">
        <is>
          <t>ÖREBRO LÄN</t>
        </is>
      </c>
      <c r="E1805" t="inlineStr">
        <is>
          <t>LJUSNARSBERG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26863-2025</t>
        </is>
      </c>
      <c r="B1806" s="1" t="n">
        <v>45810.69763888889</v>
      </c>
      <c r="C1806" s="1" t="n">
        <v>46132</v>
      </c>
      <c r="D1806" t="inlineStr">
        <is>
          <t>ÖREBRO LÄN</t>
        </is>
      </c>
      <c r="E1806" t="inlineStr">
        <is>
          <t>LEKEBERG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11218-2025</t>
        </is>
      </c>
      <c r="B1807" s="1" t="n">
        <v>45726.33763888889</v>
      </c>
      <c r="C1807" s="1" t="n">
        <v>46132</v>
      </c>
      <c r="D1807" t="inlineStr">
        <is>
          <t>ÖREBRO LÄN</t>
        </is>
      </c>
      <c r="E1807" t="inlineStr">
        <is>
          <t>LINDESBERG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11220-2025</t>
        </is>
      </c>
      <c r="B1808" s="1" t="n">
        <v>45726.34090277777</v>
      </c>
      <c r="C1808" s="1" t="n">
        <v>46132</v>
      </c>
      <c r="D1808" t="inlineStr">
        <is>
          <t>ÖREBRO LÄN</t>
        </is>
      </c>
      <c r="E1808" t="inlineStr">
        <is>
          <t>LINDESBERG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26842-2025</t>
        </is>
      </c>
      <c r="B1809" s="1" t="n">
        <v>45810.66016203703</v>
      </c>
      <c r="C1809" s="1" t="n">
        <v>46132</v>
      </c>
      <c r="D1809" t="inlineStr">
        <is>
          <t>ÖREBRO LÄN</t>
        </is>
      </c>
      <c r="E1809" t="inlineStr">
        <is>
          <t>HALLSBERG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43801-2024</t>
        </is>
      </c>
      <c r="B1810" s="1" t="n">
        <v>45571.71736111111</v>
      </c>
      <c r="C1810" s="1" t="n">
        <v>46132</v>
      </c>
      <c r="D1810" t="inlineStr">
        <is>
          <t>ÖREBRO LÄN</t>
        </is>
      </c>
      <c r="E1810" t="inlineStr">
        <is>
          <t>LINDESBERG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56386-2024</t>
        </is>
      </c>
      <c r="B1811" s="1" t="n">
        <v>45625.34328703704</v>
      </c>
      <c r="C1811" s="1" t="n">
        <v>46132</v>
      </c>
      <c r="D1811" t="inlineStr">
        <is>
          <t>ÖREBRO LÄN</t>
        </is>
      </c>
      <c r="E1811" t="inlineStr">
        <is>
          <t>ASKERSUND</t>
        </is>
      </c>
      <c r="F1811" t="inlineStr">
        <is>
          <t>Sveaskog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53719-2025</t>
        </is>
      </c>
      <c r="B1812" s="1" t="n">
        <v>45960.62042824074</v>
      </c>
      <c r="C1812" s="1" t="n">
        <v>46132</v>
      </c>
      <c r="D1812" t="inlineStr">
        <is>
          <t>ÖREBRO LÄN</t>
        </is>
      </c>
      <c r="E1812" t="inlineStr">
        <is>
          <t>ÖREBRO</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19553-2023</t>
        </is>
      </c>
      <c r="B1813" s="1" t="n">
        <v>45050</v>
      </c>
      <c r="C1813" s="1" t="n">
        <v>46132</v>
      </c>
      <c r="D1813" t="inlineStr">
        <is>
          <t>ÖREBRO LÄN</t>
        </is>
      </c>
      <c r="E1813" t="inlineStr">
        <is>
          <t>ÖREBRO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53337-2025</t>
        </is>
      </c>
      <c r="B1814" s="1" t="n">
        <v>45959.40310185185</v>
      </c>
      <c r="C1814" s="1" t="n">
        <v>46132</v>
      </c>
      <c r="D1814" t="inlineStr">
        <is>
          <t>ÖREBRO LÄN</t>
        </is>
      </c>
      <c r="E1814" t="inlineStr">
        <is>
          <t>HÄLLEFORS</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53343-2025</t>
        </is>
      </c>
      <c r="B1815" s="1" t="n">
        <v>45959.42025462963</v>
      </c>
      <c r="C1815" s="1" t="n">
        <v>46132</v>
      </c>
      <c r="D1815" t="inlineStr">
        <is>
          <t>ÖREBRO LÄN</t>
        </is>
      </c>
      <c r="E1815" t="inlineStr">
        <is>
          <t>ÖREBRO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9645-2024</t>
        </is>
      </c>
      <c r="B1816" s="1" t="n">
        <v>45362</v>
      </c>
      <c r="C1816" s="1" t="n">
        <v>46132</v>
      </c>
      <c r="D1816" t="inlineStr">
        <is>
          <t>ÖREBRO LÄN</t>
        </is>
      </c>
      <c r="E1816" t="inlineStr">
        <is>
          <t>HALLSBERG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52303-2024</t>
        </is>
      </c>
      <c r="B1817" s="1" t="n">
        <v>45608.75231481482</v>
      </c>
      <c r="C1817" s="1" t="n">
        <v>46132</v>
      </c>
      <c r="D1817" t="inlineStr">
        <is>
          <t>ÖREBRO LÄN</t>
        </is>
      </c>
      <c r="E1817" t="inlineStr">
        <is>
          <t>NORA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39031-2022</t>
        </is>
      </c>
      <c r="B1818" s="1" t="n">
        <v>44817.34144675926</v>
      </c>
      <c r="C1818" s="1" t="n">
        <v>46132</v>
      </c>
      <c r="D1818" t="inlineStr">
        <is>
          <t>ÖREBRO LÄN</t>
        </is>
      </c>
      <c r="E1818" t="inlineStr">
        <is>
          <t>HÄLLEFORS</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61222-2022</t>
        </is>
      </c>
      <c r="B1819" s="1" t="n">
        <v>44909</v>
      </c>
      <c r="C1819" s="1" t="n">
        <v>46132</v>
      </c>
      <c r="D1819" t="inlineStr">
        <is>
          <t>ÖREBRO LÄN</t>
        </is>
      </c>
      <c r="E1819" t="inlineStr">
        <is>
          <t>LINDESBERG</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72331-2021</t>
        </is>
      </c>
      <c r="B1820" s="1" t="n">
        <v>44544</v>
      </c>
      <c r="C1820" s="1" t="n">
        <v>46132</v>
      </c>
      <c r="D1820" t="inlineStr">
        <is>
          <t>ÖREBRO LÄN</t>
        </is>
      </c>
      <c r="E1820" t="inlineStr">
        <is>
          <t>LINDESBERG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37025-2024</t>
        </is>
      </c>
      <c r="B1821" s="1" t="n">
        <v>45539.3840162037</v>
      </c>
      <c r="C1821" s="1" t="n">
        <v>46132</v>
      </c>
      <c r="D1821" t="inlineStr">
        <is>
          <t>ÖREBRO LÄN</t>
        </is>
      </c>
      <c r="E1821" t="inlineStr">
        <is>
          <t>ÖREBRO</t>
        </is>
      </c>
      <c r="F1821" t="inlineStr">
        <is>
          <t>Sveaskog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37027-2024</t>
        </is>
      </c>
      <c r="B1822" s="1" t="n">
        <v>45539.38487268519</v>
      </c>
      <c r="C1822" s="1" t="n">
        <v>46132</v>
      </c>
      <c r="D1822" t="inlineStr">
        <is>
          <t>ÖREBRO LÄN</t>
        </is>
      </c>
      <c r="E1822" t="inlineStr">
        <is>
          <t>ÖREBRO</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45062-2022</t>
        </is>
      </c>
      <c r="B1823" s="1" t="n">
        <v>44841</v>
      </c>
      <c r="C1823" s="1" t="n">
        <v>46132</v>
      </c>
      <c r="D1823" t="inlineStr">
        <is>
          <t>ÖREBRO LÄN</t>
        </is>
      </c>
      <c r="E1823" t="inlineStr">
        <is>
          <t>LINDESBERG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36754-2024</t>
        </is>
      </c>
      <c r="B1824" s="1" t="n">
        <v>45538.34796296297</v>
      </c>
      <c r="C1824" s="1" t="n">
        <v>46132</v>
      </c>
      <c r="D1824" t="inlineStr">
        <is>
          <t>ÖREBRO LÄN</t>
        </is>
      </c>
      <c r="E1824" t="inlineStr">
        <is>
          <t>LINDESBERG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23221-2025</t>
        </is>
      </c>
      <c r="B1825" s="1" t="n">
        <v>45791</v>
      </c>
      <c r="C1825" s="1" t="n">
        <v>46132</v>
      </c>
      <c r="D1825" t="inlineStr">
        <is>
          <t>ÖREBRO LÄN</t>
        </is>
      </c>
      <c r="E1825" t="inlineStr">
        <is>
          <t>KUMLA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43396-2025</t>
        </is>
      </c>
      <c r="B1826" s="1" t="n">
        <v>45911.37391203704</v>
      </c>
      <c r="C1826" s="1" t="n">
        <v>46132</v>
      </c>
      <c r="D1826" t="inlineStr">
        <is>
          <t>ÖREBRO LÄN</t>
        </is>
      </c>
      <c r="E1826" t="inlineStr">
        <is>
          <t>HALLSBERG</t>
        </is>
      </c>
      <c r="F1826" t="inlineStr">
        <is>
          <t>Sveaskog</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26783-2025</t>
        </is>
      </c>
      <c r="B1827" s="1" t="n">
        <v>45810.5834375</v>
      </c>
      <c r="C1827" s="1" t="n">
        <v>46132</v>
      </c>
      <c r="D1827" t="inlineStr">
        <is>
          <t>ÖREBRO LÄN</t>
        </is>
      </c>
      <c r="E1827" t="inlineStr">
        <is>
          <t>DEGERFORS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23594-2023</t>
        </is>
      </c>
      <c r="B1828" s="1" t="n">
        <v>45077</v>
      </c>
      <c r="C1828" s="1" t="n">
        <v>46132</v>
      </c>
      <c r="D1828" t="inlineStr">
        <is>
          <t>ÖREBRO LÄN</t>
        </is>
      </c>
      <c r="E1828" t="inlineStr">
        <is>
          <t>ÖREBRO</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26469-2025</t>
        </is>
      </c>
      <c r="B1829" s="1" t="n">
        <v>45807.45302083333</v>
      </c>
      <c r="C1829" s="1" t="n">
        <v>46132</v>
      </c>
      <c r="D1829" t="inlineStr">
        <is>
          <t>ÖREBRO LÄN</t>
        </is>
      </c>
      <c r="E1829" t="inlineStr">
        <is>
          <t>LJUSNARSBERG</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8022-2022</t>
        </is>
      </c>
      <c r="B1830" s="1" t="n">
        <v>44609</v>
      </c>
      <c r="C1830" s="1" t="n">
        <v>46132</v>
      </c>
      <c r="D1830" t="inlineStr">
        <is>
          <t>ÖREBRO LÄN</t>
        </is>
      </c>
      <c r="E1830" t="inlineStr">
        <is>
          <t>ÖREBRO</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43397-2025</t>
        </is>
      </c>
      <c r="B1831" s="1" t="n">
        <v>45911.37444444445</v>
      </c>
      <c r="C1831" s="1" t="n">
        <v>46132</v>
      </c>
      <c r="D1831" t="inlineStr">
        <is>
          <t>ÖREBRO LÄN</t>
        </is>
      </c>
      <c r="E1831" t="inlineStr">
        <is>
          <t>HALLSBERG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47193-2023</t>
        </is>
      </c>
      <c r="B1832" s="1" t="n">
        <v>45202.3074537037</v>
      </c>
      <c r="C1832" s="1" t="n">
        <v>46132</v>
      </c>
      <c r="D1832" t="inlineStr">
        <is>
          <t>ÖREBRO LÄN</t>
        </is>
      </c>
      <c r="E1832" t="inlineStr">
        <is>
          <t>ÖREBRO</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50964-2023</t>
        </is>
      </c>
      <c r="B1833" s="1" t="n">
        <v>45218.488125</v>
      </c>
      <c r="C1833" s="1" t="n">
        <v>46132</v>
      </c>
      <c r="D1833" t="inlineStr">
        <is>
          <t>ÖREBRO LÄN</t>
        </is>
      </c>
      <c r="E1833" t="inlineStr">
        <is>
          <t>LINDESBERG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43621-2025</t>
        </is>
      </c>
      <c r="B1834" s="1" t="n">
        <v>45911.681875</v>
      </c>
      <c r="C1834" s="1" t="n">
        <v>46132</v>
      </c>
      <c r="D1834" t="inlineStr">
        <is>
          <t>ÖREBRO LÄN</t>
        </is>
      </c>
      <c r="E1834" t="inlineStr">
        <is>
          <t>LEKEBERG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53406-2024</t>
        </is>
      </c>
      <c r="B1835" s="1" t="n">
        <v>45614.49704861111</v>
      </c>
      <c r="C1835" s="1" t="n">
        <v>46132</v>
      </c>
      <c r="D1835" t="inlineStr">
        <is>
          <t>ÖREBRO LÄN</t>
        </is>
      </c>
      <c r="E1835" t="inlineStr">
        <is>
          <t>DEGERFORS</t>
        </is>
      </c>
      <c r="F1835" t="inlineStr">
        <is>
          <t>Sveaskog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43691-2025</t>
        </is>
      </c>
      <c r="B1836" s="1" t="n">
        <v>45912.39130787037</v>
      </c>
      <c r="C1836" s="1" t="n">
        <v>46132</v>
      </c>
      <c r="D1836" t="inlineStr">
        <is>
          <t>ÖREBRO LÄN</t>
        </is>
      </c>
      <c r="E1836" t="inlineStr">
        <is>
          <t>DEGERFORS</t>
        </is>
      </c>
      <c r="F1836" t="inlineStr">
        <is>
          <t>Sveaskog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43689-2025</t>
        </is>
      </c>
      <c r="B1837" s="1" t="n">
        <v>45912.38899305555</v>
      </c>
      <c r="C1837" s="1" t="n">
        <v>46132</v>
      </c>
      <c r="D1837" t="inlineStr">
        <is>
          <t>ÖREBRO LÄN</t>
        </is>
      </c>
      <c r="E1837" t="inlineStr">
        <is>
          <t>DEGERFORS</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43692-2025</t>
        </is>
      </c>
      <c r="B1838" s="1" t="n">
        <v>45912.39221064815</v>
      </c>
      <c r="C1838" s="1" t="n">
        <v>46132</v>
      </c>
      <c r="D1838" t="inlineStr">
        <is>
          <t>ÖREBRO LÄN</t>
        </is>
      </c>
      <c r="E1838" t="inlineStr">
        <is>
          <t>DEGERFORS</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1599-2025</t>
        </is>
      </c>
      <c r="B1839" s="1" t="n">
        <v>45670.58930555556</v>
      </c>
      <c r="C1839" s="1" t="n">
        <v>46132</v>
      </c>
      <c r="D1839" t="inlineStr">
        <is>
          <t>ÖREBRO LÄN</t>
        </is>
      </c>
      <c r="E1839" t="inlineStr">
        <is>
          <t>LEKEBERG</t>
        </is>
      </c>
      <c r="F1839" t="inlineStr">
        <is>
          <t>Allmännings- och besparingsskogar</t>
        </is>
      </c>
      <c r="G1839" t="n">
        <v>18.8</v>
      </c>
      <c r="H1839" t="n">
        <v>0</v>
      </c>
      <c r="I1839" t="n">
        <v>0</v>
      </c>
      <c r="J1839" t="n">
        <v>0</v>
      </c>
      <c r="K1839" t="n">
        <v>0</v>
      </c>
      <c r="L1839" t="n">
        <v>0</v>
      </c>
      <c r="M1839" t="n">
        <v>0</v>
      </c>
      <c r="N1839" t="n">
        <v>0</v>
      </c>
      <c r="O1839" t="n">
        <v>0</v>
      </c>
      <c r="P1839" t="n">
        <v>0</v>
      </c>
      <c r="Q1839" t="n">
        <v>0</v>
      </c>
      <c r="R1839" s="2" t="inlineStr"/>
    </row>
    <row r="1840" ht="15" customHeight="1">
      <c r="A1840" t="inlineStr">
        <is>
          <t>A 26820-2025</t>
        </is>
      </c>
      <c r="B1840" s="1" t="n">
        <v>45810.63664351852</v>
      </c>
      <c r="C1840" s="1" t="n">
        <v>46132</v>
      </c>
      <c r="D1840" t="inlineStr">
        <is>
          <t>ÖREBRO LÄN</t>
        </is>
      </c>
      <c r="E1840" t="inlineStr">
        <is>
          <t>DEGERFORS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60941-2024</t>
        </is>
      </c>
      <c r="B1841" s="1" t="n">
        <v>45645.3712037037</v>
      </c>
      <c r="C1841" s="1" t="n">
        <v>46132</v>
      </c>
      <c r="D1841" t="inlineStr">
        <is>
          <t>ÖREBRO LÄN</t>
        </is>
      </c>
      <c r="E1841" t="inlineStr">
        <is>
          <t>LINDESBERG</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43694-2025</t>
        </is>
      </c>
      <c r="B1842" s="1" t="n">
        <v>45912.39295138889</v>
      </c>
      <c r="C1842" s="1" t="n">
        <v>46132</v>
      </c>
      <c r="D1842" t="inlineStr">
        <is>
          <t>ÖREBRO LÄN</t>
        </is>
      </c>
      <c r="E1842" t="inlineStr">
        <is>
          <t>DEGERFORS</t>
        </is>
      </c>
      <c r="F1842" t="inlineStr">
        <is>
          <t>Sveaskog</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43837-2025</t>
        </is>
      </c>
      <c r="B1843" s="1" t="n">
        <v>45912.63451388889</v>
      </c>
      <c r="C1843" s="1" t="n">
        <v>46132</v>
      </c>
      <c r="D1843" t="inlineStr">
        <is>
          <t>ÖREBRO LÄN</t>
        </is>
      </c>
      <c r="E1843" t="inlineStr">
        <is>
          <t>LINDESBERG</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43690-2025</t>
        </is>
      </c>
      <c r="B1844" s="1" t="n">
        <v>45912.38975694445</v>
      </c>
      <c r="C1844" s="1" t="n">
        <v>46132</v>
      </c>
      <c r="D1844" t="inlineStr">
        <is>
          <t>ÖREBRO LÄN</t>
        </is>
      </c>
      <c r="E1844" t="inlineStr">
        <is>
          <t>DEGERFORS</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50102-2024</t>
        </is>
      </c>
      <c r="B1845" s="1" t="n">
        <v>45599</v>
      </c>
      <c r="C1845" s="1" t="n">
        <v>46132</v>
      </c>
      <c r="D1845" t="inlineStr">
        <is>
          <t>ÖREBRO LÄN</t>
        </is>
      </c>
      <c r="E1845" t="inlineStr">
        <is>
          <t>ASKERSUND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43847-2025</t>
        </is>
      </c>
      <c r="B1846" s="1" t="n">
        <v>45912.63751157407</v>
      </c>
      <c r="C1846" s="1" t="n">
        <v>46132</v>
      </c>
      <c r="D1846" t="inlineStr">
        <is>
          <t>ÖREBRO LÄN</t>
        </is>
      </c>
      <c r="E1846" t="inlineStr">
        <is>
          <t>LINDESBERG</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73579-2021</t>
        </is>
      </c>
      <c r="B1847" s="1" t="n">
        <v>44552.34407407408</v>
      </c>
      <c r="C1847" s="1" t="n">
        <v>46132</v>
      </c>
      <c r="D1847" t="inlineStr">
        <is>
          <t>ÖREBRO LÄN</t>
        </is>
      </c>
      <c r="E1847" t="inlineStr">
        <is>
          <t>ASKERSUND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58598-2022</t>
        </is>
      </c>
      <c r="B1848" s="1" t="n">
        <v>44902</v>
      </c>
      <c r="C1848" s="1" t="n">
        <v>46132</v>
      </c>
      <c r="D1848" t="inlineStr">
        <is>
          <t>ÖREBRO LÄN</t>
        </is>
      </c>
      <c r="E1848" t="inlineStr">
        <is>
          <t>ÖREBRO</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23277-2024</t>
        </is>
      </c>
      <c r="B1849" s="1" t="n">
        <v>45453.40982638889</v>
      </c>
      <c r="C1849" s="1" t="n">
        <v>46132</v>
      </c>
      <c r="D1849" t="inlineStr">
        <is>
          <t>ÖREBRO LÄN</t>
        </is>
      </c>
      <c r="E1849" t="inlineStr">
        <is>
          <t>NORA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64365-2023</t>
        </is>
      </c>
      <c r="B1850" s="1" t="n">
        <v>45280</v>
      </c>
      <c r="C1850" s="1" t="n">
        <v>46132</v>
      </c>
      <c r="D1850" t="inlineStr">
        <is>
          <t>ÖREBRO LÄN</t>
        </is>
      </c>
      <c r="E1850" t="inlineStr">
        <is>
          <t>LINDESBERG</t>
        </is>
      </c>
      <c r="F1850" t="inlineStr">
        <is>
          <t>Kyrkan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37738-2024</t>
        </is>
      </c>
      <c r="B1851" s="1" t="n">
        <v>45541.66916666667</v>
      </c>
      <c r="C1851" s="1" t="n">
        <v>46132</v>
      </c>
      <c r="D1851" t="inlineStr">
        <is>
          <t>ÖREBRO LÄN</t>
        </is>
      </c>
      <c r="E1851" t="inlineStr">
        <is>
          <t>LINDESBERG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43836-2025</t>
        </is>
      </c>
      <c r="B1852" s="1" t="n">
        <v>45912.63359953704</v>
      </c>
      <c r="C1852" s="1" t="n">
        <v>46132</v>
      </c>
      <c r="D1852" t="inlineStr">
        <is>
          <t>ÖREBRO LÄN</t>
        </is>
      </c>
      <c r="E1852" t="inlineStr">
        <is>
          <t>LINDESBERG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23225-2025</t>
        </is>
      </c>
      <c r="B1853" s="1" t="n">
        <v>45791</v>
      </c>
      <c r="C1853" s="1" t="n">
        <v>46132</v>
      </c>
      <c r="D1853" t="inlineStr">
        <is>
          <t>ÖREBRO LÄN</t>
        </is>
      </c>
      <c r="E1853" t="inlineStr">
        <is>
          <t>KUMLA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59158-2022</t>
        </is>
      </c>
      <c r="B1854" s="1" t="n">
        <v>44904</v>
      </c>
      <c r="C1854" s="1" t="n">
        <v>46132</v>
      </c>
      <c r="D1854" t="inlineStr">
        <is>
          <t>ÖREBRO LÄN</t>
        </is>
      </c>
      <c r="E1854" t="inlineStr">
        <is>
          <t>DEGERFORS</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33428-2024</t>
        </is>
      </c>
      <c r="B1855" s="1" t="n">
        <v>45519.52319444445</v>
      </c>
      <c r="C1855" s="1" t="n">
        <v>46132</v>
      </c>
      <c r="D1855" t="inlineStr">
        <is>
          <t>ÖREBRO LÄN</t>
        </is>
      </c>
      <c r="E1855" t="inlineStr">
        <is>
          <t>LINDESBERG</t>
        </is>
      </c>
      <c r="F1855" t="inlineStr">
        <is>
          <t>Sveaskog</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42918-2024</t>
        </is>
      </c>
      <c r="B1856" s="1" t="n">
        <v>45567.27908564815</v>
      </c>
      <c r="C1856" s="1" t="n">
        <v>46132</v>
      </c>
      <c r="D1856" t="inlineStr">
        <is>
          <t>ÖREBRO LÄN</t>
        </is>
      </c>
      <c r="E1856" t="inlineStr">
        <is>
          <t>HÄLLEFORS</t>
        </is>
      </c>
      <c r="F1856" t="inlineStr">
        <is>
          <t>Bergvik skog väst AB</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53435-2025</t>
        </is>
      </c>
      <c r="B1857" s="1" t="n">
        <v>45959</v>
      </c>
      <c r="C1857" s="1" t="n">
        <v>46132</v>
      </c>
      <c r="D1857" t="inlineStr">
        <is>
          <t>ÖREBRO LÄN</t>
        </is>
      </c>
      <c r="E1857" t="inlineStr">
        <is>
          <t>KUMLA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53437-2025</t>
        </is>
      </c>
      <c r="B1858" s="1" t="n">
        <v>45959.63440972222</v>
      </c>
      <c r="C1858" s="1" t="n">
        <v>46132</v>
      </c>
      <c r="D1858" t="inlineStr">
        <is>
          <t>ÖREBRO LÄN</t>
        </is>
      </c>
      <c r="E1858" t="inlineStr">
        <is>
          <t>ÖREBRO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53341-2025</t>
        </is>
      </c>
      <c r="B1859" s="1" t="n">
        <v>45959.41048611111</v>
      </c>
      <c r="C1859" s="1" t="n">
        <v>46132</v>
      </c>
      <c r="D1859" t="inlineStr">
        <is>
          <t>ÖREBRO LÄN</t>
        </is>
      </c>
      <c r="E1859" t="inlineStr">
        <is>
          <t>HÄLLEFORS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53342-2025</t>
        </is>
      </c>
      <c r="B1860" s="1" t="n">
        <v>45959.41769675926</v>
      </c>
      <c r="C1860" s="1" t="n">
        <v>46132</v>
      </c>
      <c r="D1860" t="inlineStr">
        <is>
          <t>ÖREBRO LÄN</t>
        </is>
      </c>
      <c r="E1860" t="inlineStr">
        <is>
          <t>ÖREBRO</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43772-2025</t>
        </is>
      </c>
      <c r="B1861" s="1" t="n">
        <v>45912.50550925926</v>
      </c>
      <c r="C1861" s="1" t="n">
        <v>46132</v>
      </c>
      <c r="D1861" t="inlineStr">
        <is>
          <t>ÖREBRO LÄN</t>
        </is>
      </c>
      <c r="E1861" t="inlineStr">
        <is>
          <t>KARLSKOGA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20673-2025</t>
        </is>
      </c>
      <c r="B1862" s="1" t="n">
        <v>45776</v>
      </c>
      <c r="C1862" s="1" t="n">
        <v>46132</v>
      </c>
      <c r="D1862" t="inlineStr">
        <is>
          <t>ÖREBRO LÄN</t>
        </is>
      </c>
      <c r="E1862" t="inlineStr">
        <is>
          <t>LJUSNARSBERG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53443-2025</t>
        </is>
      </c>
      <c r="B1863" s="1" t="n">
        <v>45959.6444675926</v>
      </c>
      <c r="C1863" s="1" t="n">
        <v>46132</v>
      </c>
      <c r="D1863" t="inlineStr">
        <is>
          <t>ÖREBRO LÄN</t>
        </is>
      </c>
      <c r="E1863" t="inlineStr">
        <is>
          <t>ÖREBRO</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53600-2025</t>
        </is>
      </c>
      <c r="B1864" s="1" t="n">
        <v>45960</v>
      </c>
      <c r="C1864" s="1" t="n">
        <v>46132</v>
      </c>
      <c r="D1864" t="inlineStr">
        <is>
          <t>ÖREBRO LÄN</t>
        </is>
      </c>
      <c r="E1864" t="inlineStr">
        <is>
          <t>NORA</t>
        </is>
      </c>
      <c r="F1864" t="inlineStr">
        <is>
          <t>Kommuner</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43638-2025</t>
        </is>
      </c>
      <c r="B1865" s="1" t="n">
        <v>45911.73936342593</v>
      </c>
      <c r="C1865" s="1" t="n">
        <v>46132</v>
      </c>
      <c r="D1865" t="inlineStr">
        <is>
          <t>ÖREBRO LÄN</t>
        </is>
      </c>
      <c r="E1865" t="inlineStr">
        <is>
          <t>LJUSNARSBERG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43379-2025</t>
        </is>
      </c>
      <c r="B1866" s="1" t="n">
        <v>45911.36046296296</v>
      </c>
      <c r="C1866" s="1" t="n">
        <v>46132</v>
      </c>
      <c r="D1866" t="inlineStr">
        <is>
          <t>ÖREBRO LÄN</t>
        </is>
      </c>
      <c r="E1866" t="inlineStr">
        <is>
          <t>HALLSBERG</t>
        </is>
      </c>
      <c r="F1866" t="inlineStr">
        <is>
          <t>Sveaskog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53335-2025</t>
        </is>
      </c>
      <c r="B1867" s="1" t="n">
        <v>45959.38943287037</v>
      </c>
      <c r="C1867" s="1" t="n">
        <v>46132</v>
      </c>
      <c r="D1867" t="inlineStr">
        <is>
          <t>ÖREBRO LÄN</t>
        </is>
      </c>
      <c r="E1867" t="inlineStr">
        <is>
          <t>HÄLLEFORS</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53723-2025</t>
        </is>
      </c>
      <c r="B1868" s="1" t="n">
        <v>45960.62986111111</v>
      </c>
      <c r="C1868" s="1" t="n">
        <v>46132</v>
      </c>
      <c r="D1868" t="inlineStr">
        <is>
          <t>ÖREBRO LÄN</t>
        </is>
      </c>
      <c r="E1868" t="inlineStr">
        <is>
          <t>LINDESBERG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53331-2025</t>
        </is>
      </c>
      <c r="B1869" s="1" t="n">
        <v>45959.37532407408</v>
      </c>
      <c r="C1869" s="1" t="n">
        <v>46132</v>
      </c>
      <c r="D1869" t="inlineStr">
        <is>
          <t>ÖREBRO LÄN</t>
        </is>
      </c>
      <c r="E1869" t="inlineStr">
        <is>
          <t>HÄLLEFORS</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43752-2025</t>
        </is>
      </c>
      <c r="B1870" s="1" t="n">
        <v>45912</v>
      </c>
      <c r="C1870" s="1" t="n">
        <v>46132</v>
      </c>
      <c r="D1870" t="inlineStr">
        <is>
          <t>ÖREBRO LÄN</t>
        </is>
      </c>
      <c r="E1870" t="inlineStr">
        <is>
          <t>DEGERFORS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53288-2025</t>
        </is>
      </c>
      <c r="B1871" s="1" t="n">
        <v>45958.79287037037</v>
      </c>
      <c r="C1871" s="1" t="n">
        <v>46132</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44305-2025</t>
        </is>
      </c>
      <c r="B1872" s="1" t="n">
        <v>45916.37457175926</v>
      </c>
      <c r="C1872" s="1" t="n">
        <v>46132</v>
      </c>
      <c r="D1872" t="inlineStr">
        <is>
          <t>ÖREBRO LÄN</t>
        </is>
      </c>
      <c r="E1872" t="inlineStr">
        <is>
          <t>HALLSBERG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53721-2025</t>
        </is>
      </c>
      <c r="B1873" s="1" t="n">
        <v>45960</v>
      </c>
      <c r="C1873" s="1" t="n">
        <v>46132</v>
      </c>
      <c r="D1873" t="inlineStr">
        <is>
          <t>ÖREBRO LÄN</t>
        </is>
      </c>
      <c r="E1873" t="inlineStr">
        <is>
          <t>LINDESBERG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27309-2025</t>
        </is>
      </c>
      <c r="B1874" s="1" t="n">
        <v>45812.57452546297</v>
      </c>
      <c r="C1874" s="1" t="n">
        <v>46132</v>
      </c>
      <c r="D1874" t="inlineStr">
        <is>
          <t>ÖREBRO LÄN</t>
        </is>
      </c>
      <c r="E1874" t="inlineStr">
        <is>
          <t>LINDESBERG</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27311-2025</t>
        </is>
      </c>
      <c r="B1875" s="1" t="n">
        <v>45812.57604166667</v>
      </c>
      <c r="C1875" s="1" t="n">
        <v>46132</v>
      </c>
      <c r="D1875" t="inlineStr">
        <is>
          <t>ÖREBRO LÄN</t>
        </is>
      </c>
      <c r="E1875" t="inlineStr">
        <is>
          <t>LINDESBERG</t>
        </is>
      </c>
      <c r="F1875" t="inlineStr">
        <is>
          <t>Sveaskog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53952-2025</t>
        </is>
      </c>
      <c r="B1876" s="1" t="n">
        <v>45961.5049537037</v>
      </c>
      <c r="C1876" s="1" t="n">
        <v>46132</v>
      </c>
      <c r="D1876" t="inlineStr">
        <is>
          <t>ÖREBRO LÄN</t>
        </is>
      </c>
      <c r="E1876" t="inlineStr">
        <is>
          <t>HÄLLEFORS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54058-2025</t>
        </is>
      </c>
      <c r="B1877" s="1" t="n">
        <v>45964.32967592592</v>
      </c>
      <c r="C1877" s="1" t="n">
        <v>46132</v>
      </c>
      <c r="D1877" t="inlineStr">
        <is>
          <t>ÖREBRO LÄN</t>
        </is>
      </c>
      <c r="E1877" t="inlineStr">
        <is>
          <t>HALLSBERG</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54062-2025</t>
        </is>
      </c>
      <c r="B1878" s="1" t="n">
        <v>45964.33197916667</v>
      </c>
      <c r="C1878" s="1" t="n">
        <v>46132</v>
      </c>
      <c r="D1878" t="inlineStr">
        <is>
          <t>ÖREBRO LÄN</t>
        </is>
      </c>
      <c r="E1878" t="inlineStr">
        <is>
          <t>HALLSBERG</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54070-2025</t>
        </is>
      </c>
      <c r="B1879" s="1" t="n">
        <v>45964.34680555556</v>
      </c>
      <c r="C1879" s="1" t="n">
        <v>46132</v>
      </c>
      <c r="D1879" t="inlineStr">
        <is>
          <t>ÖREBRO LÄN</t>
        </is>
      </c>
      <c r="E1879" t="inlineStr">
        <is>
          <t>LINDESBERG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27300-2025</t>
        </is>
      </c>
      <c r="B1880" s="1" t="n">
        <v>45812.57143518519</v>
      </c>
      <c r="C1880" s="1" t="n">
        <v>46132</v>
      </c>
      <c r="D1880" t="inlineStr">
        <is>
          <t>ÖREBRO LÄN</t>
        </is>
      </c>
      <c r="E1880" t="inlineStr">
        <is>
          <t>LINDESBERG</t>
        </is>
      </c>
      <c r="F1880" t="inlineStr">
        <is>
          <t>Sveaskog</t>
        </is>
      </c>
      <c r="G1880" t="n">
        <v>19.7</v>
      </c>
      <c r="H1880" t="n">
        <v>0</v>
      </c>
      <c r="I1880" t="n">
        <v>0</v>
      </c>
      <c r="J1880" t="n">
        <v>0</v>
      </c>
      <c r="K1880" t="n">
        <v>0</v>
      </c>
      <c r="L1880" t="n">
        <v>0</v>
      </c>
      <c r="M1880" t="n">
        <v>0</v>
      </c>
      <c r="N1880" t="n">
        <v>0</v>
      </c>
      <c r="O1880" t="n">
        <v>0</v>
      </c>
      <c r="P1880" t="n">
        <v>0</v>
      </c>
      <c r="Q1880" t="n">
        <v>0</v>
      </c>
      <c r="R1880" s="2" t="inlineStr"/>
    </row>
    <row r="1881" ht="15" customHeight="1">
      <c r="A1881" t="inlineStr">
        <is>
          <t>A 54235-2025</t>
        </is>
      </c>
      <c r="B1881" s="1" t="n">
        <v>45964.62569444445</v>
      </c>
      <c r="C1881" s="1" t="n">
        <v>46132</v>
      </c>
      <c r="D1881" t="inlineStr">
        <is>
          <t>ÖREBRO LÄN</t>
        </is>
      </c>
      <c r="E1881" t="inlineStr">
        <is>
          <t>DEGERFORS</t>
        </is>
      </c>
      <c r="F1881" t="inlineStr">
        <is>
          <t>Sveaskog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54163-2025</t>
        </is>
      </c>
      <c r="B1882" s="1" t="n">
        <v>45964.50881944445</v>
      </c>
      <c r="C1882" s="1" t="n">
        <v>46132</v>
      </c>
      <c r="D1882" t="inlineStr">
        <is>
          <t>ÖREBRO LÄN</t>
        </is>
      </c>
      <c r="E1882" t="inlineStr">
        <is>
          <t>ASKERSUND</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7784-2024</t>
        </is>
      </c>
      <c r="B1883" s="1" t="n">
        <v>45349.60084490741</v>
      </c>
      <c r="C1883" s="1" t="n">
        <v>46132</v>
      </c>
      <c r="D1883" t="inlineStr">
        <is>
          <t>ÖREBRO LÄN</t>
        </is>
      </c>
      <c r="E1883" t="inlineStr">
        <is>
          <t>HALLSBERG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7788-2024</t>
        </is>
      </c>
      <c r="B1884" s="1" t="n">
        <v>45349.60403935185</v>
      </c>
      <c r="C1884" s="1" t="n">
        <v>46132</v>
      </c>
      <c r="D1884" t="inlineStr">
        <is>
          <t>ÖREBRO LÄN</t>
        </is>
      </c>
      <c r="E1884" t="inlineStr">
        <is>
          <t>HALLSBERG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54169-2025</t>
        </is>
      </c>
      <c r="B1885" s="1" t="n">
        <v>45964.52699074074</v>
      </c>
      <c r="C1885" s="1" t="n">
        <v>46132</v>
      </c>
      <c r="D1885" t="inlineStr">
        <is>
          <t>ÖREBRO LÄN</t>
        </is>
      </c>
      <c r="E1885" t="inlineStr">
        <is>
          <t>ASKERSUND</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54250-2025</t>
        </is>
      </c>
      <c r="B1886" s="1" t="n">
        <v>45964.64709490741</v>
      </c>
      <c r="C1886" s="1" t="n">
        <v>46132</v>
      </c>
      <c r="D1886" t="inlineStr">
        <is>
          <t>ÖREBRO LÄN</t>
        </is>
      </c>
      <c r="E1886" t="inlineStr">
        <is>
          <t>LINDESBERG</t>
        </is>
      </c>
      <c r="F1886" t="inlineStr">
        <is>
          <t>Sveaskog</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54251-2025</t>
        </is>
      </c>
      <c r="B1887" s="1" t="n">
        <v>45964.64778935185</v>
      </c>
      <c r="C1887" s="1" t="n">
        <v>46132</v>
      </c>
      <c r="D1887" t="inlineStr">
        <is>
          <t>ÖREBRO LÄN</t>
        </is>
      </c>
      <c r="E1887" t="inlineStr">
        <is>
          <t>LINDESBERG</t>
        </is>
      </c>
      <c r="F1887" t="inlineStr">
        <is>
          <t>Sveaskog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12482-2023</t>
        </is>
      </c>
      <c r="B1888" s="1" t="n">
        <v>44999.65438657408</v>
      </c>
      <c r="C1888" s="1" t="n">
        <v>46132</v>
      </c>
      <c r="D1888" t="inlineStr">
        <is>
          <t>ÖREBRO LÄN</t>
        </is>
      </c>
      <c r="E1888" t="inlineStr">
        <is>
          <t>LJUSNARSBERG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54232-2025</t>
        </is>
      </c>
      <c r="B1889" s="1" t="n">
        <v>45964.62188657407</v>
      </c>
      <c r="C1889" s="1" t="n">
        <v>46132</v>
      </c>
      <c r="D1889" t="inlineStr">
        <is>
          <t>ÖREBRO LÄN</t>
        </is>
      </c>
      <c r="E1889" t="inlineStr">
        <is>
          <t>DEGERFORS</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54233-2025</t>
        </is>
      </c>
      <c r="B1890" s="1" t="n">
        <v>45964.62453703704</v>
      </c>
      <c r="C1890" s="1" t="n">
        <v>46132</v>
      </c>
      <c r="D1890" t="inlineStr">
        <is>
          <t>ÖREBRO LÄN</t>
        </is>
      </c>
      <c r="E1890" t="inlineStr">
        <is>
          <t>DEGERFORS</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54240-2025</t>
        </is>
      </c>
      <c r="B1891" s="1" t="n">
        <v>45964.62796296296</v>
      </c>
      <c r="C1891" s="1" t="n">
        <v>46132</v>
      </c>
      <c r="D1891" t="inlineStr">
        <is>
          <t>ÖREBRO LÄN</t>
        </is>
      </c>
      <c r="E1891" t="inlineStr">
        <is>
          <t>LINDESBERG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36553-2024</t>
        </is>
      </c>
      <c r="B1892" s="1" t="n">
        <v>45537.46827546296</v>
      </c>
      <c r="C1892" s="1" t="n">
        <v>46132</v>
      </c>
      <c r="D1892" t="inlineStr">
        <is>
          <t>ÖREBRO LÄN</t>
        </is>
      </c>
      <c r="E1892" t="inlineStr">
        <is>
          <t>LAXÅ</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54142-2025</t>
        </is>
      </c>
      <c r="B1893" s="1" t="n">
        <v>45964.47820601852</v>
      </c>
      <c r="C1893" s="1" t="n">
        <v>46132</v>
      </c>
      <c r="D1893" t="inlineStr">
        <is>
          <t>ÖREBRO LÄN</t>
        </is>
      </c>
      <c r="E1893" t="inlineStr">
        <is>
          <t>ASKERSUND</t>
        </is>
      </c>
      <c r="F1893" t="inlineStr">
        <is>
          <t>Sveaskog</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54161-2025</t>
        </is>
      </c>
      <c r="B1894" s="1" t="n">
        <v>45964.50622685185</v>
      </c>
      <c r="C1894" s="1" t="n">
        <v>46132</v>
      </c>
      <c r="D1894" t="inlineStr">
        <is>
          <t>ÖREBRO LÄN</t>
        </is>
      </c>
      <c r="E1894" t="inlineStr">
        <is>
          <t>ASKERSUND</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54162-2025</t>
        </is>
      </c>
      <c r="B1895" s="1" t="n">
        <v>45964.50684027778</v>
      </c>
      <c r="C1895" s="1" t="n">
        <v>46132</v>
      </c>
      <c r="D1895" t="inlineStr">
        <is>
          <t>ÖREBRO LÄN</t>
        </is>
      </c>
      <c r="E1895" t="inlineStr">
        <is>
          <t>ASKERSUND</t>
        </is>
      </c>
      <c r="F1895" t="inlineStr">
        <is>
          <t>Sveaskog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54153-2025</t>
        </is>
      </c>
      <c r="B1896" s="1" t="n">
        <v>45964.49197916667</v>
      </c>
      <c r="C1896" s="1" t="n">
        <v>46132</v>
      </c>
      <c r="D1896" t="inlineStr">
        <is>
          <t>ÖREBRO LÄN</t>
        </is>
      </c>
      <c r="E1896" t="inlineStr">
        <is>
          <t>ASKERSUND</t>
        </is>
      </c>
      <c r="F1896" t="inlineStr">
        <is>
          <t>Sveaskog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54154-2025</t>
        </is>
      </c>
      <c r="B1897" s="1" t="n">
        <v>45964.49260416667</v>
      </c>
      <c r="C1897" s="1" t="n">
        <v>46132</v>
      </c>
      <c r="D1897" t="inlineStr">
        <is>
          <t>ÖREBRO LÄN</t>
        </is>
      </c>
      <c r="E1897" t="inlineStr">
        <is>
          <t>ASKERSUND</t>
        </is>
      </c>
      <c r="F1897" t="inlineStr">
        <is>
          <t>Sveaskog</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54170-2025</t>
        </is>
      </c>
      <c r="B1898" s="1" t="n">
        <v>45964.52752314815</v>
      </c>
      <c r="C1898" s="1" t="n">
        <v>46132</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54205-2025</t>
        </is>
      </c>
      <c r="B1899" s="1" t="n">
        <v>45964.58512731481</v>
      </c>
      <c r="C1899" s="1" t="n">
        <v>46132</v>
      </c>
      <c r="D1899" t="inlineStr">
        <is>
          <t>ÖREBRO LÄN</t>
        </is>
      </c>
      <c r="E1899" t="inlineStr">
        <is>
          <t>ÖREBRO</t>
        </is>
      </c>
      <c r="G1899" t="n">
        <v>24.3</v>
      </c>
      <c r="H1899" t="n">
        <v>0</v>
      </c>
      <c r="I1899" t="n">
        <v>0</v>
      </c>
      <c r="J1899" t="n">
        <v>0</v>
      </c>
      <c r="K1899" t="n">
        <v>0</v>
      </c>
      <c r="L1899" t="n">
        <v>0</v>
      </c>
      <c r="M1899" t="n">
        <v>0</v>
      </c>
      <c r="N1899" t="n">
        <v>0</v>
      </c>
      <c r="O1899" t="n">
        <v>0</v>
      </c>
      <c r="P1899" t="n">
        <v>0</v>
      </c>
      <c r="Q1899" t="n">
        <v>0</v>
      </c>
      <c r="R1899" s="2" t="inlineStr"/>
    </row>
    <row r="1900" ht="15" customHeight="1">
      <c r="A1900" t="inlineStr">
        <is>
          <t>A 54072-2025</t>
        </is>
      </c>
      <c r="B1900" s="1" t="n">
        <v>45964.3550925926</v>
      </c>
      <c r="C1900" s="1" t="n">
        <v>46132</v>
      </c>
      <c r="D1900" t="inlineStr">
        <is>
          <t>ÖREBRO LÄN</t>
        </is>
      </c>
      <c r="E1900" t="inlineStr">
        <is>
          <t>LINDESBERG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27343-2025</t>
        </is>
      </c>
      <c r="B1901" s="1" t="n">
        <v>45812.61828703704</v>
      </c>
      <c r="C1901" s="1" t="n">
        <v>46132</v>
      </c>
      <c r="D1901" t="inlineStr">
        <is>
          <t>ÖREBRO LÄN</t>
        </is>
      </c>
      <c r="E1901" t="inlineStr">
        <is>
          <t>LJUSNARSBERG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11969-2023</t>
        </is>
      </c>
      <c r="B1902" s="1" t="n">
        <v>44995.5728125</v>
      </c>
      <c r="C1902" s="1" t="n">
        <v>46132</v>
      </c>
      <c r="D1902" t="inlineStr">
        <is>
          <t>ÖREBRO LÄN</t>
        </is>
      </c>
      <c r="E1902" t="inlineStr">
        <is>
          <t>ASKERSUND</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27296-2025</t>
        </is>
      </c>
      <c r="B1903" s="1" t="n">
        <v>45812.56952546296</v>
      </c>
      <c r="C1903" s="1" t="n">
        <v>46132</v>
      </c>
      <c r="D1903" t="inlineStr">
        <is>
          <t>ÖREBRO LÄN</t>
        </is>
      </c>
      <c r="E1903" t="inlineStr">
        <is>
          <t>LINDESBERG</t>
        </is>
      </c>
      <c r="F1903" t="inlineStr">
        <is>
          <t>Sveaskog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27341-2025</t>
        </is>
      </c>
      <c r="B1904" s="1" t="n">
        <v>45812.61592592593</v>
      </c>
      <c r="C1904" s="1" t="n">
        <v>46132</v>
      </c>
      <c r="D1904" t="inlineStr">
        <is>
          <t>ÖREBRO LÄN</t>
        </is>
      </c>
      <c r="E1904" t="inlineStr">
        <is>
          <t>LJUSNARSBERG</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27148-2025</t>
        </is>
      </c>
      <c r="B1905" s="1" t="n">
        <v>45812</v>
      </c>
      <c r="C1905" s="1" t="n">
        <v>46132</v>
      </c>
      <c r="D1905" t="inlineStr">
        <is>
          <t>ÖREBRO LÄN</t>
        </is>
      </c>
      <c r="E1905" t="inlineStr">
        <is>
          <t>HALLSBERG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71206-2021</t>
        </is>
      </c>
      <c r="B1906" s="1" t="n">
        <v>44539</v>
      </c>
      <c r="C1906" s="1" t="n">
        <v>46132</v>
      </c>
      <c r="D1906" t="inlineStr">
        <is>
          <t>ÖREBRO LÄN</t>
        </is>
      </c>
      <c r="E1906" t="inlineStr">
        <is>
          <t>ÖREBRO</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44479-2025</t>
        </is>
      </c>
      <c r="B1907" s="1" t="n">
        <v>45916.64740740741</v>
      </c>
      <c r="C1907" s="1" t="n">
        <v>46132</v>
      </c>
      <c r="D1907" t="inlineStr">
        <is>
          <t>ÖREBRO LÄN</t>
        </is>
      </c>
      <c r="E1907" t="inlineStr">
        <is>
          <t>LJUSNARSBERG</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54060-2025</t>
        </is>
      </c>
      <c r="B1908" s="1" t="n">
        <v>45964.33086805556</v>
      </c>
      <c r="C1908" s="1" t="n">
        <v>46132</v>
      </c>
      <c r="D1908" t="inlineStr">
        <is>
          <t>ÖREBRO LÄN</t>
        </is>
      </c>
      <c r="E1908" t="inlineStr">
        <is>
          <t>HALLSBERG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37148-2023</t>
        </is>
      </c>
      <c r="B1909" s="1" t="n">
        <v>45155</v>
      </c>
      <c r="C1909" s="1" t="n">
        <v>46132</v>
      </c>
      <c r="D1909" t="inlineStr">
        <is>
          <t>ÖREBRO LÄN</t>
        </is>
      </c>
      <c r="E1909" t="inlineStr">
        <is>
          <t>LJUSNARSBERG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44041-2025</t>
        </is>
      </c>
      <c r="B1910" s="1" t="n">
        <v>45915.49238425926</v>
      </c>
      <c r="C1910" s="1" t="n">
        <v>46132</v>
      </c>
      <c r="D1910" t="inlineStr">
        <is>
          <t>ÖREBRO LÄN</t>
        </is>
      </c>
      <c r="E1910" t="inlineStr">
        <is>
          <t>LINDESBERG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54249-2025</t>
        </is>
      </c>
      <c r="B1911" s="1" t="n">
        <v>45964.64599537037</v>
      </c>
      <c r="C1911" s="1" t="n">
        <v>46132</v>
      </c>
      <c r="D1911" t="inlineStr">
        <is>
          <t>ÖREBRO LÄN</t>
        </is>
      </c>
      <c r="E1911" t="inlineStr">
        <is>
          <t>LINDESBERG</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59766-2022</t>
        </is>
      </c>
      <c r="B1912" s="1" t="n">
        <v>44908.49152777778</v>
      </c>
      <c r="C1912" s="1" t="n">
        <v>46132</v>
      </c>
      <c r="D1912" t="inlineStr">
        <is>
          <t>ÖREBRO LÄN</t>
        </is>
      </c>
      <c r="E1912" t="inlineStr">
        <is>
          <t>LINDESBERG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4058-2022</t>
        </is>
      </c>
      <c r="B1913" s="1" t="n">
        <v>44588</v>
      </c>
      <c r="C1913" s="1" t="n">
        <v>46132</v>
      </c>
      <c r="D1913" t="inlineStr">
        <is>
          <t>ÖREBRO LÄN</t>
        </is>
      </c>
      <c r="E1913" t="inlineStr">
        <is>
          <t>KARLSKOGA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13757-2023</t>
        </is>
      </c>
      <c r="B1914" s="1" t="n">
        <v>45007.42442129629</v>
      </c>
      <c r="C1914" s="1" t="n">
        <v>46132</v>
      </c>
      <c r="D1914" t="inlineStr">
        <is>
          <t>ÖREBRO LÄN</t>
        </is>
      </c>
      <c r="E1914" t="inlineStr">
        <is>
          <t>HÄLLEFORS</t>
        </is>
      </c>
      <c r="F1914" t="inlineStr">
        <is>
          <t>Bergvik skog väst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44077-2025</t>
        </is>
      </c>
      <c r="B1915" s="1" t="n">
        <v>45915.54983796296</v>
      </c>
      <c r="C1915" s="1" t="n">
        <v>46132</v>
      </c>
      <c r="D1915" t="inlineStr">
        <is>
          <t>ÖREBRO LÄN</t>
        </is>
      </c>
      <c r="E1915" t="inlineStr">
        <is>
          <t>LINDESBERG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54804-2025</t>
        </is>
      </c>
      <c r="B1916" s="1" t="n">
        <v>45966.64116898148</v>
      </c>
      <c r="C1916" s="1" t="n">
        <v>46132</v>
      </c>
      <c r="D1916" t="inlineStr">
        <is>
          <t>ÖREBRO LÄN</t>
        </is>
      </c>
      <c r="E1916" t="inlineStr">
        <is>
          <t>LEKEBERG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54485-2025</t>
        </is>
      </c>
      <c r="B1917" s="1" t="n">
        <v>45965.59295138889</v>
      </c>
      <c r="C1917" s="1" t="n">
        <v>46132</v>
      </c>
      <c r="D1917" t="inlineStr">
        <is>
          <t>ÖREBRO LÄN</t>
        </is>
      </c>
      <c r="E1917" t="inlineStr">
        <is>
          <t>ÖREBRO</t>
        </is>
      </c>
      <c r="F1917" t="inlineStr">
        <is>
          <t>Allmännings- och besparingsskogar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54770-2025</t>
        </is>
      </c>
      <c r="B1918" s="1" t="n">
        <v>45966.60803240741</v>
      </c>
      <c r="C1918" s="1" t="n">
        <v>46132</v>
      </c>
      <c r="D1918" t="inlineStr">
        <is>
          <t>ÖREBRO LÄN</t>
        </is>
      </c>
      <c r="E1918" t="inlineStr">
        <is>
          <t>LEKEBERG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40864-2025</t>
        </is>
      </c>
      <c r="B1919" s="1" t="n">
        <v>45897</v>
      </c>
      <c r="C1919" s="1" t="n">
        <v>46132</v>
      </c>
      <c r="D1919" t="inlineStr">
        <is>
          <t>ÖREBRO LÄN</t>
        </is>
      </c>
      <c r="E1919" t="inlineStr">
        <is>
          <t>LJUSNARSBERG</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27220-2025</t>
        </is>
      </c>
      <c r="B1920" s="1" t="n">
        <v>45812.42293981482</v>
      </c>
      <c r="C1920" s="1" t="n">
        <v>46132</v>
      </c>
      <c r="D1920" t="inlineStr">
        <is>
          <t>ÖREBRO LÄN</t>
        </is>
      </c>
      <c r="E1920" t="inlineStr">
        <is>
          <t>ÖREBRO</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33282-2024</t>
        </is>
      </c>
      <c r="B1921" s="1" t="n">
        <v>45518.71482638889</v>
      </c>
      <c r="C1921" s="1" t="n">
        <v>46132</v>
      </c>
      <c r="D1921" t="inlineStr">
        <is>
          <t>ÖREBRO LÄN</t>
        </is>
      </c>
      <c r="E1921" t="inlineStr">
        <is>
          <t>LINDESBERG</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17894-2025</t>
        </is>
      </c>
      <c r="B1922" s="1" t="n">
        <v>45758</v>
      </c>
      <c r="C1922" s="1" t="n">
        <v>46132</v>
      </c>
      <c r="D1922" t="inlineStr">
        <is>
          <t>ÖREBRO LÄN</t>
        </is>
      </c>
      <c r="E1922" t="inlineStr">
        <is>
          <t>ASKERSUND</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44313-2025</t>
        </is>
      </c>
      <c r="B1923" s="1" t="n">
        <v>45915</v>
      </c>
      <c r="C1923" s="1" t="n">
        <v>46132</v>
      </c>
      <c r="D1923" t="inlineStr">
        <is>
          <t>ÖREBRO LÄN</t>
        </is>
      </c>
      <c r="E1923" t="inlineStr">
        <is>
          <t>LAXÅ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5583-2023</t>
        </is>
      </c>
      <c r="B1924" s="1" t="n">
        <v>44960.50733796296</v>
      </c>
      <c r="C1924" s="1" t="n">
        <v>46132</v>
      </c>
      <c r="D1924" t="inlineStr">
        <is>
          <t>ÖREBRO LÄN</t>
        </is>
      </c>
      <c r="E1924" t="inlineStr">
        <is>
          <t>HÄLLEFORS</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15895-2025</t>
        </is>
      </c>
      <c r="B1925" s="1" t="n">
        <v>45749</v>
      </c>
      <c r="C1925" s="1" t="n">
        <v>46132</v>
      </c>
      <c r="D1925" t="inlineStr">
        <is>
          <t>ÖREBRO LÄN</t>
        </is>
      </c>
      <c r="E1925" t="inlineStr">
        <is>
          <t>LINDESBERG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15941-2025</t>
        </is>
      </c>
      <c r="B1926" s="1" t="n">
        <v>45749</v>
      </c>
      <c r="C1926" s="1" t="n">
        <v>46132</v>
      </c>
      <c r="D1926" t="inlineStr">
        <is>
          <t>ÖREBRO LÄN</t>
        </is>
      </c>
      <c r="E1926" t="inlineStr">
        <is>
          <t>LINDESBERG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44067-2025</t>
        </is>
      </c>
      <c r="B1927" s="1" t="n">
        <v>45915.54439814815</v>
      </c>
      <c r="C1927" s="1" t="n">
        <v>46132</v>
      </c>
      <c r="D1927" t="inlineStr">
        <is>
          <t>ÖREBRO LÄN</t>
        </is>
      </c>
      <c r="E1927" t="inlineStr">
        <is>
          <t>LINDESBERG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15254-2025</t>
        </is>
      </c>
      <c r="B1928" s="1" t="n">
        <v>45744.64983796296</v>
      </c>
      <c r="C1928" s="1" t="n">
        <v>46132</v>
      </c>
      <c r="D1928" t="inlineStr">
        <is>
          <t>ÖREBRO LÄN</t>
        </is>
      </c>
      <c r="E1928" t="inlineStr">
        <is>
          <t>KARLSKOGA</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15256-2025</t>
        </is>
      </c>
      <c r="B1929" s="1" t="n">
        <v>45744.65391203704</v>
      </c>
      <c r="C1929" s="1" t="n">
        <v>46132</v>
      </c>
      <c r="D1929" t="inlineStr">
        <is>
          <t>ÖREBRO LÄN</t>
        </is>
      </c>
      <c r="E1929" t="inlineStr">
        <is>
          <t>KARLSKOGA</t>
        </is>
      </c>
      <c r="F1929" t="inlineStr">
        <is>
          <t>Sveaskog</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52202-2024</t>
        </is>
      </c>
      <c r="B1930" s="1" t="n">
        <v>45608</v>
      </c>
      <c r="C1930" s="1" t="n">
        <v>46132</v>
      </c>
      <c r="D1930" t="inlineStr">
        <is>
          <t>ÖREBRO LÄN</t>
        </is>
      </c>
      <c r="E1930" t="inlineStr">
        <is>
          <t>KUMLA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54832-2024</t>
        </is>
      </c>
      <c r="B1931" s="1" t="n">
        <v>45618.55387731481</v>
      </c>
      <c r="C1931" s="1" t="n">
        <v>46132</v>
      </c>
      <c r="D1931" t="inlineStr">
        <is>
          <t>ÖREBRO LÄN</t>
        </is>
      </c>
      <c r="E1931" t="inlineStr">
        <is>
          <t>LAXÅ</t>
        </is>
      </c>
      <c r="F1931" t="inlineStr">
        <is>
          <t>Sveaskog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54845-2024</t>
        </is>
      </c>
      <c r="B1932" s="1" t="n">
        <v>45618</v>
      </c>
      <c r="C1932" s="1" t="n">
        <v>46132</v>
      </c>
      <c r="D1932" t="inlineStr">
        <is>
          <t>ÖREBRO LÄN</t>
        </is>
      </c>
      <c r="E1932" t="inlineStr">
        <is>
          <t>LAXÅ</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54862-2024</t>
        </is>
      </c>
      <c r="B1933" s="1" t="n">
        <v>45618</v>
      </c>
      <c r="C1933" s="1" t="n">
        <v>46132</v>
      </c>
      <c r="D1933" t="inlineStr">
        <is>
          <t>ÖREBRO LÄN</t>
        </is>
      </c>
      <c r="E1933" t="inlineStr">
        <is>
          <t>LINDESBERG</t>
        </is>
      </c>
      <c r="F1933" t="inlineStr">
        <is>
          <t>Sveaskog</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16739-2022</t>
        </is>
      </c>
      <c r="B1934" s="1" t="n">
        <v>44673</v>
      </c>
      <c r="C1934" s="1" t="n">
        <v>46132</v>
      </c>
      <c r="D1934" t="inlineStr">
        <is>
          <t>ÖREBRO LÄN</t>
        </is>
      </c>
      <c r="E1934" t="inlineStr">
        <is>
          <t>ÖREBRO</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44177-2025</t>
        </is>
      </c>
      <c r="B1935" s="1" t="n">
        <v>45915.6069212963</v>
      </c>
      <c r="C1935" s="1" t="n">
        <v>46132</v>
      </c>
      <c r="D1935" t="inlineStr">
        <is>
          <t>ÖREBRO LÄN</t>
        </is>
      </c>
      <c r="E1935" t="inlineStr">
        <is>
          <t>HALLSBERG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44400-2025</t>
        </is>
      </c>
      <c r="B1936" s="1" t="n">
        <v>45916.5037037037</v>
      </c>
      <c r="C1936" s="1" t="n">
        <v>46132</v>
      </c>
      <c r="D1936" t="inlineStr">
        <is>
          <t>ÖREBRO LÄN</t>
        </is>
      </c>
      <c r="E1936" t="inlineStr">
        <is>
          <t>HÄLLEFORS</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54595-2025</t>
        </is>
      </c>
      <c r="B1937" s="1" t="n">
        <v>45965.7556712963</v>
      </c>
      <c r="C1937" s="1" t="n">
        <v>46132</v>
      </c>
      <c r="D1937" t="inlineStr">
        <is>
          <t>ÖREBRO LÄN</t>
        </is>
      </c>
      <c r="E1937" t="inlineStr">
        <is>
          <t>NORA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55033-2025</t>
        </is>
      </c>
      <c r="B1938" s="1" t="n">
        <v>45967</v>
      </c>
      <c r="C1938" s="1" t="n">
        <v>46132</v>
      </c>
      <c r="D1938" t="inlineStr">
        <is>
          <t>ÖREBRO LÄN</t>
        </is>
      </c>
      <c r="E1938" t="inlineStr">
        <is>
          <t>LEKEBERG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27146-2025</t>
        </is>
      </c>
      <c r="B1939" s="1" t="n">
        <v>45812.31252314815</v>
      </c>
      <c r="C1939" s="1" t="n">
        <v>46132</v>
      </c>
      <c r="D1939" t="inlineStr">
        <is>
          <t>ÖREBRO LÄN</t>
        </is>
      </c>
      <c r="E1939" t="inlineStr">
        <is>
          <t>HALLSBERG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27147-2025</t>
        </is>
      </c>
      <c r="B1940" s="1" t="n">
        <v>45812</v>
      </c>
      <c r="C1940" s="1" t="n">
        <v>46132</v>
      </c>
      <c r="D1940" t="inlineStr">
        <is>
          <t>ÖREBRO LÄN</t>
        </is>
      </c>
      <c r="E1940" t="inlineStr">
        <is>
          <t>HALLSBERG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55183-2025</t>
        </is>
      </c>
      <c r="B1941" s="1" t="n">
        <v>45968.533125</v>
      </c>
      <c r="C1941" s="1" t="n">
        <v>46132</v>
      </c>
      <c r="D1941" t="inlineStr">
        <is>
          <t>ÖREBRO LÄN</t>
        </is>
      </c>
      <c r="E1941" t="inlineStr">
        <is>
          <t>HÄLLEFORS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55202-2025</t>
        </is>
      </c>
      <c r="B1942" s="1" t="n">
        <v>45968.5665625</v>
      </c>
      <c r="C1942" s="1" t="n">
        <v>46132</v>
      </c>
      <c r="D1942" t="inlineStr">
        <is>
          <t>ÖREBRO LÄN</t>
        </is>
      </c>
      <c r="E1942" t="inlineStr">
        <is>
          <t>LAXÅ</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55210-2025</t>
        </is>
      </c>
      <c r="B1943" s="1" t="n">
        <v>45968.57971064815</v>
      </c>
      <c r="C1943" s="1" t="n">
        <v>46132</v>
      </c>
      <c r="D1943" t="inlineStr">
        <is>
          <t>ÖREBRO LÄN</t>
        </is>
      </c>
      <c r="E1943" t="inlineStr">
        <is>
          <t>HALLSBERG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55117-2025</t>
        </is>
      </c>
      <c r="B1944" s="1" t="n">
        <v>45968.38842592593</v>
      </c>
      <c r="C1944" s="1" t="n">
        <v>46132</v>
      </c>
      <c r="D1944" t="inlineStr">
        <is>
          <t>ÖREBRO LÄN</t>
        </is>
      </c>
      <c r="E1944" t="inlineStr">
        <is>
          <t>LAXÅ</t>
        </is>
      </c>
      <c r="F1944" t="inlineStr">
        <is>
          <t>Sveaskog</t>
        </is>
      </c>
      <c r="G1944" t="n">
        <v>13.5</v>
      </c>
      <c r="H1944" t="n">
        <v>0</v>
      </c>
      <c r="I1944" t="n">
        <v>0</v>
      </c>
      <c r="J1944" t="n">
        <v>0</v>
      </c>
      <c r="K1944" t="n">
        <v>0</v>
      </c>
      <c r="L1944" t="n">
        <v>0</v>
      </c>
      <c r="M1944" t="n">
        <v>0</v>
      </c>
      <c r="N1944" t="n">
        <v>0</v>
      </c>
      <c r="O1944" t="n">
        <v>0</v>
      </c>
      <c r="P1944" t="n">
        <v>0</v>
      </c>
      <c r="Q1944" t="n">
        <v>0</v>
      </c>
      <c r="R1944" s="2" t="inlineStr"/>
    </row>
    <row r="1945" ht="15" customHeight="1">
      <c r="A1945" t="inlineStr">
        <is>
          <t>A 55255-2025</t>
        </is>
      </c>
      <c r="B1945" s="1" t="n">
        <v>45968.63695601852</v>
      </c>
      <c r="C1945" s="1" t="n">
        <v>46132</v>
      </c>
      <c r="D1945" t="inlineStr">
        <is>
          <t>ÖREBRO LÄN</t>
        </is>
      </c>
      <c r="E1945" t="inlineStr">
        <is>
          <t>LINDESBERG</t>
        </is>
      </c>
      <c r="F1945" t="inlineStr">
        <is>
          <t>Kyrkan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27180-2025</t>
        </is>
      </c>
      <c r="B1946" s="1" t="n">
        <v>45812.35736111111</v>
      </c>
      <c r="C1946" s="1" t="n">
        <v>46132</v>
      </c>
      <c r="D1946" t="inlineStr">
        <is>
          <t>ÖREBRO LÄN</t>
        </is>
      </c>
      <c r="E1946" t="inlineStr">
        <is>
          <t>ÖREBRO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27215-2025</t>
        </is>
      </c>
      <c r="B1947" s="1" t="n">
        <v>45812.41869212963</v>
      </c>
      <c r="C1947" s="1" t="n">
        <v>46132</v>
      </c>
      <c r="D1947" t="inlineStr">
        <is>
          <t>ÖREBRO LÄN</t>
        </is>
      </c>
      <c r="E1947" t="inlineStr">
        <is>
          <t>ÖREBRO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27225-2025</t>
        </is>
      </c>
      <c r="B1948" s="1" t="n">
        <v>45812.42856481481</v>
      </c>
      <c r="C1948" s="1" t="n">
        <v>46132</v>
      </c>
      <c r="D1948" t="inlineStr">
        <is>
          <t>ÖREBRO LÄN</t>
        </is>
      </c>
      <c r="E1948" t="inlineStr">
        <is>
          <t>ÖREBRO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9414-2022</t>
        </is>
      </c>
      <c r="B1949" s="1" t="n">
        <v>44616.67115740741</v>
      </c>
      <c r="C1949" s="1" t="n">
        <v>46132</v>
      </c>
      <c r="D1949" t="inlineStr">
        <is>
          <t>ÖREBRO LÄN</t>
        </is>
      </c>
      <c r="E1949" t="inlineStr">
        <is>
          <t>HALLSBERG</t>
        </is>
      </c>
      <c r="F1949" t="inlineStr">
        <is>
          <t>Allmännings- och besparingsskogar</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1742-2022</t>
        </is>
      </c>
      <c r="B1950" s="1" t="n">
        <v>44574.50425925926</v>
      </c>
      <c r="C1950" s="1" t="n">
        <v>46132</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44875-2025</t>
        </is>
      </c>
      <c r="B1951" s="1" t="n">
        <v>45918.47043981482</v>
      </c>
      <c r="C1951" s="1" t="n">
        <v>46132</v>
      </c>
      <c r="D1951" t="inlineStr">
        <is>
          <t>ÖREBRO LÄN</t>
        </is>
      </c>
      <c r="E1951" t="inlineStr">
        <is>
          <t>ÖREBRO</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14522-2025</t>
        </is>
      </c>
      <c r="B1952" s="1" t="n">
        <v>45741.64491898148</v>
      </c>
      <c r="C1952" s="1" t="n">
        <v>46132</v>
      </c>
      <c r="D1952" t="inlineStr">
        <is>
          <t>ÖREBRO LÄN</t>
        </is>
      </c>
      <c r="E1952" t="inlineStr">
        <is>
          <t>LINDESBERG</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55025-2025</t>
        </is>
      </c>
      <c r="B1953" s="1" t="n">
        <v>45967.63591435185</v>
      </c>
      <c r="C1953" s="1" t="n">
        <v>46132</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1157-2025</t>
        </is>
      </c>
      <c r="B1954" s="1" t="n">
        <v>45666.75922453704</v>
      </c>
      <c r="C1954" s="1" t="n">
        <v>46132</v>
      </c>
      <c r="D1954" t="inlineStr">
        <is>
          <t>ÖREBRO LÄN</t>
        </is>
      </c>
      <c r="E1954" t="inlineStr">
        <is>
          <t>LEKEBERG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7544-2024</t>
        </is>
      </c>
      <c r="B1955" s="1" t="n">
        <v>45348</v>
      </c>
      <c r="C1955" s="1" t="n">
        <v>46132</v>
      </c>
      <c r="D1955" t="inlineStr">
        <is>
          <t>ÖREBRO LÄN</t>
        </is>
      </c>
      <c r="E1955" t="inlineStr">
        <is>
          <t>ASKERSUND</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54901-2025</t>
        </is>
      </c>
      <c r="B1956" s="1" t="n">
        <v>45967.3659837963</v>
      </c>
      <c r="C1956" s="1" t="n">
        <v>46132</v>
      </c>
      <c r="D1956" t="inlineStr">
        <is>
          <t>ÖREBRO LÄN</t>
        </is>
      </c>
      <c r="E1956" t="inlineStr">
        <is>
          <t>LAXÅ</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44679-2025</t>
        </is>
      </c>
      <c r="B1957" s="1" t="n">
        <v>45917</v>
      </c>
      <c r="C1957" s="1" t="n">
        <v>46132</v>
      </c>
      <c r="D1957" t="inlineStr">
        <is>
          <t>ÖREBRO LÄN</t>
        </is>
      </c>
      <c r="E1957" t="inlineStr">
        <is>
          <t>ASKERSUND</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55035-2025</t>
        </is>
      </c>
      <c r="B1958" s="1" t="n">
        <v>45967.64612268518</v>
      </c>
      <c r="C1958" s="1" t="n">
        <v>46132</v>
      </c>
      <c r="D1958" t="inlineStr">
        <is>
          <t>ÖREBRO LÄN</t>
        </is>
      </c>
      <c r="E1958" t="inlineStr">
        <is>
          <t>NORA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55065-2025</t>
        </is>
      </c>
      <c r="B1959" s="1" t="n">
        <v>45967.7096875</v>
      </c>
      <c r="C1959" s="1" t="n">
        <v>46132</v>
      </c>
      <c r="D1959" t="inlineStr">
        <is>
          <t>ÖREBRO LÄN</t>
        </is>
      </c>
      <c r="E1959" t="inlineStr">
        <is>
          <t>LINDESBERG</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16557-2024</t>
        </is>
      </c>
      <c r="B1960" s="1" t="n">
        <v>45408.45260416667</v>
      </c>
      <c r="C1960" s="1" t="n">
        <v>46132</v>
      </c>
      <c r="D1960" t="inlineStr">
        <is>
          <t>ÖREBRO LÄN</t>
        </is>
      </c>
      <c r="E1960" t="inlineStr">
        <is>
          <t>NORA</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44545-2025</t>
        </is>
      </c>
      <c r="B1961" s="1" t="n">
        <v>45917.31780092593</v>
      </c>
      <c r="C1961" s="1" t="n">
        <v>46132</v>
      </c>
      <c r="D1961" t="inlineStr">
        <is>
          <t>ÖREBRO LÄN</t>
        </is>
      </c>
      <c r="E1961" t="inlineStr">
        <is>
          <t>LINDESBERG</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73860-2021</t>
        </is>
      </c>
      <c r="B1962" s="1" t="n">
        <v>44553.35407407407</v>
      </c>
      <c r="C1962" s="1" t="n">
        <v>46132</v>
      </c>
      <c r="D1962" t="inlineStr">
        <is>
          <t>ÖREBRO LÄN</t>
        </is>
      </c>
      <c r="E1962" t="inlineStr">
        <is>
          <t>LINDESBERG</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44946-2025</t>
        </is>
      </c>
      <c r="B1963" s="1" t="n">
        <v>45918.6046875</v>
      </c>
      <c r="C1963" s="1" t="n">
        <v>46132</v>
      </c>
      <c r="D1963" t="inlineStr">
        <is>
          <t>ÖREBRO LÄN</t>
        </is>
      </c>
      <c r="E1963" t="inlineStr">
        <is>
          <t>KARLSKOGA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44642-2025</t>
        </is>
      </c>
      <c r="B1964" s="1" t="n">
        <v>45917.52719907407</v>
      </c>
      <c r="C1964" s="1" t="n">
        <v>46132</v>
      </c>
      <c r="D1964" t="inlineStr">
        <is>
          <t>ÖREBRO LÄN</t>
        </is>
      </c>
      <c r="E1964" t="inlineStr">
        <is>
          <t>DEGERFORS</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13888-2024</t>
        </is>
      </c>
      <c r="B1965" s="1" t="n">
        <v>45391</v>
      </c>
      <c r="C1965" s="1" t="n">
        <v>46132</v>
      </c>
      <c r="D1965" t="inlineStr">
        <is>
          <t>ÖREBRO LÄN</t>
        </is>
      </c>
      <c r="E1965" t="inlineStr">
        <is>
          <t>LAXÅ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44949-2025</t>
        </is>
      </c>
      <c r="B1966" s="1" t="n">
        <v>45918.60568287037</v>
      </c>
      <c r="C1966" s="1" t="n">
        <v>46132</v>
      </c>
      <c r="D1966" t="inlineStr">
        <is>
          <t>ÖREBRO LÄN</t>
        </is>
      </c>
      <c r="E1966" t="inlineStr">
        <is>
          <t>KARLSKOGA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16267-2023</t>
        </is>
      </c>
      <c r="B1967" s="1" t="n">
        <v>45028.51484953704</v>
      </c>
      <c r="C1967" s="1" t="n">
        <v>46132</v>
      </c>
      <c r="D1967" t="inlineStr">
        <is>
          <t>ÖREBRO LÄN</t>
        </is>
      </c>
      <c r="E1967" t="inlineStr">
        <is>
          <t>ASKERSUND</t>
        </is>
      </c>
      <c r="F1967" t="inlineStr">
        <is>
          <t>Sveaskog</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44960-2025</t>
        </is>
      </c>
      <c r="B1968" s="1" t="n">
        <v>45918.61577546296</v>
      </c>
      <c r="C1968" s="1" t="n">
        <v>46132</v>
      </c>
      <c r="D1968" t="inlineStr">
        <is>
          <t>ÖREBRO LÄN</t>
        </is>
      </c>
      <c r="E1968" t="inlineStr">
        <is>
          <t>ÖREBRO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27498-2025</t>
        </is>
      </c>
      <c r="B1969" s="1" t="n">
        <v>45813</v>
      </c>
      <c r="C1969" s="1" t="n">
        <v>46132</v>
      </c>
      <c r="D1969" t="inlineStr">
        <is>
          <t>ÖREBRO LÄN</t>
        </is>
      </c>
      <c r="E1969" t="inlineStr">
        <is>
          <t>KARLSKOGA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9379-2024</t>
        </is>
      </c>
      <c r="B1970" s="1" t="n">
        <v>45359.37298611111</v>
      </c>
      <c r="C1970" s="1" t="n">
        <v>46132</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5358-2022</t>
        </is>
      </c>
      <c r="B1971" s="1" t="n">
        <v>44594.84091435185</v>
      </c>
      <c r="C1971" s="1" t="n">
        <v>46132</v>
      </c>
      <c r="D1971" t="inlineStr">
        <is>
          <t>ÖREBRO LÄN</t>
        </is>
      </c>
      <c r="E1971" t="inlineStr">
        <is>
          <t>LINDESBERG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5398-2022</t>
        </is>
      </c>
      <c r="B1972" s="1" t="n">
        <v>44595.3353587963</v>
      </c>
      <c r="C1972" s="1" t="n">
        <v>46132</v>
      </c>
      <c r="D1972" t="inlineStr">
        <is>
          <t>ÖREBRO LÄN</t>
        </is>
      </c>
      <c r="E1972" t="inlineStr">
        <is>
          <t>ÖREBRO</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45543-2025</t>
        </is>
      </c>
      <c r="B1973" s="1" t="n">
        <v>45922.62282407407</v>
      </c>
      <c r="C1973" s="1" t="n">
        <v>46132</v>
      </c>
      <c r="D1973" t="inlineStr">
        <is>
          <t>ÖREBRO LÄN</t>
        </is>
      </c>
      <c r="E1973" t="inlineStr">
        <is>
          <t>ASKERSUND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45551-2025</t>
        </is>
      </c>
      <c r="B1974" s="1" t="n">
        <v>45922.63743055556</v>
      </c>
      <c r="C1974" s="1" t="n">
        <v>46132</v>
      </c>
      <c r="D1974" t="inlineStr">
        <is>
          <t>ÖREBRO LÄN</t>
        </is>
      </c>
      <c r="E1974" t="inlineStr">
        <is>
          <t>ASKERSUND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45501-2025</t>
        </is>
      </c>
      <c r="B1975" s="1" t="n">
        <v>45922.57255787037</v>
      </c>
      <c r="C1975" s="1" t="n">
        <v>46132</v>
      </c>
      <c r="D1975" t="inlineStr">
        <is>
          <t>ÖREBRO LÄN</t>
        </is>
      </c>
      <c r="E1975" t="inlineStr">
        <is>
          <t>ASKERSUND</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55477-2025</t>
        </is>
      </c>
      <c r="B1976" s="1" t="n">
        <v>45971.56197916667</v>
      </c>
      <c r="C1976" s="1" t="n">
        <v>46132</v>
      </c>
      <c r="D1976" t="inlineStr">
        <is>
          <t>ÖREBRO LÄN</t>
        </is>
      </c>
      <c r="E1976" t="inlineStr">
        <is>
          <t>LINDESBERG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5277-2024</t>
        </is>
      </c>
      <c r="B1977" s="1" t="n">
        <v>45330</v>
      </c>
      <c r="C1977" s="1" t="n">
        <v>46132</v>
      </c>
      <c r="D1977" t="inlineStr">
        <is>
          <t>ÖREBRO LÄN</t>
        </is>
      </c>
      <c r="E1977" t="inlineStr">
        <is>
          <t>DEGERFORS</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12430-2023</t>
        </is>
      </c>
      <c r="B1978" s="1" t="n">
        <v>44998</v>
      </c>
      <c r="C1978" s="1" t="n">
        <v>46132</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45045-2025</t>
        </is>
      </c>
      <c r="B1979" s="1" t="n">
        <v>45919.26885416666</v>
      </c>
      <c r="C1979" s="1" t="n">
        <v>46132</v>
      </c>
      <c r="D1979" t="inlineStr">
        <is>
          <t>ÖREBRO LÄN</t>
        </is>
      </c>
      <c r="E1979" t="inlineStr">
        <is>
          <t>LJUSNARSBERG</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13884-2023</t>
        </is>
      </c>
      <c r="B1980" s="1" t="n">
        <v>45007</v>
      </c>
      <c r="C1980" s="1" t="n">
        <v>46132</v>
      </c>
      <c r="D1980" t="inlineStr">
        <is>
          <t>ÖREBRO LÄN</t>
        </is>
      </c>
      <c r="E1980" t="inlineStr">
        <is>
          <t>LINDESBERG</t>
        </is>
      </c>
      <c r="F1980" t="inlineStr">
        <is>
          <t>Kommuner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5417-2024</t>
        </is>
      </c>
      <c r="B1981" s="1" t="n">
        <v>45331.64133101852</v>
      </c>
      <c r="C1981" s="1" t="n">
        <v>46132</v>
      </c>
      <c r="D1981" t="inlineStr">
        <is>
          <t>ÖREBRO LÄN</t>
        </is>
      </c>
      <c r="E1981" t="inlineStr">
        <is>
          <t>HALLSBERG</t>
        </is>
      </c>
      <c r="F1981" t="inlineStr">
        <is>
          <t>Allmännings- och besparingsskogar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28120-2025</t>
        </is>
      </c>
      <c r="B1982" s="1" t="n">
        <v>45818.30459490741</v>
      </c>
      <c r="C1982" s="1" t="n">
        <v>46132</v>
      </c>
      <c r="D1982" t="inlineStr">
        <is>
          <t>ÖREBRO LÄN</t>
        </is>
      </c>
      <c r="E1982" t="inlineStr">
        <is>
          <t>ÖREBRO</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15324-2024</t>
        </is>
      </c>
      <c r="B1983" s="1" t="n">
        <v>45400.66995370371</v>
      </c>
      <c r="C1983" s="1" t="n">
        <v>46132</v>
      </c>
      <c r="D1983" t="inlineStr">
        <is>
          <t>ÖREBRO LÄN</t>
        </is>
      </c>
      <c r="E1983" t="inlineStr">
        <is>
          <t>LINDESBERG</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45547-2025</t>
        </is>
      </c>
      <c r="B1984" s="1" t="n">
        <v>45922.62559027778</v>
      </c>
      <c r="C1984" s="1" t="n">
        <v>46132</v>
      </c>
      <c r="D1984" t="inlineStr">
        <is>
          <t>ÖREBRO LÄN</t>
        </is>
      </c>
      <c r="E1984" t="inlineStr">
        <is>
          <t>ASKERSUND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45538-2024</t>
        </is>
      </c>
      <c r="B1985" s="1" t="n">
        <v>45578</v>
      </c>
      <c r="C1985" s="1" t="n">
        <v>46132</v>
      </c>
      <c r="D1985" t="inlineStr">
        <is>
          <t>ÖREBRO LÄN</t>
        </is>
      </c>
      <c r="E1985" t="inlineStr">
        <is>
          <t>LJUSNARSBERG</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55329-2025</t>
        </is>
      </c>
      <c r="B1986" s="1" t="n">
        <v>45971.34008101852</v>
      </c>
      <c r="C1986" s="1" t="n">
        <v>46132</v>
      </c>
      <c r="D1986" t="inlineStr">
        <is>
          <t>ÖREBRO LÄN</t>
        </is>
      </c>
      <c r="E1986" t="inlineStr">
        <is>
          <t>HALLSBERG</t>
        </is>
      </c>
      <c r="F1986" t="inlineStr">
        <is>
          <t>Sveaskog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16256-2025</t>
        </is>
      </c>
      <c r="B1987" s="1" t="n">
        <v>45750.71596064815</v>
      </c>
      <c r="C1987" s="1" t="n">
        <v>46132</v>
      </c>
      <c r="D1987" t="inlineStr">
        <is>
          <t>ÖREBRO LÄN</t>
        </is>
      </c>
      <c r="E1987" t="inlineStr">
        <is>
          <t>KARLSKOGA</t>
        </is>
      </c>
      <c r="F1987" t="inlineStr">
        <is>
          <t>Kyrkan</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56555-2024</t>
        </is>
      </c>
      <c r="B1988" s="1" t="n">
        <v>45625.57818287037</v>
      </c>
      <c r="C1988" s="1" t="n">
        <v>46132</v>
      </c>
      <c r="D1988" t="inlineStr">
        <is>
          <t>ÖREBRO LÄN</t>
        </is>
      </c>
      <c r="E1988" t="inlineStr">
        <is>
          <t>LAXÅ</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43075-2023</t>
        </is>
      </c>
      <c r="B1989" s="1" t="n">
        <v>45182.83460648148</v>
      </c>
      <c r="C1989" s="1" t="n">
        <v>46132</v>
      </c>
      <c r="D1989" t="inlineStr">
        <is>
          <t>ÖREBRO LÄN</t>
        </is>
      </c>
      <c r="E1989" t="inlineStr">
        <is>
          <t>KARLSKOGA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23263-2022</t>
        </is>
      </c>
      <c r="B1990" s="1" t="n">
        <v>44720.40815972222</v>
      </c>
      <c r="C1990" s="1" t="n">
        <v>46132</v>
      </c>
      <c r="D1990" t="inlineStr">
        <is>
          <t>ÖREBRO LÄN</t>
        </is>
      </c>
      <c r="E1990" t="inlineStr">
        <is>
          <t>KARLSKOGA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53910-2023</t>
        </is>
      </c>
      <c r="B1991" s="1" t="n">
        <v>45231.55751157407</v>
      </c>
      <c r="C1991" s="1" t="n">
        <v>46132</v>
      </c>
      <c r="D1991" t="inlineStr">
        <is>
          <t>ÖREBRO LÄN</t>
        </is>
      </c>
      <c r="E1991" t="inlineStr">
        <is>
          <t>LEKEBERG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53938-2023</t>
        </is>
      </c>
      <c r="B1992" s="1" t="n">
        <v>45231</v>
      </c>
      <c r="C1992" s="1" t="n">
        <v>46132</v>
      </c>
      <c r="D1992" t="inlineStr">
        <is>
          <t>ÖREBRO LÄN</t>
        </is>
      </c>
      <c r="E1992" t="inlineStr">
        <is>
          <t>NORA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9169-2022</t>
        </is>
      </c>
      <c r="B1993" s="1" t="n">
        <v>44615</v>
      </c>
      <c r="C1993" s="1" t="n">
        <v>46132</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33660-2023</t>
        </is>
      </c>
      <c r="B1994" s="1" t="n">
        <v>45132.59460648148</v>
      </c>
      <c r="C1994" s="1" t="n">
        <v>46132</v>
      </c>
      <c r="D1994" t="inlineStr">
        <is>
          <t>ÖREBRO LÄN</t>
        </is>
      </c>
      <c r="E1994" t="inlineStr">
        <is>
          <t>ASKERSUND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45596-2025</t>
        </is>
      </c>
      <c r="B1995" s="1" t="n">
        <v>45922.68408564815</v>
      </c>
      <c r="C1995" s="1" t="n">
        <v>46132</v>
      </c>
      <c r="D1995" t="inlineStr">
        <is>
          <t>ÖREBRO LÄN</t>
        </is>
      </c>
      <c r="E1995" t="inlineStr">
        <is>
          <t>KARLSKOGA</t>
        </is>
      </c>
      <c r="F1995" t="inlineStr">
        <is>
          <t>Kyrkan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19754-2025</t>
        </is>
      </c>
      <c r="B1996" s="1" t="n">
        <v>45771.38807870371</v>
      </c>
      <c r="C1996" s="1" t="n">
        <v>46132</v>
      </c>
      <c r="D1996" t="inlineStr">
        <is>
          <t>ÖREBRO LÄN</t>
        </is>
      </c>
      <c r="E1996" t="inlineStr">
        <is>
          <t>LJUSNARSBERG</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43267-2024</t>
        </is>
      </c>
      <c r="B1997" s="1" t="n">
        <v>45568.37403935185</v>
      </c>
      <c r="C1997" s="1" t="n">
        <v>46132</v>
      </c>
      <c r="D1997" t="inlineStr">
        <is>
          <t>ÖREBRO LÄN</t>
        </is>
      </c>
      <c r="E1997" t="inlineStr">
        <is>
          <t>LJUSNARSBERG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45424-2025</t>
        </is>
      </c>
      <c r="B1998" s="1" t="n">
        <v>45920</v>
      </c>
      <c r="C1998" s="1" t="n">
        <v>46132</v>
      </c>
      <c r="D1998" t="inlineStr">
        <is>
          <t>ÖREBRO LÄN</t>
        </is>
      </c>
      <c r="E1998" t="inlineStr">
        <is>
          <t>LAXÅ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27878-2025</t>
        </is>
      </c>
      <c r="B1999" s="1" t="n">
        <v>45817.443125</v>
      </c>
      <c r="C1999" s="1" t="n">
        <v>46132</v>
      </c>
      <c r="D1999" t="inlineStr">
        <is>
          <t>ÖREBRO LÄN</t>
        </is>
      </c>
      <c r="E1999" t="inlineStr">
        <is>
          <t>NORA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28555-2023</t>
        </is>
      </c>
      <c r="B2000" s="1" t="n">
        <v>45103.51847222223</v>
      </c>
      <c r="C2000" s="1" t="n">
        <v>46132</v>
      </c>
      <c r="D2000" t="inlineStr">
        <is>
          <t>ÖREBRO LÄN</t>
        </is>
      </c>
      <c r="E2000" t="inlineStr">
        <is>
          <t>ASKERSUND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41995-2024</t>
        </is>
      </c>
      <c r="B2001" s="1" t="n">
        <v>45561.6475462963</v>
      </c>
      <c r="C2001" s="1" t="n">
        <v>46132</v>
      </c>
      <c r="D2001" t="inlineStr">
        <is>
          <t>ÖREBRO LÄN</t>
        </is>
      </c>
      <c r="E2001" t="inlineStr">
        <is>
          <t>ÖREBRO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16928-2025</t>
        </is>
      </c>
      <c r="B2002" s="1" t="n">
        <v>45755.39711805555</v>
      </c>
      <c r="C2002" s="1" t="n">
        <v>46132</v>
      </c>
      <c r="D2002" t="inlineStr">
        <is>
          <t>ÖREBRO LÄN</t>
        </is>
      </c>
      <c r="E2002" t="inlineStr">
        <is>
          <t>HÄLLEFORS</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4539-2025</t>
        </is>
      </c>
      <c r="B2003" s="1" t="n">
        <v>45687</v>
      </c>
      <c r="C2003" s="1" t="n">
        <v>46132</v>
      </c>
      <c r="D2003" t="inlineStr">
        <is>
          <t>ÖREBRO LÄN</t>
        </is>
      </c>
      <c r="E2003" t="inlineStr">
        <is>
          <t>LINDESBERG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4583-2025</t>
        </is>
      </c>
      <c r="B2004" s="1" t="n">
        <v>45687.51539351852</v>
      </c>
      <c r="C2004" s="1" t="n">
        <v>46132</v>
      </c>
      <c r="D2004" t="inlineStr">
        <is>
          <t>ÖREBRO LÄN</t>
        </is>
      </c>
      <c r="E2004" t="inlineStr">
        <is>
          <t>HÄLLEFORS</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16053-2023</t>
        </is>
      </c>
      <c r="B2005" s="1" t="n">
        <v>45027</v>
      </c>
      <c r="C2005" s="1" t="n">
        <v>46132</v>
      </c>
      <c r="D2005" t="inlineStr">
        <is>
          <t>ÖREBRO LÄN</t>
        </is>
      </c>
      <c r="E2005" t="inlineStr">
        <is>
          <t>HÄLLEFORS</t>
        </is>
      </c>
      <c r="F2005" t="inlineStr">
        <is>
          <t>Bergvik skog väst AB</t>
        </is>
      </c>
      <c r="G2005" t="n">
        <v>14.7</v>
      </c>
      <c r="H2005" t="n">
        <v>0</v>
      </c>
      <c r="I2005" t="n">
        <v>0</v>
      </c>
      <c r="J2005" t="n">
        <v>0</v>
      </c>
      <c r="K2005" t="n">
        <v>0</v>
      </c>
      <c r="L2005" t="n">
        <v>0</v>
      </c>
      <c r="M2005" t="n">
        <v>0</v>
      </c>
      <c r="N2005" t="n">
        <v>0</v>
      </c>
      <c r="O2005" t="n">
        <v>0</v>
      </c>
      <c r="P2005" t="n">
        <v>0</v>
      </c>
      <c r="Q2005" t="n">
        <v>0</v>
      </c>
      <c r="R2005" s="2" t="inlineStr"/>
    </row>
    <row r="2006" ht="15" customHeight="1">
      <c r="A2006" t="inlineStr">
        <is>
          <t>A 5217-2022</t>
        </is>
      </c>
      <c r="B2006" s="1" t="n">
        <v>44593</v>
      </c>
      <c r="C2006" s="1" t="n">
        <v>46132</v>
      </c>
      <c r="D2006" t="inlineStr">
        <is>
          <t>ÖREBRO LÄN</t>
        </is>
      </c>
      <c r="E2006" t="inlineStr">
        <is>
          <t>NORA</t>
        </is>
      </c>
      <c r="F2006" t="inlineStr">
        <is>
          <t>Övriga Aktiebolag</t>
        </is>
      </c>
      <c r="G2006" t="n">
        <v>38.4</v>
      </c>
      <c r="H2006" t="n">
        <v>0</v>
      </c>
      <c r="I2006" t="n">
        <v>0</v>
      </c>
      <c r="J2006" t="n">
        <v>0</v>
      </c>
      <c r="K2006" t="n">
        <v>0</v>
      </c>
      <c r="L2006" t="n">
        <v>0</v>
      </c>
      <c r="M2006" t="n">
        <v>0</v>
      </c>
      <c r="N2006" t="n">
        <v>0</v>
      </c>
      <c r="O2006" t="n">
        <v>0</v>
      </c>
      <c r="P2006" t="n">
        <v>0</v>
      </c>
      <c r="Q2006" t="n">
        <v>0</v>
      </c>
      <c r="R2006" s="2" t="inlineStr"/>
    </row>
    <row r="2007" ht="15" customHeight="1">
      <c r="A2007" t="inlineStr">
        <is>
          <t>A 44804-2024</t>
        </is>
      </c>
      <c r="B2007" s="1" t="n">
        <v>45574.65189814815</v>
      </c>
      <c r="C2007" s="1" t="n">
        <v>46132</v>
      </c>
      <c r="D2007" t="inlineStr">
        <is>
          <t>ÖREBRO LÄN</t>
        </is>
      </c>
      <c r="E2007" t="inlineStr">
        <is>
          <t>LINDESBERG</t>
        </is>
      </c>
      <c r="F2007" t="inlineStr">
        <is>
          <t>Sveaskog</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43966-2024</t>
        </is>
      </c>
      <c r="B2008" s="1" t="n">
        <v>45572.48516203704</v>
      </c>
      <c r="C2008" s="1" t="n">
        <v>46132</v>
      </c>
      <c r="D2008" t="inlineStr">
        <is>
          <t>ÖREBRO LÄN</t>
        </is>
      </c>
      <c r="E2008" t="inlineStr">
        <is>
          <t>HÄLLEFORS</t>
        </is>
      </c>
      <c r="F2008" t="inlineStr">
        <is>
          <t>Bergvik skog väst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55490-2025</t>
        </is>
      </c>
      <c r="B2009" s="1" t="n">
        <v>45971.57659722222</v>
      </c>
      <c r="C2009" s="1" t="n">
        <v>46132</v>
      </c>
      <c r="D2009" t="inlineStr">
        <is>
          <t>ÖREBRO LÄN</t>
        </is>
      </c>
      <c r="E2009" t="inlineStr">
        <is>
          <t>LINDESBERG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27840-2025</t>
        </is>
      </c>
      <c r="B2010" s="1" t="n">
        <v>45817.37528935185</v>
      </c>
      <c r="C2010" s="1" t="n">
        <v>46132</v>
      </c>
      <c r="D2010" t="inlineStr">
        <is>
          <t>ÖREBRO LÄN</t>
        </is>
      </c>
      <c r="E2010" t="inlineStr">
        <is>
          <t>ASKERSUND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27844-2025</t>
        </is>
      </c>
      <c r="B2011" s="1" t="n">
        <v>45817.39009259259</v>
      </c>
      <c r="C2011" s="1" t="n">
        <v>46132</v>
      </c>
      <c r="D2011" t="inlineStr">
        <is>
          <t>ÖREBRO LÄN</t>
        </is>
      </c>
      <c r="E2011" t="inlineStr">
        <is>
          <t>NORA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19709-2024</t>
        </is>
      </c>
      <c r="B2012" s="1" t="n">
        <v>45432.55381944445</v>
      </c>
      <c r="C2012" s="1" t="n">
        <v>46132</v>
      </c>
      <c r="D2012" t="inlineStr">
        <is>
          <t>ÖREBRO LÄN</t>
        </is>
      </c>
      <c r="E2012" t="inlineStr">
        <is>
          <t>HALLSBERG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27915-2025</t>
        </is>
      </c>
      <c r="B2013" s="1" t="n">
        <v>45817.48034722222</v>
      </c>
      <c r="C2013" s="1" t="n">
        <v>46132</v>
      </c>
      <c r="D2013" t="inlineStr">
        <is>
          <t>ÖREBRO LÄN</t>
        </is>
      </c>
      <c r="E2013" t="inlineStr">
        <is>
          <t>HALLSBERG</t>
        </is>
      </c>
      <c r="F2013" t="inlineStr">
        <is>
          <t>Sveaskog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55748-2025</t>
        </is>
      </c>
      <c r="B2014" s="1" t="n">
        <v>45972.57893518519</v>
      </c>
      <c r="C2014" s="1" t="n">
        <v>46132</v>
      </c>
      <c r="D2014" t="inlineStr">
        <is>
          <t>ÖREBRO LÄN</t>
        </is>
      </c>
      <c r="E2014" t="inlineStr">
        <is>
          <t>ÖREBRO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55750-2025</t>
        </is>
      </c>
      <c r="B2015" s="1" t="n">
        <v>45972.58171296296</v>
      </c>
      <c r="C2015" s="1" t="n">
        <v>46132</v>
      </c>
      <c r="D2015" t="inlineStr">
        <is>
          <t>ÖREBRO LÄN</t>
        </is>
      </c>
      <c r="E2015" t="inlineStr">
        <is>
          <t>ÖREBRO</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44760-2024</t>
        </is>
      </c>
      <c r="B2016" s="1" t="n">
        <v>45574</v>
      </c>
      <c r="C2016" s="1" t="n">
        <v>46132</v>
      </c>
      <c r="D2016" t="inlineStr">
        <is>
          <t>ÖREBRO LÄN</t>
        </is>
      </c>
      <c r="E2016" t="inlineStr">
        <is>
          <t>LJUSNARSBERG</t>
        </is>
      </c>
      <c r="F2016" t="inlineStr">
        <is>
          <t>Bergvik skog väst AB</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16737-2023</t>
        </is>
      </c>
      <c r="B2017" s="1" t="n">
        <v>45030.72472222222</v>
      </c>
      <c r="C2017" s="1" t="n">
        <v>46132</v>
      </c>
      <c r="D2017" t="inlineStr">
        <is>
          <t>ÖREBRO LÄN</t>
        </is>
      </c>
      <c r="E2017" t="inlineStr">
        <is>
          <t>ÖREBRO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40240-2024</t>
        </is>
      </c>
      <c r="B2018" s="1" t="n">
        <v>45554.61458333334</v>
      </c>
      <c r="C2018" s="1" t="n">
        <v>46132</v>
      </c>
      <c r="D2018" t="inlineStr">
        <is>
          <t>ÖREBRO LÄN</t>
        </is>
      </c>
      <c r="E2018" t="inlineStr">
        <is>
          <t>LEKEBERG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28024-2025</t>
        </is>
      </c>
      <c r="B2019" s="1" t="n">
        <v>45817.62070601852</v>
      </c>
      <c r="C2019" s="1" t="n">
        <v>46132</v>
      </c>
      <c r="D2019" t="inlineStr">
        <is>
          <t>ÖREBRO LÄN</t>
        </is>
      </c>
      <c r="E2019" t="inlineStr">
        <is>
          <t>HÄLLEFORS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28040-2025</t>
        </is>
      </c>
      <c r="B2020" s="1" t="n">
        <v>45817.6455324074</v>
      </c>
      <c r="C2020" s="1" t="n">
        <v>46132</v>
      </c>
      <c r="D2020" t="inlineStr">
        <is>
          <t>ÖREBRO LÄN</t>
        </is>
      </c>
      <c r="E2020" t="inlineStr">
        <is>
          <t>LINDESBERG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43768-2024</t>
        </is>
      </c>
      <c r="B2021" s="1" t="n">
        <v>45569</v>
      </c>
      <c r="C2021" s="1" t="n">
        <v>46132</v>
      </c>
      <c r="D2021" t="inlineStr">
        <is>
          <t>ÖREBRO LÄN</t>
        </is>
      </c>
      <c r="E2021" t="inlineStr">
        <is>
          <t>DEGERFORS</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15866-2022</t>
        </is>
      </c>
      <c r="B2022" s="1" t="n">
        <v>44664</v>
      </c>
      <c r="C2022" s="1" t="n">
        <v>46132</v>
      </c>
      <c r="D2022" t="inlineStr">
        <is>
          <t>ÖREBRO LÄN</t>
        </is>
      </c>
      <c r="E2022" t="inlineStr">
        <is>
          <t>ÖREBRO</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46160-2025</t>
        </is>
      </c>
      <c r="B2023" s="1" t="n">
        <v>45924.63674768519</v>
      </c>
      <c r="C2023" s="1" t="n">
        <v>46132</v>
      </c>
      <c r="D2023" t="inlineStr">
        <is>
          <t>ÖREBRO LÄN</t>
        </is>
      </c>
      <c r="E2023" t="inlineStr">
        <is>
          <t>HALLSBERG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2318-2023</t>
        </is>
      </c>
      <c r="B2024" s="1" t="n">
        <v>44942</v>
      </c>
      <c r="C2024" s="1" t="n">
        <v>46132</v>
      </c>
      <c r="D2024" t="inlineStr">
        <is>
          <t>ÖREBRO LÄN</t>
        </is>
      </c>
      <c r="E2024" t="inlineStr">
        <is>
          <t>ÖREBRO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3679-2023</t>
        </is>
      </c>
      <c r="B2025" s="1" t="n">
        <v>44950.89840277778</v>
      </c>
      <c r="C2025" s="1" t="n">
        <v>46132</v>
      </c>
      <c r="D2025" t="inlineStr">
        <is>
          <t>ÖREBRO LÄN</t>
        </is>
      </c>
      <c r="E2025" t="inlineStr">
        <is>
          <t>ASKERSUND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47066-2023</t>
        </is>
      </c>
      <c r="B2026" s="1" t="n">
        <v>45201</v>
      </c>
      <c r="C2026" s="1" t="n">
        <v>46132</v>
      </c>
      <c r="D2026" t="inlineStr">
        <is>
          <t>ÖREBRO LÄN</t>
        </is>
      </c>
      <c r="E2026" t="inlineStr">
        <is>
          <t>LINDESBERG</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40275-2024</t>
        </is>
      </c>
      <c r="B2027" s="1" t="n">
        <v>45554.64908564815</v>
      </c>
      <c r="C2027" s="1" t="n">
        <v>46132</v>
      </c>
      <c r="D2027" t="inlineStr">
        <is>
          <t>ÖREBRO LÄN</t>
        </is>
      </c>
      <c r="E2027" t="inlineStr">
        <is>
          <t>KUMLA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42410-2024</t>
        </is>
      </c>
      <c r="B2028" s="1" t="n">
        <v>45565</v>
      </c>
      <c r="C2028" s="1" t="n">
        <v>46132</v>
      </c>
      <c r="D2028" t="inlineStr">
        <is>
          <t>ÖREBRO LÄN</t>
        </is>
      </c>
      <c r="E2028" t="inlineStr">
        <is>
          <t>LINDESBERG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28369-2025</t>
        </is>
      </c>
      <c r="B2029" s="1" t="n">
        <v>45819.21905092592</v>
      </c>
      <c r="C2029" s="1" t="n">
        <v>46132</v>
      </c>
      <c r="D2029" t="inlineStr">
        <is>
          <t>ÖREBRO LÄN</t>
        </is>
      </c>
      <c r="E2029" t="inlineStr">
        <is>
          <t>DEGERFORS</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28877-2025</t>
        </is>
      </c>
      <c r="B2030" s="1" t="n">
        <v>45820.61684027778</v>
      </c>
      <c r="C2030" s="1" t="n">
        <v>46132</v>
      </c>
      <c r="D2030" t="inlineStr">
        <is>
          <t>ÖREBRO LÄN</t>
        </is>
      </c>
      <c r="E2030" t="inlineStr">
        <is>
          <t>LINDESBERG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45785-2025</t>
        </is>
      </c>
      <c r="B2031" s="1" t="n">
        <v>45923.55998842593</v>
      </c>
      <c r="C2031" s="1" t="n">
        <v>46132</v>
      </c>
      <c r="D2031" t="inlineStr">
        <is>
          <t>ÖREBRO LÄN</t>
        </is>
      </c>
      <c r="E2031" t="inlineStr">
        <is>
          <t>LJUSNARSBERG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46132</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35444-2024</t>
        </is>
      </c>
      <c r="B2033" s="1" t="n">
        <v>45531.43599537037</v>
      </c>
      <c r="C2033" s="1" t="n">
        <v>46132</v>
      </c>
      <c r="D2033" t="inlineStr">
        <is>
          <t>ÖREBRO LÄN</t>
        </is>
      </c>
      <c r="E2033" t="inlineStr">
        <is>
          <t>KARLSKOGA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35471-2024</t>
        </is>
      </c>
      <c r="B2034" s="1" t="n">
        <v>45531.46973379629</v>
      </c>
      <c r="C2034" s="1" t="n">
        <v>46132</v>
      </c>
      <c r="D2034" t="inlineStr">
        <is>
          <t>ÖREBRO LÄN</t>
        </is>
      </c>
      <c r="E2034" t="inlineStr">
        <is>
          <t>KARLSKOGA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32040-2024</t>
        </is>
      </c>
      <c r="B2035" s="1" t="n">
        <v>45510</v>
      </c>
      <c r="C2035" s="1" t="n">
        <v>46132</v>
      </c>
      <c r="D2035" t="inlineStr">
        <is>
          <t>ÖREBRO LÄN</t>
        </is>
      </c>
      <c r="E2035" t="inlineStr">
        <is>
          <t>ASKERSUND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55631-2022</t>
        </is>
      </c>
      <c r="B2036" s="1" t="n">
        <v>44888.4577662037</v>
      </c>
      <c r="C2036" s="1" t="n">
        <v>46132</v>
      </c>
      <c r="D2036" t="inlineStr">
        <is>
          <t>ÖREBRO LÄN</t>
        </is>
      </c>
      <c r="E2036" t="inlineStr">
        <is>
          <t>LINDESBERG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52367-2022</t>
        </is>
      </c>
      <c r="B2037" s="1" t="n">
        <v>44874</v>
      </c>
      <c r="C2037" s="1" t="n">
        <v>46132</v>
      </c>
      <c r="D2037" t="inlineStr">
        <is>
          <t>ÖREBRO LÄN</t>
        </is>
      </c>
      <c r="E2037" t="inlineStr">
        <is>
          <t>HÄLLEFORS</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42282-2024</t>
        </is>
      </c>
      <c r="B2038" s="1" t="n">
        <v>45562.61158564815</v>
      </c>
      <c r="C2038" s="1" t="n">
        <v>46132</v>
      </c>
      <c r="D2038" t="inlineStr">
        <is>
          <t>ÖREBRO LÄN</t>
        </is>
      </c>
      <c r="E2038" t="inlineStr">
        <is>
          <t>LINDESBERG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42430-2024</t>
        </is>
      </c>
      <c r="B2039" s="1" t="n">
        <v>45565.40700231482</v>
      </c>
      <c r="C2039" s="1" t="n">
        <v>46132</v>
      </c>
      <c r="D2039" t="inlineStr">
        <is>
          <t>ÖREBRO LÄN</t>
        </is>
      </c>
      <c r="E2039" t="inlineStr">
        <is>
          <t>LINDESBERG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5764-2022</t>
        </is>
      </c>
      <c r="B2040" s="1" t="n">
        <v>44596</v>
      </c>
      <c r="C2040" s="1" t="n">
        <v>46132</v>
      </c>
      <c r="D2040" t="inlineStr">
        <is>
          <t>ÖREBRO LÄN</t>
        </is>
      </c>
      <c r="E2040" t="inlineStr">
        <is>
          <t>ÖREBRO</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5781-2022</t>
        </is>
      </c>
      <c r="B2041" s="1" t="n">
        <v>44596</v>
      </c>
      <c r="C2041" s="1" t="n">
        <v>46132</v>
      </c>
      <c r="D2041" t="inlineStr">
        <is>
          <t>ÖREBRO LÄN</t>
        </is>
      </c>
      <c r="E2041" t="inlineStr">
        <is>
          <t>KUMLA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45027-2024</t>
        </is>
      </c>
      <c r="B2042" s="1" t="n">
        <v>45575</v>
      </c>
      <c r="C2042" s="1" t="n">
        <v>46132</v>
      </c>
      <c r="D2042" t="inlineStr">
        <is>
          <t>ÖREBRO LÄN</t>
        </is>
      </c>
      <c r="E2042" t="inlineStr">
        <is>
          <t>ÖREBRO</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19045-2023</t>
        </is>
      </c>
      <c r="B2043" s="1" t="n">
        <v>45047</v>
      </c>
      <c r="C2043" s="1" t="n">
        <v>46132</v>
      </c>
      <c r="D2043" t="inlineStr">
        <is>
          <t>ÖREBRO LÄN</t>
        </is>
      </c>
      <c r="E2043" t="inlineStr">
        <is>
          <t>LEKEBERG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46810-2025</t>
        </is>
      </c>
      <c r="B2044" s="1" t="n">
        <v>45926.69480324074</v>
      </c>
      <c r="C2044" s="1" t="n">
        <v>46132</v>
      </c>
      <c r="D2044" t="inlineStr">
        <is>
          <t>ÖREBRO LÄN</t>
        </is>
      </c>
      <c r="E2044" t="inlineStr">
        <is>
          <t>LEKEBERG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15822-2024</t>
        </is>
      </c>
      <c r="B2045" s="1" t="n">
        <v>45404.68190972223</v>
      </c>
      <c r="C2045" s="1" t="n">
        <v>46132</v>
      </c>
      <c r="D2045" t="inlineStr">
        <is>
          <t>ÖREBRO LÄN</t>
        </is>
      </c>
      <c r="E2045" t="inlineStr">
        <is>
          <t>LINDESBERG</t>
        </is>
      </c>
      <c r="F2045" t="inlineStr">
        <is>
          <t>Sveaskog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40038-2024</t>
        </is>
      </c>
      <c r="B2046" s="1" t="n">
        <v>45553</v>
      </c>
      <c r="C2046" s="1" t="n">
        <v>46132</v>
      </c>
      <c r="D2046" t="inlineStr">
        <is>
          <t>ÖREBRO LÄN</t>
        </is>
      </c>
      <c r="E2046" t="inlineStr">
        <is>
          <t>LINDESBERG</t>
        </is>
      </c>
      <c r="F2046" t="inlineStr">
        <is>
          <t>Sveaskog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40051-2024</t>
        </is>
      </c>
      <c r="B2047" s="1" t="n">
        <v>45553</v>
      </c>
      <c r="C2047" s="1" t="n">
        <v>46132</v>
      </c>
      <c r="D2047" t="inlineStr">
        <is>
          <t>ÖREBRO LÄN</t>
        </is>
      </c>
      <c r="E2047" t="inlineStr">
        <is>
          <t>ÖREBRO</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38871-2024</t>
        </is>
      </c>
      <c r="B2048" s="1" t="n">
        <v>45547.64211805556</v>
      </c>
      <c r="C2048" s="1" t="n">
        <v>46132</v>
      </c>
      <c r="D2048" t="inlineStr">
        <is>
          <t>ÖREBRO LÄN</t>
        </is>
      </c>
      <c r="E2048" t="inlineStr">
        <is>
          <t>KUMLA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8213-2023</t>
        </is>
      </c>
      <c r="B2049" s="1" t="n">
        <v>44974.55693287037</v>
      </c>
      <c r="C2049" s="1" t="n">
        <v>46132</v>
      </c>
      <c r="D2049" t="inlineStr">
        <is>
          <t>ÖREBRO LÄN</t>
        </is>
      </c>
      <c r="E2049" t="inlineStr">
        <is>
          <t>LINDESBERG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28938-2025</t>
        </is>
      </c>
      <c r="B2050" s="1" t="n">
        <v>45820.70626157407</v>
      </c>
      <c r="C2050" s="1" t="n">
        <v>46132</v>
      </c>
      <c r="D2050" t="inlineStr">
        <is>
          <t>ÖREBRO LÄN</t>
        </is>
      </c>
      <c r="E2050" t="inlineStr">
        <is>
          <t>ÖREBRO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46492-2025</t>
        </is>
      </c>
      <c r="B2051" s="1" t="n">
        <v>45925</v>
      </c>
      <c r="C2051" s="1" t="n">
        <v>46132</v>
      </c>
      <c r="D2051" t="inlineStr">
        <is>
          <t>ÖREBRO LÄN</t>
        </is>
      </c>
      <c r="E2051" t="inlineStr">
        <is>
          <t>LJUSNARSBERG</t>
        </is>
      </c>
      <c r="F2051" t="inlineStr">
        <is>
          <t>Bergvik skog väst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642-2022</t>
        </is>
      </c>
      <c r="B2052" s="1" t="n">
        <v>44568.39900462963</v>
      </c>
      <c r="C2052" s="1" t="n">
        <v>46132</v>
      </c>
      <c r="D2052" t="inlineStr">
        <is>
          <t>ÖREBRO LÄN</t>
        </is>
      </c>
      <c r="E2052" t="inlineStr">
        <is>
          <t>ASKERSUND</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41516-2024</t>
        </is>
      </c>
      <c r="B2053" s="1" t="n">
        <v>45560</v>
      </c>
      <c r="C2053" s="1" t="n">
        <v>46132</v>
      </c>
      <c r="D2053" t="inlineStr">
        <is>
          <t>ÖREBRO LÄN</t>
        </is>
      </c>
      <c r="E2053" t="inlineStr">
        <is>
          <t>LAXÅ</t>
        </is>
      </c>
      <c r="F2053" t="inlineStr">
        <is>
          <t>Sveaskog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41522-2024</t>
        </is>
      </c>
      <c r="B2054" s="1" t="n">
        <v>45560</v>
      </c>
      <c r="C2054" s="1" t="n">
        <v>46132</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41528-2024</t>
        </is>
      </c>
      <c r="B2055" s="1" t="n">
        <v>45560</v>
      </c>
      <c r="C2055" s="1" t="n">
        <v>46132</v>
      </c>
      <c r="D2055" t="inlineStr">
        <is>
          <t>ÖREBRO LÄN</t>
        </is>
      </c>
      <c r="E2055" t="inlineStr">
        <is>
          <t>LAXÅ</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41543-2024</t>
        </is>
      </c>
      <c r="B2056" s="1" t="n">
        <v>45560</v>
      </c>
      <c r="C2056" s="1" t="n">
        <v>46132</v>
      </c>
      <c r="D2056" t="inlineStr">
        <is>
          <t>ÖREBRO LÄN</t>
        </is>
      </c>
      <c r="E2056" t="inlineStr">
        <is>
          <t>ÖREBRO</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28393-2025</t>
        </is>
      </c>
      <c r="B2057" s="1" t="n">
        <v>45819</v>
      </c>
      <c r="C2057" s="1" t="n">
        <v>46132</v>
      </c>
      <c r="D2057" t="inlineStr">
        <is>
          <t>ÖREBRO LÄN</t>
        </is>
      </c>
      <c r="E2057" t="inlineStr">
        <is>
          <t>LAXÅ</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10799-2024</t>
        </is>
      </c>
      <c r="B2058" s="1" t="n">
        <v>45369</v>
      </c>
      <c r="C2058" s="1" t="n">
        <v>46132</v>
      </c>
      <c r="D2058" t="inlineStr">
        <is>
          <t>ÖREBRO LÄN</t>
        </is>
      </c>
      <c r="E2058" t="inlineStr">
        <is>
          <t>ÖREBRO</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28367-2025</t>
        </is>
      </c>
      <c r="B2059" s="1" t="n">
        <v>45819</v>
      </c>
      <c r="C2059" s="1" t="n">
        <v>46132</v>
      </c>
      <c r="D2059" t="inlineStr">
        <is>
          <t>ÖREBRO LÄN</t>
        </is>
      </c>
      <c r="E2059" t="inlineStr">
        <is>
          <t>DEGERFORS</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28368-2025</t>
        </is>
      </c>
      <c r="B2060" s="1" t="n">
        <v>45819.21581018518</v>
      </c>
      <c r="C2060" s="1" t="n">
        <v>46132</v>
      </c>
      <c r="D2060" t="inlineStr">
        <is>
          <t>ÖREBRO LÄN</t>
        </is>
      </c>
      <c r="E2060" t="inlineStr">
        <is>
          <t>DEGERFORS</t>
        </is>
      </c>
      <c r="F2060" t="inlineStr">
        <is>
          <t>Sveaskog</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4723-2023</t>
        </is>
      </c>
      <c r="B2061" s="1" t="n">
        <v>44957.51490740741</v>
      </c>
      <c r="C2061" s="1" t="n">
        <v>46132</v>
      </c>
      <c r="D2061" t="inlineStr">
        <is>
          <t>ÖREBRO LÄN</t>
        </is>
      </c>
      <c r="E2061" t="inlineStr">
        <is>
          <t>NORA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46667-2025</t>
        </is>
      </c>
      <c r="B2062" s="1" t="n">
        <v>45926.52738425926</v>
      </c>
      <c r="C2062" s="1" t="n">
        <v>46132</v>
      </c>
      <c r="D2062" t="inlineStr">
        <is>
          <t>ÖREBRO LÄN</t>
        </is>
      </c>
      <c r="E2062" t="inlineStr">
        <is>
          <t>HÄLLEFORS</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28370-2025</t>
        </is>
      </c>
      <c r="B2063" s="1" t="n">
        <v>45819.22013888889</v>
      </c>
      <c r="C2063" s="1" t="n">
        <v>46132</v>
      </c>
      <c r="D2063" t="inlineStr">
        <is>
          <t>ÖREBRO LÄN</t>
        </is>
      </c>
      <c r="E2063" t="inlineStr">
        <is>
          <t>DEGERFORS</t>
        </is>
      </c>
      <c r="F2063" t="inlineStr">
        <is>
          <t>Sveaskog</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28396-2025</t>
        </is>
      </c>
      <c r="B2064" s="1" t="n">
        <v>45819.33673611111</v>
      </c>
      <c r="C2064" s="1" t="n">
        <v>46132</v>
      </c>
      <c r="D2064" t="inlineStr">
        <is>
          <t>ÖREBRO LÄN</t>
        </is>
      </c>
      <c r="E2064" t="inlineStr">
        <is>
          <t>LAXÅ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28413-2025</t>
        </is>
      </c>
      <c r="B2065" s="1" t="n">
        <v>45819.350625</v>
      </c>
      <c r="C2065" s="1" t="n">
        <v>46132</v>
      </c>
      <c r="D2065" t="inlineStr">
        <is>
          <t>ÖREBRO LÄN</t>
        </is>
      </c>
      <c r="E2065" t="inlineStr">
        <is>
          <t>ASKERSUND</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46757-2025</t>
        </is>
      </c>
      <c r="B2066" s="1" t="n">
        <v>45926.62039351852</v>
      </c>
      <c r="C2066" s="1" t="n">
        <v>46132</v>
      </c>
      <c r="D2066" t="inlineStr">
        <is>
          <t>ÖREBRO LÄN</t>
        </is>
      </c>
      <c r="E2066" t="inlineStr">
        <is>
          <t>LINDESBERG</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51479-2022</t>
        </is>
      </c>
      <c r="B2067" s="1" t="n">
        <v>44869</v>
      </c>
      <c r="C2067" s="1" t="n">
        <v>46132</v>
      </c>
      <c r="D2067" t="inlineStr">
        <is>
          <t>ÖREBRO LÄN</t>
        </is>
      </c>
      <c r="E2067" t="inlineStr">
        <is>
          <t>HALLSBERG</t>
        </is>
      </c>
      <c r="F2067" t="inlineStr">
        <is>
          <t>Övriga Aktiebolag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35144-2023</t>
        </is>
      </c>
      <c r="B2068" s="1" t="n">
        <v>45145</v>
      </c>
      <c r="C2068" s="1" t="n">
        <v>46132</v>
      </c>
      <c r="D2068" t="inlineStr">
        <is>
          <t>ÖREBRO LÄN</t>
        </is>
      </c>
      <c r="E2068" t="inlineStr">
        <is>
          <t>NORA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35191-2023</t>
        </is>
      </c>
      <c r="B2069" s="1" t="n">
        <v>45145.61096064815</v>
      </c>
      <c r="C2069" s="1" t="n">
        <v>46132</v>
      </c>
      <c r="D2069" t="inlineStr">
        <is>
          <t>ÖREBRO LÄN</t>
        </is>
      </c>
      <c r="E2069" t="inlineStr">
        <is>
          <t>HÄLLEFORS</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28920-2025</t>
        </is>
      </c>
      <c r="B2070" s="1" t="n">
        <v>45820.66532407407</v>
      </c>
      <c r="C2070" s="1" t="n">
        <v>46132</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16952-2022</t>
        </is>
      </c>
      <c r="B2071" s="1" t="n">
        <v>44676.48239583334</v>
      </c>
      <c r="C2071" s="1" t="n">
        <v>46132</v>
      </c>
      <c r="D2071" t="inlineStr">
        <is>
          <t>ÖREBRO LÄN</t>
        </is>
      </c>
      <c r="E2071" t="inlineStr">
        <is>
          <t>ASKERSUND</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16953-2022</t>
        </is>
      </c>
      <c r="B2072" s="1" t="n">
        <v>44676.48760416666</v>
      </c>
      <c r="C2072" s="1" t="n">
        <v>46132</v>
      </c>
      <c r="D2072" t="inlineStr">
        <is>
          <t>ÖREBRO LÄN</t>
        </is>
      </c>
      <c r="E2072" t="inlineStr">
        <is>
          <t>ASKERSUND</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29004-2025</t>
        </is>
      </c>
      <c r="B2073" s="1" t="n">
        <v>45821.39295138889</v>
      </c>
      <c r="C2073" s="1" t="n">
        <v>46132</v>
      </c>
      <c r="D2073" t="inlineStr">
        <is>
          <t>ÖREBRO LÄN</t>
        </is>
      </c>
      <c r="E2073" t="inlineStr">
        <is>
          <t>LJUSNARSBERG</t>
        </is>
      </c>
      <c r="F2073" t="inlineStr">
        <is>
          <t>Sveaskog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46484-2025</t>
        </is>
      </c>
      <c r="B2074" s="1" t="n">
        <v>45925.70290509259</v>
      </c>
      <c r="C2074" s="1" t="n">
        <v>46132</v>
      </c>
      <c r="D2074" t="inlineStr">
        <is>
          <t>ÖREBRO LÄN</t>
        </is>
      </c>
      <c r="E2074" t="inlineStr">
        <is>
          <t>LINDESBERG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3732-2023</t>
        </is>
      </c>
      <c r="B2075" s="1" t="n">
        <v>44949</v>
      </c>
      <c r="C2075" s="1" t="n">
        <v>46132</v>
      </c>
      <c r="D2075" t="inlineStr">
        <is>
          <t>ÖREBRO LÄN</t>
        </is>
      </c>
      <c r="E2075" t="inlineStr">
        <is>
          <t>LINDESBERG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28979-2025</t>
        </is>
      </c>
      <c r="B2076" s="1" t="n">
        <v>45821.35136574074</v>
      </c>
      <c r="C2076" s="1" t="n">
        <v>46132</v>
      </c>
      <c r="D2076" t="inlineStr">
        <is>
          <t>ÖREBRO LÄN</t>
        </is>
      </c>
      <c r="E2076" t="inlineStr">
        <is>
          <t>HÄLLEFORS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28991-2025</t>
        </is>
      </c>
      <c r="B2077" s="1" t="n">
        <v>45821.37199074074</v>
      </c>
      <c r="C2077" s="1" t="n">
        <v>46132</v>
      </c>
      <c r="D2077" t="inlineStr">
        <is>
          <t>ÖREBRO LÄN</t>
        </is>
      </c>
      <c r="E2077" t="inlineStr">
        <is>
          <t>LINDESBERG</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29000-2025</t>
        </is>
      </c>
      <c r="B2078" s="1" t="n">
        <v>45821.38925925926</v>
      </c>
      <c r="C2078" s="1" t="n">
        <v>46132</v>
      </c>
      <c r="D2078" t="inlineStr">
        <is>
          <t>ÖREBRO LÄN</t>
        </is>
      </c>
      <c r="E2078" t="inlineStr">
        <is>
          <t>LJUSNARSBERG</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29009-2025</t>
        </is>
      </c>
      <c r="B2079" s="1" t="n">
        <v>45821.40370370371</v>
      </c>
      <c r="C2079" s="1" t="n">
        <v>46132</v>
      </c>
      <c r="D2079" t="inlineStr">
        <is>
          <t>ÖREBRO LÄN</t>
        </is>
      </c>
      <c r="E2079" t="inlineStr">
        <is>
          <t>LJUSNARSBERG</t>
        </is>
      </c>
      <c r="F2079" t="inlineStr">
        <is>
          <t>Sveaskog</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29037-2025</t>
        </is>
      </c>
      <c r="B2080" s="1" t="n">
        <v>45821.44521990741</v>
      </c>
      <c r="C2080" s="1" t="n">
        <v>46132</v>
      </c>
      <c r="D2080" t="inlineStr">
        <is>
          <t>ÖREBRO LÄN</t>
        </is>
      </c>
      <c r="E2080" t="inlineStr">
        <is>
          <t>LINDESBERG</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29087-2025</t>
        </is>
      </c>
      <c r="B2081" s="1" t="n">
        <v>45821.54633101852</v>
      </c>
      <c r="C2081" s="1" t="n">
        <v>46132</v>
      </c>
      <c r="D2081" t="inlineStr">
        <is>
          <t>ÖREBRO LÄN</t>
        </is>
      </c>
      <c r="E2081" t="inlineStr">
        <is>
          <t>LAXÅ</t>
        </is>
      </c>
      <c r="F2081" t="inlineStr">
        <is>
          <t>Sveaskog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29089-2025</t>
        </is>
      </c>
      <c r="B2082" s="1" t="n">
        <v>45821.54746527778</v>
      </c>
      <c r="C2082" s="1" t="n">
        <v>46132</v>
      </c>
      <c r="D2082" t="inlineStr">
        <is>
          <t>ÖREBRO LÄN</t>
        </is>
      </c>
      <c r="E2082" t="inlineStr">
        <is>
          <t>LAXÅ</t>
        </is>
      </c>
      <c r="F2082" t="inlineStr">
        <is>
          <t>Sveaskog</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46809-2025</t>
        </is>
      </c>
      <c r="B2083" s="1" t="n">
        <v>45926.69324074074</v>
      </c>
      <c r="C2083" s="1" t="n">
        <v>46132</v>
      </c>
      <c r="D2083" t="inlineStr">
        <is>
          <t>ÖREBRO LÄN</t>
        </is>
      </c>
      <c r="E2083" t="inlineStr">
        <is>
          <t>LEKEBERG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29165-2025</t>
        </is>
      </c>
      <c r="B2084" s="1" t="n">
        <v>45821.68605324074</v>
      </c>
      <c r="C2084" s="1" t="n">
        <v>46132</v>
      </c>
      <c r="D2084" t="inlineStr">
        <is>
          <t>ÖREBRO LÄN</t>
        </is>
      </c>
      <c r="E2084" t="inlineStr">
        <is>
          <t>HALLSBERG</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46404-2025</t>
        </is>
      </c>
      <c r="B2085" s="1" t="n">
        <v>45925.56173611111</v>
      </c>
      <c r="C2085" s="1" t="n">
        <v>46132</v>
      </c>
      <c r="D2085" t="inlineStr">
        <is>
          <t>ÖREBRO LÄN</t>
        </is>
      </c>
      <c r="E2085" t="inlineStr">
        <is>
          <t>LINDESBERG</t>
        </is>
      </c>
      <c r="F2085" t="inlineStr">
        <is>
          <t>Sveaskog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47155-2024</t>
        </is>
      </c>
      <c r="B2086" s="1" t="n">
        <v>45586</v>
      </c>
      <c r="C2086" s="1" t="n">
        <v>46132</v>
      </c>
      <c r="D2086" t="inlineStr">
        <is>
          <t>ÖREBRO LÄN</t>
        </is>
      </c>
      <c r="E2086" t="inlineStr">
        <is>
          <t>LINDESBERG</t>
        </is>
      </c>
      <c r="F2086" t="inlineStr">
        <is>
          <t>Sveaskog</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16694-2025</t>
        </is>
      </c>
      <c r="B2087" s="1" t="n">
        <v>45754.46480324074</v>
      </c>
      <c r="C2087" s="1" t="n">
        <v>46132</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16631-2024</t>
        </is>
      </c>
      <c r="B2088" s="1" t="n">
        <v>45408.59015046297</v>
      </c>
      <c r="C2088" s="1" t="n">
        <v>46132</v>
      </c>
      <c r="D2088" t="inlineStr">
        <is>
          <t>ÖREBRO LÄN</t>
        </is>
      </c>
      <c r="E2088" t="inlineStr">
        <is>
          <t>ASKERSUND</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29286-2025</t>
        </is>
      </c>
      <c r="B2089" s="1" t="n">
        <v>45824.43502314815</v>
      </c>
      <c r="C2089" s="1" t="n">
        <v>46132</v>
      </c>
      <c r="D2089" t="inlineStr">
        <is>
          <t>ÖREBRO LÄN</t>
        </is>
      </c>
      <c r="E2089" t="inlineStr">
        <is>
          <t>ÖREBRO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28975-2025</t>
        </is>
      </c>
      <c r="B2090" s="1" t="n">
        <v>45821</v>
      </c>
      <c r="C2090" s="1" t="n">
        <v>46132</v>
      </c>
      <c r="D2090" t="inlineStr">
        <is>
          <t>ÖREBRO LÄN</t>
        </is>
      </c>
      <c r="E2090" t="inlineStr">
        <is>
          <t>HÄLLEFORS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6294-2024</t>
        </is>
      </c>
      <c r="B2091" s="1" t="n">
        <v>45338.32368055556</v>
      </c>
      <c r="C2091" s="1" t="n">
        <v>46132</v>
      </c>
      <c r="D2091" t="inlineStr">
        <is>
          <t>ÖREBRO LÄN</t>
        </is>
      </c>
      <c r="E2091" t="inlineStr">
        <is>
          <t>LAXÅ</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6366-2024</t>
        </is>
      </c>
      <c r="B2092" s="1" t="n">
        <v>45338</v>
      </c>
      <c r="C2092" s="1" t="n">
        <v>46132</v>
      </c>
      <c r="D2092" t="inlineStr">
        <is>
          <t>ÖREBRO LÄN</t>
        </is>
      </c>
      <c r="E2092" t="inlineStr">
        <is>
          <t>HALLSBERG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29051-2025</t>
        </is>
      </c>
      <c r="B2093" s="1" t="n">
        <v>45821.46486111111</v>
      </c>
      <c r="C2093" s="1" t="n">
        <v>46132</v>
      </c>
      <c r="D2093" t="inlineStr">
        <is>
          <t>ÖREBRO LÄN</t>
        </is>
      </c>
      <c r="E2093" t="inlineStr">
        <is>
          <t>LINDESBERG</t>
        </is>
      </c>
      <c r="F2093" t="inlineStr">
        <is>
          <t>Sveaskog</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2569-2023</t>
        </is>
      </c>
      <c r="B2094" s="1" t="n">
        <v>44943.73792824074</v>
      </c>
      <c r="C2094" s="1" t="n">
        <v>46132</v>
      </c>
      <c r="D2094" t="inlineStr">
        <is>
          <t>ÖREBRO LÄN</t>
        </is>
      </c>
      <c r="E2094" t="inlineStr">
        <is>
          <t>LINDESBERG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29008-2025</t>
        </is>
      </c>
      <c r="B2095" s="1" t="n">
        <v>45821.39887731482</v>
      </c>
      <c r="C2095" s="1" t="n">
        <v>46132</v>
      </c>
      <c r="D2095" t="inlineStr">
        <is>
          <t>ÖREBRO LÄN</t>
        </is>
      </c>
      <c r="E2095" t="inlineStr">
        <is>
          <t>LJUSNARSBERG</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58390-2024</t>
        </is>
      </c>
      <c r="B2096" s="1" t="n">
        <v>45633.6719212963</v>
      </c>
      <c r="C2096" s="1" t="n">
        <v>46132</v>
      </c>
      <c r="D2096" t="inlineStr">
        <is>
          <t>ÖREBRO LÄN</t>
        </is>
      </c>
      <c r="E2096" t="inlineStr">
        <is>
          <t>KARLSKOGA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29049-2025</t>
        </is>
      </c>
      <c r="B2097" s="1" t="n">
        <v>45821.46135416667</v>
      </c>
      <c r="C2097" s="1" t="n">
        <v>46132</v>
      </c>
      <c r="D2097" t="inlineStr">
        <is>
          <t>ÖREBRO LÄN</t>
        </is>
      </c>
      <c r="E2097" t="inlineStr">
        <is>
          <t>LINDESBERG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29339-2025</t>
        </is>
      </c>
      <c r="B2098" s="1" t="n">
        <v>45824.5044212963</v>
      </c>
      <c r="C2098" s="1" t="n">
        <v>46132</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11988-2025</t>
        </is>
      </c>
      <c r="B2099" s="1" t="n">
        <v>45728.60030092593</v>
      </c>
      <c r="C2099" s="1" t="n">
        <v>46132</v>
      </c>
      <c r="D2099" t="inlineStr">
        <is>
          <t>ÖREBRO LÄN</t>
        </is>
      </c>
      <c r="E2099" t="inlineStr">
        <is>
          <t>HALLSBERG</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12014-2025</t>
        </is>
      </c>
      <c r="B2100" s="1" t="n">
        <v>45728.62311342593</v>
      </c>
      <c r="C2100" s="1" t="n">
        <v>46132</v>
      </c>
      <c r="D2100" t="inlineStr">
        <is>
          <t>ÖREBRO LÄN</t>
        </is>
      </c>
      <c r="E2100" t="inlineStr">
        <is>
          <t>HALLSBERG</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28981-2025</t>
        </is>
      </c>
      <c r="B2101" s="1" t="n">
        <v>45821.35517361111</v>
      </c>
      <c r="C2101" s="1" t="n">
        <v>46132</v>
      </c>
      <c r="D2101" t="inlineStr">
        <is>
          <t>ÖREBRO LÄN</t>
        </is>
      </c>
      <c r="E2101" t="inlineStr">
        <is>
          <t>LJUSNARSBERG</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41610-2025</t>
        </is>
      </c>
      <c r="B2102" s="1" t="n">
        <v>45901</v>
      </c>
      <c r="C2102" s="1" t="n">
        <v>46132</v>
      </c>
      <c r="D2102" t="inlineStr">
        <is>
          <t>ÖREBRO LÄN</t>
        </is>
      </c>
      <c r="E2102" t="inlineStr">
        <is>
          <t>LJUSNARSBERG</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29161-2025</t>
        </is>
      </c>
      <c r="B2103" s="1" t="n">
        <v>45821.66652777778</v>
      </c>
      <c r="C2103" s="1" t="n">
        <v>46132</v>
      </c>
      <c r="D2103" t="inlineStr">
        <is>
          <t>ÖREBRO LÄN</t>
        </is>
      </c>
      <c r="E2103" t="inlineStr">
        <is>
          <t>HALLSBERG</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29164-2025</t>
        </is>
      </c>
      <c r="B2104" s="1" t="n">
        <v>45821.68314814815</v>
      </c>
      <c r="C2104" s="1" t="n">
        <v>46132</v>
      </c>
      <c r="D2104" t="inlineStr">
        <is>
          <t>ÖREBRO LÄN</t>
        </is>
      </c>
      <c r="E2104" t="inlineStr">
        <is>
          <t>HALLSBERG</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29020-2025</t>
        </is>
      </c>
      <c r="B2105" s="1" t="n">
        <v>45821.42728009259</v>
      </c>
      <c r="C2105" s="1" t="n">
        <v>46132</v>
      </c>
      <c r="D2105" t="inlineStr">
        <is>
          <t>ÖREBRO LÄN</t>
        </is>
      </c>
      <c r="E2105" t="inlineStr">
        <is>
          <t>LJUSNARSBERG</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29090-2025</t>
        </is>
      </c>
      <c r="B2106" s="1" t="n">
        <v>45821.54993055556</v>
      </c>
      <c r="C2106" s="1" t="n">
        <v>46132</v>
      </c>
      <c r="D2106" t="inlineStr">
        <is>
          <t>ÖREBRO LÄN</t>
        </is>
      </c>
      <c r="E2106" t="inlineStr">
        <is>
          <t>LAXÅ</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29157-2025</t>
        </is>
      </c>
      <c r="B2107" s="1" t="n">
        <v>45821.65877314815</v>
      </c>
      <c r="C2107" s="1" t="n">
        <v>46132</v>
      </c>
      <c r="D2107" t="inlineStr">
        <is>
          <t>ÖREBRO LÄN</t>
        </is>
      </c>
      <c r="E2107" t="inlineStr">
        <is>
          <t>HALLSBERG</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55341-2025</t>
        </is>
      </c>
      <c r="B2108" s="1" t="n">
        <v>45971.34751157407</v>
      </c>
      <c r="C2108" s="1" t="n">
        <v>46132</v>
      </c>
      <c r="D2108" t="inlineStr">
        <is>
          <t>ÖREBRO LÄN</t>
        </is>
      </c>
      <c r="E2108" t="inlineStr">
        <is>
          <t>DEGERFORS</t>
        </is>
      </c>
      <c r="F2108" t="inlineStr">
        <is>
          <t>Sveaskog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29800-2025</t>
        </is>
      </c>
      <c r="B2109" s="1" t="n">
        <v>45825.69447916667</v>
      </c>
      <c r="C2109" s="1" t="n">
        <v>46132</v>
      </c>
      <c r="D2109" t="inlineStr">
        <is>
          <t>ÖREBRO LÄN</t>
        </is>
      </c>
      <c r="E2109" t="inlineStr">
        <is>
          <t>ASKERSUND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29802-2025</t>
        </is>
      </c>
      <c r="B2110" s="1" t="n">
        <v>45825.6991550926</v>
      </c>
      <c r="C2110" s="1" t="n">
        <v>46132</v>
      </c>
      <c r="D2110" t="inlineStr">
        <is>
          <t>ÖREBRO LÄN</t>
        </is>
      </c>
      <c r="E2110" t="inlineStr">
        <is>
          <t>ASKERSUND</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55344-2025</t>
        </is>
      </c>
      <c r="B2111" s="1" t="n">
        <v>45971.34900462963</v>
      </c>
      <c r="C2111" s="1" t="n">
        <v>46132</v>
      </c>
      <c r="D2111" t="inlineStr">
        <is>
          <t>ÖREBRO LÄN</t>
        </is>
      </c>
      <c r="E2111" t="inlineStr">
        <is>
          <t>HALLSBERG</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47344-2024</t>
        </is>
      </c>
      <c r="B2112" s="1" t="n">
        <v>45587.40885416666</v>
      </c>
      <c r="C2112" s="1" t="n">
        <v>46132</v>
      </c>
      <c r="D2112" t="inlineStr">
        <is>
          <t>ÖREBRO LÄN</t>
        </is>
      </c>
      <c r="E2112" t="inlineStr">
        <is>
          <t>ASKERSUND</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49465-2024</t>
        </is>
      </c>
      <c r="B2113" s="1" t="n">
        <v>45596</v>
      </c>
      <c r="C2113" s="1" t="n">
        <v>46132</v>
      </c>
      <c r="D2113" t="inlineStr">
        <is>
          <t>ÖREBRO LÄN</t>
        </is>
      </c>
      <c r="E2113" t="inlineStr">
        <is>
          <t>ÖREBRO</t>
        </is>
      </c>
      <c r="F2113" t="inlineStr">
        <is>
          <t>Övriga Aktiebolag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29773-2025</t>
        </is>
      </c>
      <c r="B2114" s="1" t="n">
        <v>45825.63271990741</v>
      </c>
      <c r="C2114" s="1" t="n">
        <v>46132</v>
      </c>
      <c r="D2114" t="inlineStr">
        <is>
          <t>ÖREBRO LÄN</t>
        </is>
      </c>
      <c r="E2114" t="inlineStr">
        <is>
          <t>LEKEBERG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54680-2021</t>
        </is>
      </c>
      <c r="B2115" s="1" t="n">
        <v>44473</v>
      </c>
      <c r="C2115" s="1" t="n">
        <v>46132</v>
      </c>
      <c r="D2115" t="inlineStr">
        <is>
          <t>ÖREBRO LÄN</t>
        </is>
      </c>
      <c r="E2115" t="inlineStr">
        <is>
          <t>KARLSKOGA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61139-2021</t>
        </is>
      </c>
      <c r="B2116" s="1" t="n">
        <v>44498.3784837963</v>
      </c>
      <c r="C2116" s="1" t="n">
        <v>46132</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60059-2023</t>
        </is>
      </c>
      <c r="B2117" s="1" t="n">
        <v>45258.38157407408</v>
      </c>
      <c r="C2117" s="1" t="n">
        <v>46132</v>
      </c>
      <c r="D2117" t="inlineStr">
        <is>
          <t>ÖREBRO LÄN</t>
        </is>
      </c>
      <c r="E2117" t="inlineStr">
        <is>
          <t>ÖREBRO</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43662-2024</t>
        </is>
      </c>
      <c r="B2118" s="1" t="n">
        <v>45569.55479166667</v>
      </c>
      <c r="C2118" s="1" t="n">
        <v>46132</v>
      </c>
      <c r="D2118" t="inlineStr">
        <is>
          <t>ÖREBRO LÄN</t>
        </is>
      </c>
      <c r="E2118" t="inlineStr">
        <is>
          <t>ASKERSUND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60114-2024</t>
        </is>
      </c>
      <c r="B2119" s="1" t="n">
        <v>45642</v>
      </c>
      <c r="C2119" s="1" t="n">
        <v>46132</v>
      </c>
      <c r="D2119" t="inlineStr">
        <is>
          <t>ÖREBRO LÄN</t>
        </is>
      </c>
      <c r="E2119" t="inlineStr">
        <is>
          <t>ASKERSUND</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13046-2024</t>
        </is>
      </c>
      <c r="B2120" s="1" t="n">
        <v>45385</v>
      </c>
      <c r="C2120" s="1" t="n">
        <v>46132</v>
      </c>
      <c r="D2120" t="inlineStr">
        <is>
          <t>ÖREBRO LÄN</t>
        </is>
      </c>
      <c r="E2120" t="inlineStr">
        <is>
          <t>ASKERSUND</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13617-2022</t>
        </is>
      </c>
      <c r="B2121" s="1" t="n">
        <v>44648</v>
      </c>
      <c r="C2121" s="1" t="n">
        <v>46132</v>
      </c>
      <c r="D2121" t="inlineStr">
        <is>
          <t>ÖREBRO LÄN</t>
        </is>
      </c>
      <c r="E2121" t="inlineStr">
        <is>
          <t>ASKERSUND</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13425-2022</t>
        </is>
      </c>
      <c r="B2122" s="1" t="n">
        <v>44645</v>
      </c>
      <c r="C2122" s="1" t="n">
        <v>46132</v>
      </c>
      <c r="D2122" t="inlineStr">
        <is>
          <t>ÖREBRO LÄN</t>
        </is>
      </c>
      <c r="E2122" t="inlineStr">
        <is>
          <t>ASKERSUND</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9966-2023</t>
        </is>
      </c>
      <c r="B2123" s="1" t="n">
        <v>44979</v>
      </c>
      <c r="C2123" s="1" t="n">
        <v>46132</v>
      </c>
      <c r="D2123" t="inlineStr">
        <is>
          <t>ÖREBRO LÄN</t>
        </is>
      </c>
      <c r="E2123" t="inlineStr">
        <is>
          <t>LINDESBERG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46862-2024</t>
        </is>
      </c>
      <c r="B2124" s="1" t="n">
        <v>45583</v>
      </c>
      <c r="C2124" s="1" t="n">
        <v>46132</v>
      </c>
      <c r="D2124" t="inlineStr">
        <is>
          <t>ÖREBRO LÄN</t>
        </is>
      </c>
      <c r="E2124" t="inlineStr">
        <is>
          <t>HALLSBERG</t>
        </is>
      </c>
      <c r="F2124" t="inlineStr">
        <is>
          <t>Sveaskog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47023-2025</t>
        </is>
      </c>
      <c r="B2125" s="1" t="n">
        <v>45929.57790509259</v>
      </c>
      <c r="C2125" s="1" t="n">
        <v>46132</v>
      </c>
      <c r="D2125" t="inlineStr">
        <is>
          <t>ÖREBRO LÄN</t>
        </is>
      </c>
      <c r="E2125" t="inlineStr">
        <is>
          <t>LJUSNARSBERG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47030-2025</t>
        </is>
      </c>
      <c r="B2126" s="1" t="n">
        <v>45929.58944444444</v>
      </c>
      <c r="C2126" s="1" t="n">
        <v>46132</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30102-2025</t>
        </is>
      </c>
      <c r="B2127" s="1" t="n">
        <v>45826.68414351852</v>
      </c>
      <c r="C2127" s="1" t="n">
        <v>46132</v>
      </c>
      <c r="D2127" t="inlineStr">
        <is>
          <t>ÖREBRO LÄN</t>
        </is>
      </c>
      <c r="E2127" t="inlineStr">
        <is>
          <t>KARLSKOGA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34755-2024</t>
        </is>
      </c>
      <c r="B2128" s="1" t="n">
        <v>45526</v>
      </c>
      <c r="C2128" s="1" t="n">
        <v>46132</v>
      </c>
      <c r="D2128" t="inlineStr">
        <is>
          <t>ÖREBRO LÄN</t>
        </is>
      </c>
      <c r="E2128" t="inlineStr">
        <is>
          <t>NORA</t>
        </is>
      </c>
      <c r="F2128" t="inlineStr">
        <is>
          <t>Övriga Aktiebolag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44983-2024</t>
        </is>
      </c>
      <c r="B2129" s="1" t="n">
        <v>45575</v>
      </c>
      <c r="C2129" s="1" t="n">
        <v>46132</v>
      </c>
      <c r="D2129" t="inlineStr">
        <is>
          <t>ÖREBRO LÄN</t>
        </is>
      </c>
      <c r="E2129" t="inlineStr">
        <is>
          <t>LJUSNARSBERG</t>
        </is>
      </c>
      <c r="F2129" t="inlineStr">
        <is>
          <t>Bergvik skog väst AB</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29983-2024</t>
        </is>
      </c>
      <c r="B2130" s="1" t="n">
        <v>45485</v>
      </c>
      <c r="C2130" s="1" t="n">
        <v>46132</v>
      </c>
      <c r="D2130" t="inlineStr">
        <is>
          <t>ÖREBRO LÄN</t>
        </is>
      </c>
      <c r="E2130" t="inlineStr">
        <is>
          <t>ASKERSUND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30002-2025</t>
        </is>
      </c>
      <c r="B2131" s="1" t="n">
        <v>45826.52493055556</v>
      </c>
      <c r="C2131" s="1" t="n">
        <v>46132</v>
      </c>
      <c r="D2131" t="inlineStr">
        <is>
          <t>ÖREBRO LÄN</t>
        </is>
      </c>
      <c r="E2131" t="inlineStr">
        <is>
          <t>LJUSNARSBERG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29985-2024</t>
        </is>
      </c>
      <c r="B2132" s="1" t="n">
        <v>45485</v>
      </c>
      <c r="C2132" s="1" t="n">
        <v>46132</v>
      </c>
      <c r="D2132" t="inlineStr">
        <is>
          <t>ÖREBRO LÄN</t>
        </is>
      </c>
      <c r="E2132" t="inlineStr">
        <is>
          <t>ASKERSUND</t>
        </is>
      </c>
      <c r="F2132" t="inlineStr">
        <is>
          <t>Kommuner</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15572-2022</t>
        </is>
      </c>
      <c r="B2133" s="1" t="n">
        <v>44662</v>
      </c>
      <c r="C2133" s="1" t="n">
        <v>46132</v>
      </c>
      <c r="D2133" t="inlineStr">
        <is>
          <t>ÖREBRO LÄN</t>
        </is>
      </c>
      <c r="E2133" t="inlineStr">
        <is>
          <t>ASKERSUND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13981-2022</t>
        </is>
      </c>
      <c r="B2134" s="1" t="n">
        <v>44650</v>
      </c>
      <c r="C2134" s="1" t="n">
        <v>46132</v>
      </c>
      <c r="D2134" t="inlineStr">
        <is>
          <t>ÖREBRO LÄN</t>
        </is>
      </c>
      <c r="E2134" t="inlineStr">
        <is>
          <t>ASKERSUND</t>
        </is>
      </c>
      <c r="G2134" t="n">
        <v>11.7</v>
      </c>
      <c r="H2134" t="n">
        <v>0</v>
      </c>
      <c r="I2134" t="n">
        <v>0</v>
      </c>
      <c r="J2134" t="n">
        <v>0</v>
      </c>
      <c r="K2134" t="n">
        <v>0</v>
      </c>
      <c r="L2134" t="n">
        <v>0</v>
      </c>
      <c r="M2134" t="n">
        <v>0</v>
      </c>
      <c r="N2134" t="n">
        <v>0</v>
      </c>
      <c r="O2134" t="n">
        <v>0</v>
      </c>
      <c r="P2134" t="n">
        <v>0</v>
      </c>
      <c r="Q2134" t="n">
        <v>0</v>
      </c>
      <c r="R2134" s="2" t="inlineStr"/>
    </row>
    <row r="2135" ht="15" customHeight="1">
      <c r="A2135" t="inlineStr">
        <is>
          <t>A 5604-2023</t>
        </is>
      </c>
      <c r="B2135" s="1" t="n">
        <v>44960.55600694445</v>
      </c>
      <c r="C2135" s="1" t="n">
        <v>46132</v>
      </c>
      <c r="D2135" t="inlineStr">
        <is>
          <t>ÖREBRO LÄN</t>
        </is>
      </c>
      <c r="E2135" t="inlineStr">
        <is>
          <t>HALLSBERG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5608-2023</t>
        </is>
      </c>
      <c r="B2136" s="1" t="n">
        <v>44960.56233796296</v>
      </c>
      <c r="C2136" s="1" t="n">
        <v>46132</v>
      </c>
      <c r="D2136" t="inlineStr">
        <is>
          <t>ÖREBRO LÄN</t>
        </is>
      </c>
      <c r="E2136" t="inlineStr">
        <is>
          <t>HALLSBERG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26858-2024</t>
        </is>
      </c>
      <c r="B2137" s="1" t="n">
        <v>45470</v>
      </c>
      <c r="C2137" s="1" t="n">
        <v>46132</v>
      </c>
      <c r="D2137" t="inlineStr">
        <is>
          <t>ÖREBRO LÄN</t>
        </is>
      </c>
      <c r="E2137" t="inlineStr">
        <is>
          <t>ÖREBRO</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39936-2024</t>
        </is>
      </c>
      <c r="B2138" s="1" t="n">
        <v>45553.56512731482</v>
      </c>
      <c r="C2138" s="1" t="n">
        <v>46132</v>
      </c>
      <c r="D2138" t="inlineStr">
        <is>
          <t>ÖREBRO LÄN</t>
        </is>
      </c>
      <c r="E2138" t="inlineStr">
        <is>
          <t>KARLSKOGA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47017-2025</t>
        </is>
      </c>
      <c r="B2139" s="1" t="n">
        <v>45929.57561342593</v>
      </c>
      <c r="C2139" s="1" t="n">
        <v>46132</v>
      </c>
      <c r="D2139" t="inlineStr">
        <is>
          <t>ÖREBRO LÄN</t>
        </is>
      </c>
      <c r="E2139" t="inlineStr">
        <is>
          <t>LJUSNARSBERG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35450-2021</t>
        </is>
      </c>
      <c r="B2140" s="1" t="n">
        <v>44385</v>
      </c>
      <c r="C2140" s="1" t="n">
        <v>46132</v>
      </c>
      <c r="D2140" t="inlineStr">
        <is>
          <t>ÖREBRO LÄN</t>
        </is>
      </c>
      <c r="E2140" t="inlineStr">
        <is>
          <t>ASKERSUND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15722-2025</t>
        </is>
      </c>
      <c r="B2141" s="1" t="n">
        <v>45748.51697916666</v>
      </c>
      <c r="C2141" s="1" t="n">
        <v>46132</v>
      </c>
      <c r="D2141" t="inlineStr">
        <is>
          <t>ÖREBRO LÄN</t>
        </is>
      </c>
      <c r="E2141" t="inlineStr">
        <is>
          <t>ASKERSUND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27659-2025</t>
        </is>
      </c>
      <c r="B2142" s="1" t="n">
        <v>45813</v>
      </c>
      <c r="C2142" s="1" t="n">
        <v>46132</v>
      </c>
      <c r="D2142" t="inlineStr">
        <is>
          <t>ÖREBRO LÄN</t>
        </is>
      </c>
      <c r="E2142" t="inlineStr">
        <is>
          <t>HALLSBERG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2607-2023</t>
        </is>
      </c>
      <c r="B2143" s="1" t="n">
        <v>44939</v>
      </c>
      <c r="C2143" s="1" t="n">
        <v>46132</v>
      </c>
      <c r="D2143" t="inlineStr">
        <is>
          <t>ÖREBRO LÄN</t>
        </is>
      </c>
      <c r="E2143" t="inlineStr">
        <is>
          <t>LJUSNARSBERG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47411-2025</t>
        </is>
      </c>
      <c r="B2144" s="1" t="n">
        <v>45930.61648148148</v>
      </c>
      <c r="C2144" s="1" t="n">
        <v>46132</v>
      </c>
      <c r="D2144" t="inlineStr">
        <is>
          <t>ÖREBRO LÄN</t>
        </is>
      </c>
      <c r="E2144" t="inlineStr">
        <is>
          <t>LJUSNARSBERG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5049-2022</t>
        </is>
      </c>
      <c r="B2145" s="1" t="n">
        <v>44593</v>
      </c>
      <c r="C2145" s="1" t="n">
        <v>46132</v>
      </c>
      <c r="D2145" t="inlineStr">
        <is>
          <t>ÖREBRO LÄN</t>
        </is>
      </c>
      <c r="E2145" t="inlineStr">
        <is>
          <t>NORA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5050-2022</t>
        </is>
      </c>
      <c r="B2146" s="1" t="n">
        <v>44593.68526620371</v>
      </c>
      <c r="C2146" s="1" t="n">
        <v>46132</v>
      </c>
      <c r="D2146" t="inlineStr">
        <is>
          <t>ÖREBRO LÄN</t>
        </is>
      </c>
      <c r="E2146" t="inlineStr">
        <is>
          <t>ASKERSUND</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30000-2025</t>
        </is>
      </c>
      <c r="B2147" s="1" t="n">
        <v>45826.52024305556</v>
      </c>
      <c r="C2147" s="1" t="n">
        <v>46132</v>
      </c>
      <c r="D2147" t="inlineStr">
        <is>
          <t>ÖREBRO LÄN</t>
        </is>
      </c>
      <c r="E2147" t="inlineStr">
        <is>
          <t>LINDESBERG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47296-2025</t>
        </is>
      </c>
      <c r="B2148" s="1" t="n">
        <v>45930.49436342593</v>
      </c>
      <c r="C2148" s="1" t="n">
        <v>46132</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15013-2024</t>
        </is>
      </c>
      <c r="B2149" s="1" t="n">
        <v>45399</v>
      </c>
      <c r="C2149" s="1" t="n">
        <v>46132</v>
      </c>
      <c r="D2149" t="inlineStr">
        <is>
          <t>ÖREBRO LÄN</t>
        </is>
      </c>
      <c r="E2149" t="inlineStr">
        <is>
          <t>HÄLLEFORS</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23066-2022</t>
        </is>
      </c>
      <c r="B2150" s="1" t="n">
        <v>44719.45199074074</v>
      </c>
      <c r="C2150" s="1" t="n">
        <v>46132</v>
      </c>
      <c r="D2150" t="inlineStr">
        <is>
          <t>ÖREBRO LÄN</t>
        </is>
      </c>
      <c r="E2150" t="inlineStr">
        <is>
          <t>DEGERFORS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47983-2022</t>
        </is>
      </c>
      <c r="B2151" s="1" t="n">
        <v>44855</v>
      </c>
      <c r="C2151" s="1" t="n">
        <v>46132</v>
      </c>
      <c r="D2151" t="inlineStr">
        <is>
          <t>ÖREBRO LÄN</t>
        </is>
      </c>
      <c r="E2151" t="inlineStr">
        <is>
          <t>ASKERSUND</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26485-2022</t>
        </is>
      </c>
      <c r="B2152" s="1" t="n">
        <v>44739</v>
      </c>
      <c r="C2152" s="1" t="n">
        <v>46132</v>
      </c>
      <c r="D2152" t="inlineStr">
        <is>
          <t>ÖREBRO LÄN</t>
        </is>
      </c>
      <c r="E2152" t="inlineStr">
        <is>
          <t>ASKERSUND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59920-2023</t>
        </is>
      </c>
      <c r="B2153" s="1" t="n">
        <v>45257</v>
      </c>
      <c r="C2153" s="1" t="n">
        <v>46132</v>
      </c>
      <c r="D2153" t="inlineStr">
        <is>
          <t>ÖREBRO LÄN</t>
        </is>
      </c>
      <c r="E2153" t="inlineStr">
        <is>
          <t>ASKERSUND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15806-2024</t>
        </is>
      </c>
      <c r="B2154" s="1" t="n">
        <v>45404.66259259259</v>
      </c>
      <c r="C2154" s="1" t="n">
        <v>46132</v>
      </c>
      <c r="D2154" t="inlineStr">
        <is>
          <t>ÖREBRO LÄN</t>
        </is>
      </c>
      <c r="E2154" t="inlineStr">
        <is>
          <t>ASKERSUND</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53647-2023</t>
        </is>
      </c>
      <c r="B2155" s="1" t="n">
        <v>45230.6046875</v>
      </c>
      <c r="C2155" s="1" t="n">
        <v>46132</v>
      </c>
      <c r="D2155" t="inlineStr">
        <is>
          <t>ÖREBRO LÄN</t>
        </is>
      </c>
      <c r="E2155" t="inlineStr">
        <is>
          <t>KARLSKOGA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37294-2021</t>
        </is>
      </c>
      <c r="B2156" s="1" t="n">
        <v>44397</v>
      </c>
      <c r="C2156" s="1" t="n">
        <v>46132</v>
      </c>
      <c r="D2156" t="inlineStr">
        <is>
          <t>ÖREBRO LÄN</t>
        </is>
      </c>
      <c r="E2156" t="inlineStr">
        <is>
          <t>ASKERSUND</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12797-2025</t>
        </is>
      </c>
      <c r="B2157" s="1" t="n">
        <v>45733.61097222222</v>
      </c>
      <c r="C2157" s="1" t="n">
        <v>46132</v>
      </c>
      <c r="D2157" t="inlineStr">
        <is>
          <t>ÖREBRO LÄN</t>
        </is>
      </c>
      <c r="E2157" t="inlineStr">
        <is>
          <t>ASKERSUND</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12801-2025</t>
        </is>
      </c>
      <c r="B2158" s="1" t="n">
        <v>45733.61251157407</v>
      </c>
      <c r="C2158" s="1" t="n">
        <v>46132</v>
      </c>
      <c r="D2158" t="inlineStr">
        <is>
          <t>ÖREBRO LÄN</t>
        </is>
      </c>
      <c r="E2158" t="inlineStr">
        <is>
          <t>ASKERSUND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47069-2023</t>
        </is>
      </c>
      <c r="B2159" s="1" t="n">
        <v>45201</v>
      </c>
      <c r="C2159" s="1" t="n">
        <v>46132</v>
      </c>
      <c r="D2159" t="inlineStr">
        <is>
          <t>ÖREBRO LÄN</t>
        </is>
      </c>
      <c r="E2159" t="inlineStr">
        <is>
          <t>LINDESBERG</t>
        </is>
      </c>
      <c r="F2159" t="inlineStr">
        <is>
          <t>Sveaskog</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47074-2023</t>
        </is>
      </c>
      <c r="B2160" s="1" t="n">
        <v>45201.60283564815</v>
      </c>
      <c r="C2160" s="1" t="n">
        <v>46132</v>
      </c>
      <c r="D2160" t="inlineStr">
        <is>
          <t>ÖREBRO LÄN</t>
        </is>
      </c>
      <c r="E2160" t="inlineStr">
        <is>
          <t>LINDESBERG</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34585-2021</t>
        </is>
      </c>
      <c r="B2161" s="1" t="n">
        <v>44382.47526620371</v>
      </c>
      <c r="C2161" s="1" t="n">
        <v>46132</v>
      </c>
      <c r="D2161" t="inlineStr">
        <is>
          <t>ÖREBRO LÄN</t>
        </is>
      </c>
      <c r="E2161" t="inlineStr">
        <is>
          <t>KARLSKOGA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30006-2024</t>
        </is>
      </c>
      <c r="B2162" s="1" t="n">
        <v>45485</v>
      </c>
      <c r="C2162" s="1" t="n">
        <v>46132</v>
      </c>
      <c r="D2162" t="inlineStr">
        <is>
          <t>ÖREBRO LÄN</t>
        </is>
      </c>
      <c r="E2162" t="inlineStr">
        <is>
          <t>ASKERSUND</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15731-2025</t>
        </is>
      </c>
      <c r="B2163" s="1" t="n">
        <v>45748</v>
      </c>
      <c r="C2163" s="1" t="n">
        <v>46132</v>
      </c>
      <c r="D2163" t="inlineStr">
        <is>
          <t>ÖREBRO LÄN</t>
        </is>
      </c>
      <c r="E2163" t="inlineStr">
        <is>
          <t>ASKERSUND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44693-2025</t>
        </is>
      </c>
      <c r="B2164" s="1" t="n">
        <v>45917</v>
      </c>
      <c r="C2164" s="1" t="n">
        <v>46132</v>
      </c>
      <c r="D2164" t="inlineStr">
        <is>
          <t>ÖREBRO LÄN</t>
        </is>
      </c>
      <c r="E2164" t="inlineStr">
        <is>
          <t>HÄLLEFORS</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29701-2025</t>
        </is>
      </c>
      <c r="B2165" s="1" t="n">
        <v>45825.55261574074</v>
      </c>
      <c r="C2165" s="1" t="n">
        <v>46132</v>
      </c>
      <c r="D2165" t="inlineStr">
        <is>
          <t>ÖREBRO LÄN</t>
        </is>
      </c>
      <c r="E2165" t="inlineStr">
        <is>
          <t>ÖREBRO</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55479-2024</t>
        </is>
      </c>
      <c r="B2166" s="1" t="n">
        <v>45622.4384375</v>
      </c>
      <c r="C2166" s="1" t="n">
        <v>46132</v>
      </c>
      <c r="D2166" t="inlineStr">
        <is>
          <t>ÖREBRO LÄN</t>
        </is>
      </c>
      <c r="E2166" t="inlineStr">
        <is>
          <t>LAXÅ</t>
        </is>
      </c>
      <c r="F2166" t="inlineStr">
        <is>
          <t>Sveaskog</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6904-2023</t>
        </is>
      </c>
      <c r="B2167" s="1" t="n">
        <v>44967.51170138889</v>
      </c>
      <c r="C2167" s="1" t="n">
        <v>46132</v>
      </c>
      <c r="D2167" t="inlineStr">
        <is>
          <t>ÖREBRO LÄN</t>
        </is>
      </c>
      <c r="E2167" t="inlineStr">
        <is>
          <t>ASKERSUND</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23620-2024</t>
        </is>
      </c>
      <c r="B2168" s="1" t="n">
        <v>45454</v>
      </c>
      <c r="C2168" s="1" t="n">
        <v>46132</v>
      </c>
      <c r="D2168" t="inlineStr">
        <is>
          <t>ÖREBRO LÄN</t>
        </is>
      </c>
      <c r="E2168" t="inlineStr">
        <is>
          <t>KARLSKOGA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11459-2024</t>
        </is>
      </c>
      <c r="B2169" s="1" t="n">
        <v>45372.58425925926</v>
      </c>
      <c r="C2169" s="1" t="n">
        <v>46132</v>
      </c>
      <c r="D2169" t="inlineStr">
        <is>
          <t>ÖREBRO LÄN</t>
        </is>
      </c>
      <c r="E2169" t="inlineStr">
        <is>
          <t>HÄLLEFORS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15725-2025</t>
        </is>
      </c>
      <c r="B2170" s="1" t="n">
        <v>45748</v>
      </c>
      <c r="C2170" s="1" t="n">
        <v>46132</v>
      </c>
      <c r="D2170" t="inlineStr">
        <is>
          <t>ÖREBRO LÄN</t>
        </is>
      </c>
      <c r="E2170" t="inlineStr">
        <is>
          <t>ASKERSUND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29572-2025</t>
        </is>
      </c>
      <c r="B2171" s="1" t="n">
        <v>45825.36898148148</v>
      </c>
      <c r="C2171" s="1" t="n">
        <v>46132</v>
      </c>
      <c r="D2171" t="inlineStr">
        <is>
          <t>ÖREBRO LÄN</t>
        </is>
      </c>
      <c r="E2171" t="inlineStr">
        <is>
          <t>LJUSNARSBERG</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30427-2025</t>
        </is>
      </c>
      <c r="B2172" s="1" t="n">
        <v>45827.61739583333</v>
      </c>
      <c r="C2172" s="1" t="n">
        <v>46132</v>
      </c>
      <c r="D2172" t="inlineStr">
        <is>
          <t>ÖREBRO LÄN</t>
        </is>
      </c>
      <c r="E2172" t="inlineStr">
        <is>
          <t>ASKERSUND</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30465-2025</t>
        </is>
      </c>
      <c r="B2173" s="1" t="n">
        <v>45827.76819444444</v>
      </c>
      <c r="C2173" s="1" t="n">
        <v>46132</v>
      </c>
      <c r="D2173" t="inlineStr">
        <is>
          <t>ÖREBRO LÄN</t>
        </is>
      </c>
      <c r="E2173" t="inlineStr">
        <is>
          <t>KUMLA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59557-2022</t>
        </is>
      </c>
      <c r="B2174" s="1" t="n">
        <v>44907.59805555556</v>
      </c>
      <c r="C2174" s="1" t="n">
        <v>46132</v>
      </c>
      <c r="D2174" t="inlineStr">
        <is>
          <t>ÖREBRO LÄN</t>
        </is>
      </c>
      <c r="E2174" t="inlineStr">
        <is>
          <t>HÄLLEFORS</t>
        </is>
      </c>
      <c r="F2174" t="inlineStr">
        <is>
          <t>Bergvik skog väst AB</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59562-2022</t>
        </is>
      </c>
      <c r="B2175" s="1" t="n">
        <v>44907.60333333333</v>
      </c>
      <c r="C2175" s="1" t="n">
        <v>46132</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13004-2024</t>
        </is>
      </c>
      <c r="B2176" s="1" t="n">
        <v>45385.56987268518</v>
      </c>
      <c r="C2176" s="1" t="n">
        <v>46132</v>
      </c>
      <c r="D2176" t="inlineStr">
        <is>
          <t>ÖREBRO LÄN</t>
        </is>
      </c>
      <c r="E2176" t="inlineStr">
        <is>
          <t>LAXÅ</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30334-2025</t>
        </is>
      </c>
      <c r="B2177" s="1" t="n">
        <v>45827.51025462963</v>
      </c>
      <c r="C2177" s="1" t="n">
        <v>46132</v>
      </c>
      <c r="D2177" t="inlineStr">
        <is>
          <t>ÖREBRO LÄN</t>
        </is>
      </c>
      <c r="E2177" t="inlineStr">
        <is>
          <t>LAXÅ</t>
        </is>
      </c>
      <c r="F2177" t="inlineStr">
        <is>
          <t>Sveaskog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59121-2024</t>
        </is>
      </c>
      <c r="B2178" s="1" t="n">
        <v>45637.37755787037</v>
      </c>
      <c r="C2178" s="1" t="n">
        <v>46132</v>
      </c>
      <c r="D2178" t="inlineStr">
        <is>
          <t>ÖREBRO LÄN</t>
        </is>
      </c>
      <c r="E2178" t="inlineStr">
        <is>
          <t>ÖREBRO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47847-2025</t>
        </is>
      </c>
      <c r="B2179" s="1" t="n">
        <v>45932.38244212963</v>
      </c>
      <c r="C2179" s="1" t="n">
        <v>46132</v>
      </c>
      <c r="D2179" t="inlineStr">
        <is>
          <t>ÖREBRO LÄN</t>
        </is>
      </c>
      <c r="E2179" t="inlineStr">
        <is>
          <t>HÄLLEFORS</t>
        </is>
      </c>
      <c r="F2179" t="inlineStr">
        <is>
          <t>Bergvik skog väst AB</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47862-2025</t>
        </is>
      </c>
      <c r="B2180" s="1" t="n">
        <v>45932.42637731481</v>
      </c>
      <c r="C2180" s="1" t="n">
        <v>46132</v>
      </c>
      <c r="D2180" t="inlineStr">
        <is>
          <t>ÖREBRO LÄN</t>
        </is>
      </c>
      <c r="E2180" t="inlineStr">
        <is>
          <t>HÄLLEFORS</t>
        </is>
      </c>
      <c r="F2180" t="inlineStr">
        <is>
          <t>Bergvik skog väst AB</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30384-2025</t>
        </is>
      </c>
      <c r="B2181" s="1" t="n">
        <v>45827.57152777778</v>
      </c>
      <c r="C2181" s="1" t="n">
        <v>46132</v>
      </c>
      <c r="D2181" t="inlineStr">
        <is>
          <t>ÖREBRO LÄN</t>
        </is>
      </c>
      <c r="E2181" t="inlineStr">
        <is>
          <t>LAXÅ</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30466-2025</t>
        </is>
      </c>
      <c r="B2182" s="1" t="n">
        <v>45827.77037037037</v>
      </c>
      <c r="C2182" s="1" t="n">
        <v>46132</v>
      </c>
      <c r="D2182" t="inlineStr">
        <is>
          <t>ÖREBRO LÄN</t>
        </is>
      </c>
      <c r="E2182" t="inlineStr">
        <is>
          <t>KUMLA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67439-2021</t>
        </is>
      </c>
      <c r="B2183" s="1" t="n">
        <v>44523</v>
      </c>
      <c r="C2183" s="1" t="n">
        <v>46132</v>
      </c>
      <c r="D2183" t="inlineStr">
        <is>
          <t>ÖREBRO LÄN</t>
        </is>
      </c>
      <c r="E2183" t="inlineStr">
        <is>
          <t>HÄLLEFORS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49215-2023</t>
        </is>
      </c>
      <c r="B2184" s="1" t="n">
        <v>45210.61050925926</v>
      </c>
      <c r="C2184" s="1" t="n">
        <v>46132</v>
      </c>
      <c r="D2184" t="inlineStr">
        <is>
          <t>ÖREBRO LÄN</t>
        </is>
      </c>
      <c r="E2184" t="inlineStr">
        <is>
          <t>ÖREBRO</t>
        </is>
      </c>
      <c r="F2184" t="inlineStr">
        <is>
          <t>Övriga Aktiebolag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30341-2025</t>
        </is>
      </c>
      <c r="B2185" s="1" t="n">
        <v>45827.51862268519</v>
      </c>
      <c r="C2185" s="1" t="n">
        <v>46132</v>
      </c>
      <c r="D2185" t="inlineStr">
        <is>
          <t>ÖREBRO LÄN</t>
        </is>
      </c>
      <c r="E2185" t="inlineStr">
        <is>
          <t>LINDESBERG</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47549-2025</t>
        </is>
      </c>
      <c r="B2186" s="1" t="n">
        <v>45931.36796296296</v>
      </c>
      <c r="C2186" s="1" t="n">
        <v>46132</v>
      </c>
      <c r="D2186" t="inlineStr">
        <is>
          <t>ÖREBRO LÄN</t>
        </is>
      </c>
      <c r="E2186" t="inlineStr">
        <is>
          <t>LJUSNARSBERG</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47852-2025</t>
        </is>
      </c>
      <c r="B2187" s="1" t="n">
        <v>45932.38914351852</v>
      </c>
      <c r="C2187" s="1" t="n">
        <v>46132</v>
      </c>
      <c r="D2187" t="inlineStr">
        <is>
          <t>ÖREBRO LÄN</t>
        </is>
      </c>
      <c r="E2187" t="inlineStr">
        <is>
          <t>HÄLLEFORS</t>
        </is>
      </c>
      <c r="F2187" t="inlineStr">
        <is>
          <t>Bergvik skog väst AB</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47854-2025</t>
        </is>
      </c>
      <c r="B2188" s="1" t="n">
        <v>45932.39532407407</v>
      </c>
      <c r="C2188" s="1" t="n">
        <v>46132</v>
      </c>
      <c r="D2188" t="inlineStr">
        <is>
          <t>ÖREBRO LÄN</t>
        </is>
      </c>
      <c r="E2188" t="inlineStr">
        <is>
          <t>HÄLLEFORS</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47856-2025</t>
        </is>
      </c>
      <c r="B2189" s="1" t="n">
        <v>45932.40252314815</v>
      </c>
      <c r="C2189" s="1" t="n">
        <v>46132</v>
      </c>
      <c r="D2189" t="inlineStr">
        <is>
          <t>ÖREBRO LÄN</t>
        </is>
      </c>
      <c r="E2189" t="inlineStr">
        <is>
          <t>HÄLLEFORS</t>
        </is>
      </c>
      <c r="F2189" t="inlineStr">
        <is>
          <t>Bergvik skog väst AB</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47901-2025</t>
        </is>
      </c>
      <c r="B2190" s="1" t="n">
        <v>45932.49747685185</v>
      </c>
      <c r="C2190" s="1" t="n">
        <v>46132</v>
      </c>
      <c r="D2190" t="inlineStr">
        <is>
          <t>ÖREBRO LÄN</t>
        </is>
      </c>
      <c r="E2190" t="inlineStr">
        <is>
          <t>HALLSBERG</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47906-2025</t>
        </is>
      </c>
      <c r="B2191" s="1" t="n">
        <v>45932.50626157408</v>
      </c>
      <c r="C2191" s="1" t="n">
        <v>46132</v>
      </c>
      <c r="D2191" t="inlineStr">
        <is>
          <t>ÖREBRO LÄN</t>
        </is>
      </c>
      <c r="E2191" t="inlineStr">
        <is>
          <t>HALLSBERG</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47913-2025</t>
        </is>
      </c>
      <c r="B2192" s="1" t="n">
        <v>45932.51337962963</v>
      </c>
      <c r="C2192" s="1" t="n">
        <v>46132</v>
      </c>
      <c r="D2192" t="inlineStr">
        <is>
          <t>ÖREBRO LÄN</t>
        </is>
      </c>
      <c r="E2192" t="inlineStr">
        <is>
          <t>HALLSBERG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30430-2025</t>
        </is>
      </c>
      <c r="B2193" s="1" t="n">
        <v>45827</v>
      </c>
      <c r="C2193" s="1" t="n">
        <v>46132</v>
      </c>
      <c r="D2193" t="inlineStr">
        <is>
          <t>ÖREBRO LÄN</t>
        </is>
      </c>
      <c r="E2193" t="inlineStr">
        <is>
          <t>LJUSNARSBERG</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47920-2025</t>
        </is>
      </c>
      <c r="B2194" s="1" t="n">
        <v>45932.53057870371</v>
      </c>
      <c r="C2194" s="1" t="n">
        <v>46132</v>
      </c>
      <c r="D2194" t="inlineStr">
        <is>
          <t>ÖREBRO LÄN</t>
        </is>
      </c>
      <c r="E2194" t="inlineStr">
        <is>
          <t>HALLSBERG</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47921-2025</t>
        </is>
      </c>
      <c r="B2195" s="1" t="n">
        <v>45932.53211805555</v>
      </c>
      <c r="C2195" s="1" t="n">
        <v>46132</v>
      </c>
      <c r="D2195" t="inlineStr">
        <is>
          <t>ÖREBRO LÄN</t>
        </is>
      </c>
      <c r="E2195" t="inlineStr">
        <is>
          <t>HALLSBERG</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48654-2023</t>
        </is>
      </c>
      <c r="B2196" s="1" t="n">
        <v>45208.60009259259</v>
      </c>
      <c r="C2196" s="1" t="n">
        <v>46132</v>
      </c>
      <c r="D2196" t="inlineStr">
        <is>
          <t>ÖREBRO LÄN</t>
        </is>
      </c>
      <c r="E2196" t="inlineStr">
        <is>
          <t>ASKERSUND</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17983-2025</t>
        </is>
      </c>
      <c r="B2197" s="1" t="n">
        <v>45761.38829861111</v>
      </c>
      <c r="C2197" s="1" t="n">
        <v>46132</v>
      </c>
      <c r="D2197" t="inlineStr">
        <is>
          <t>ÖREBRO LÄN</t>
        </is>
      </c>
      <c r="E2197" t="inlineStr">
        <is>
          <t>ÖREBRO</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30428-2025</t>
        </is>
      </c>
      <c r="B2198" s="1" t="n">
        <v>45827</v>
      </c>
      <c r="C2198" s="1" t="n">
        <v>46132</v>
      </c>
      <c r="D2198" t="inlineStr">
        <is>
          <t>ÖREBRO LÄN</t>
        </is>
      </c>
      <c r="E2198" t="inlineStr">
        <is>
          <t>LJUSNARSBERG</t>
        </is>
      </c>
      <c r="F2198" t="inlineStr">
        <is>
          <t>Bergvik skog väst AB</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30340-2025</t>
        </is>
      </c>
      <c r="B2199" s="1" t="n">
        <v>45827.51753472222</v>
      </c>
      <c r="C2199" s="1" t="n">
        <v>46132</v>
      </c>
      <c r="D2199" t="inlineStr">
        <is>
          <t>ÖREBRO LÄN</t>
        </is>
      </c>
      <c r="E2199" t="inlineStr">
        <is>
          <t>LINDESBERG</t>
        </is>
      </c>
      <c r="F2199" t="inlineStr">
        <is>
          <t>Sveaskog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30342-2025</t>
        </is>
      </c>
      <c r="B2200" s="1" t="n">
        <v>45827.51956018519</v>
      </c>
      <c r="C2200" s="1" t="n">
        <v>46132</v>
      </c>
      <c r="D2200" t="inlineStr">
        <is>
          <t>ÖREBRO LÄN</t>
        </is>
      </c>
      <c r="E2200" t="inlineStr">
        <is>
          <t>LINDESBERG</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53352-2023</t>
        </is>
      </c>
      <c r="B2201" s="1" t="n">
        <v>45229.66262731481</v>
      </c>
      <c r="C2201" s="1" t="n">
        <v>46132</v>
      </c>
      <c r="D2201" t="inlineStr">
        <is>
          <t>ÖREBRO LÄN</t>
        </is>
      </c>
      <c r="E2201" t="inlineStr">
        <is>
          <t>LINDESBERG</t>
        </is>
      </c>
      <c r="F2201" t="inlineStr">
        <is>
          <t>Sveaskog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30381-2025</t>
        </is>
      </c>
      <c r="B2202" s="1" t="n">
        <v>45827.56939814815</v>
      </c>
      <c r="C2202" s="1" t="n">
        <v>46132</v>
      </c>
      <c r="D2202" t="inlineStr">
        <is>
          <t>ÖREBRO LÄN</t>
        </is>
      </c>
      <c r="E2202" t="inlineStr">
        <is>
          <t>LINDESBERG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56565-2025</t>
        </is>
      </c>
      <c r="B2203" s="1" t="n">
        <v>45974</v>
      </c>
      <c r="C2203" s="1" t="n">
        <v>46132</v>
      </c>
      <c r="D2203" t="inlineStr">
        <is>
          <t>ÖREBRO LÄN</t>
        </is>
      </c>
      <c r="E2203" t="inlineStr">
        <is>
          <t>NORA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15213-2025</t>
        </is>
      </c>
      <c r="B2204" s="1" t="n">
        <v>45744.57851851852</v>
      </c>
      <c r="C2204" s="1" t="n">
        <v>46132</v>
      </c>
      <c r="D2204" t="inlineStr">
        <is>
          <t>ÖREBRO LÄN</t>
        </is>
      </c>
      <c r="E2204" t="inlineStr">
        <is>
          <t>LINDESBERG</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46678-2023</t>
        </is>
      </c>
      <c r="B2205" s="1" t="n">
        <v>45194</v>
      </c>
      <c r="C2205" s="1" t="n">
        <v>46132</v>
      </c>
      <c r="D2205" t="inlineStr">
        <is>
          <t>ÖREBRO LÄN</t>
        </is>
      </c>
      <c r="E2205" t="inlineStr">
        <is>
          <t>LINDESBERG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26967-2022</t>
        </is>
      </c>
      <c r="B2206" s="1" t="n">
        <v>44740.66997685185</v>
      </c>
      <c r="C2206" s="1" t="n">
        <v>46132</v>
      </c>
      <c r="D2206" t="inlineStr">
        <is>
          <t>ÖREBRO LÄN</t>
        </is>
      </c>
      <c r="E2206" t="inlineStr">
        <is>
          <t>LINDESBERG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48061-2025</t>
        </is>
      </c>
      <c r="B2207" s="1" t="n">
        <v>45932.68006944445</v>
      </c>
      <c r="C2207" s="1" t="n">
        <v>46132</v>
      </c>
      <c r="D2207" t="inlineStr">
        <is>
          <t>ÖREBRO LÄN</t>
        </is>
      </c>
      <c r="E2207" t="inlineStr">
        <is>
          <t>LINDESBERG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30416-2025</t>
        </is>
      </c>
      <c r="B2208" s="1" t="n">
        <v>45827.60635416667</v>
      </c>
      <c r="C2208" s="1" t="n">
        <v>46132</v>
      </c>
      <c r="D2208" t="inlineStr">
        <is>
          <t>ÖREBRO LÄN</t>
        </is>
      </c>
      <c r="E2208" t="inlineStr">
        <is>
          <t>ASKERSUND</t>
        </is>
      </c>
      <c r="F2208" t="inlineStr">
        <is>
          <t>Sveaskog</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47678-2025</t>
        </is>
      </c>
      <c r="B2209" s="1" t="n">
        <v>45931.57967592592</v>
      </c>
      <c r="C2209" s="1" t="n">
        <v>46132</v>
      </c>
      <c r="D2209" t="inlineStr">
        <is>
          <t>ÖREBRO LÄN</t>
        </is>
      </c>
      <c r="E2209" t="inlineStr">
        <is>
          <t>LINDESBERG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30339-2025</t>
        </is>
      </c>
      <c r="B2210" s="1" t="n">
        <v>45827.51628472222</v>
      </c>
      <c r="C2210" s="1" t="n">
        <v>46132</v>
      </c>
      <c r="D2210" t="inlineStr">
        <is>
          <t>ÖREBRO LÄN</t>
        </is>
      </c>
      <c r="E2210" t="inlineStr">
        <is>
          <t>LINDESBERG</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30351-2025</t>
        </is>
      </c>
      <c r="B2211" s="1" t="n">
        <v>45827.53324074074</v>
      </c>
      <c r="C2211" s="1" t="n">
        <v>46132</v>
      </c>
      <c r="D2211" t="inlineStr">
        <is>
          <t>ÖREBRO LÄN</t>
        </is>
      </c>
      <c r="E2211" t="inlineStr">
        <is>
          <t>ASKERSUND</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47915-2025</t>
        </is>
      </c>
      <c r="B2212" s="1" t="n">
        <v>45932.51552083333</v>
      </c>
      <c r="C2212" s="1" t="n">
        <v>46132</v>
      </c>
      <c r="D2212" t="inlineStr">
        <is>
          <t>ÖREBRO LÄN</t>
        </is>
      </c>
      <c r="E2212" t="inlineStr">
        <is>
          <t>HALLSBERG</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44938-2021</t>
        </is>
      </c>
      <c r="B2213" s="1" t="n">
        <v>44438</v>
      </c>
      <c r="C2213" s="1" t="n">
        <v>46132</v>
      </c>
      <c r="D2213" t="inlineStr">
        <is>
          <t>ÖREBRO LÄN</t>
        </is>
      </c>
      <c r="E2213" t="inlineStr">
        <is>
          <t>ASKERSUND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5417-2025</t>
        </is>
      </c>
      <c r="B2214" s="1" t="n">
        <v>45692</v>
      </c>
      <c r="C2214" s="1" t="n">
        <v>46132</v>
      </c>
      <c r="D2214" t="inlineStr">
        <is>
          <t>ÖREBRO LÄN</t>
        </is>
      </c>
      <c r="E2214" t="inlineStr">
        <is>
          <t>ASKERSUND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30550-2025</t>
        </is>
      </c>
      <c r="B2215" s="1" t="n">
        <v>45831.38224537037</v>
      </c>
      <c r="C2215" s="1" t="n">
        <v>46132</v>
      </c>
      <c r="D2215" t="inlineStr">
        <is>
          <t>ÖREBRO LÄN</t>
        </is>
      </c>
      <c r="E2215" t="inlineStr">
        <is>
          <t>ÖREBRO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46805-2024</t>
        </is>
      </c>
      <c r="B2216" s="1" t="n">
        <v>45583</v>
      </c>
      <c r="C2216" s="1" t="n">
        <v>46132</v>
      </c>
      <c r="D2216" t="inlineStr">
        <is>
          <t>ÖREBRO LÄN</t>
        </is>
      </c>
      <c r="E2216" t="inlineStr">
        <is>
          <t>LJUSNARSBERG</t>
        </is>
      </c>
      <c r="F2216" t="inlineStr">
        <is>
          <t>Bergvik skog väst AB</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45978-2021</t>
        </is>
      </c>
      <c r="B2217" s="1" t="n">
        <v>44441.70047453704</v>
      </c>
      <c r="C2217" s="1" t="n">
        <v>46132</v>
      </c>
      <c r="D2217" t="inlineStr">
        <is>
          <t>ÖREBRO LÄN</t>
        </is>
      </c>
      <c r="E2217" t="inlineStr">
        <is>
          <t>LINDESBERG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46835-2024</t>
        </is>
      </c>
      <c r="B2218" s="1" t="n">
        <v>45583</v>
      </c>
      <c r="C2218" s="1" t="n">
        <v>46132</v>
      </c>
      <c r="D2218" t="inlineStr">
        <is>
          <t>ÖREBRO LÄN</t>
        </is>
      </c>
      <c r="E2218" t="inlineStr">
        <is>
          <t>HALLSBERG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31215-2025</t>
        </is>
      </c>
      <c r="B2219" s="1" t="n">
        <v>45832.74418981482</v>
      </c>
      <c r="C2219" s="1" t="n">
        <v>46132</v>
      </c>
      <c r="D2219" t="inlineStr">
        <is>
          <t>ÖREBRO LÄN</t>
        </is>
      </c>
      <c r="E2219" t="inlineStr">
        <is>
          <t>LINDESBERG</t>
        </is>
      </c>
      <c r="F2219" t="inlineStr">
        <is>
          <t>Sveaskog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14454-2024</t>
        </is>
      </c>
      <c r="B2220" s="1" t="n">
        <v>45394.51289351852</v>
      </c>
      <c r="C2220" s="1" t="n">
        <v>46132</v>
      </c>
      <c r="D2220" t="inlineStr">
        <is>
          <t>ÖREBRO LÄN</t>
        </is>
      </c>
      <c r="E2220" t="inlineStr">
        <is>
          <t>LINDESBERG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39171-2024</t>
        </is>
      </c>
      <c r="B2221" s="1" t="n">
        <v>45548</v>
      </c>
      <c r="C2221" s="1" t="n">
        <v>46132</v>
      </c>
      <c r="D2221" t="inlineStr">
        <is>
          <t>ÖREBRO LÄN</t>
        </is>
      </c>
      <c r="E2221" t="inlineStr">
        <is>
          <t>HÄLLEFORS</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40303-2024</t>
        </is>
      </c>
      <c r="B2222" s="1" t="n">
        <v>45554.7158912037</v>
      </c>
      <c r="C2222" s="1" t="n">
        <v>46132</v>
      </c>
      <c r="D2222" t="inlineStr">
        <is>
          <t>ÖREBRO LÄN</t>
        </is>
      </c>
      <c r="E2222" t="inlineStr">
        <is>
          <t>LINDESBERG</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47676-2025</t>
        </is>
      </c>
      <c r="B2223" s="1" t="n">
        <v>45931.57756944445</v>
      </c>
      <c r="C2223" s="1" t="n">
        <v>46132</v>
      </c>
      <c r="D2223" t="inlineStr">
        <is>
          <t>ÖREBRO LÄN</t>
        </is>
      </c>
      <c r="E2223" t="inlineStr">
        <is>
          <t>LINDESBERG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30731-2025</t>
        </is>
      </c>
      <c r="B2224" s="1" t="n">
        <v>45831.57280092593</v>
      </c>
      <c r="C2224" s="1" t="n">
        <v>46132</v>
      </c>
      <c r="D2224" t="inlineStr">
        <is>
          <t>ÖREBRO LÄN</t>
        </is>
      </c>
      <c r="E2224" t="inlineStr">
        <is>
          <t>ÖREBRO</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30747-2025</t>
        </is>
      </c>
      <c r="B2225" s="1" t="n">
        <v>45831.58487268518</v>
      </c>
      <c r="C2225" s="1" t="n">
        <v>46132</v>
      </c>
      <c r="D2225" t="inlineStr">
        <is>
          <t>ÖREBRO LÄN</t>
        </is>
      </c>
      <c r="E2225" t="inlineStr">
        <is>
          <t>HÄLLEFORS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46484-2024</t>
        </is>
      </c>
      <c r="B2226" s="1" t="n">
        <v>45582.57542824074</v>
      </c>
      <c r="C2226" s="1" t="n">
        <v>46132</v>
      </c>
      <c r="D2226" t="inlineStr">
        <is>
          <t>ÖREBRO LÄN</t>
        </is>
      </c>
      <c r="E2226" t="inlineStr">
        <is>
          <t>LINDESBERG</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19436-2025</t>
        </is>
      </c>
      <c r="B2227" s="1" t="n">
        <v>45769.98449074074</v>
      </c>
      <c r="C2227" s="1" t="n">
        <v>46132</v>
      </c>
      <c r="D2227" t="inlineStr">
        <is>
          <t>ÖREBRO LÄN</t>
        </is>
      </c>
      <c r="E2227" t="inlineStr">
        <is>
          <t>LINDESBERG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41278-2024</t>
        </is>
      </c>
      <c r="B2228" s="1" t="n">
        <v>45559</v>
      </c>
      <c r="C2228" s="1" t="n">
        <v>46132</v>
      </c>
      <c r="D2228" t="inlineStr">
        <is>
          <t>ÖREBRO LÄN</t>
        </is>
      </c>
      <c r="E2228" t="inlineStr">
        <is>
          <t>HALLSBERG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34029-2024</t>
        </is>
      </c>
      <c r="B2229" s="1" t="n">
        <v>45523</v>
      </c>
      <c r="C2229" s="1" t="n">
        <v>46132</v>
      </c>
      <c r="D2229" t="inlineStr">
        <is>
          <t>ÖREBRO LÄN</t>
        </is>
      </c>
      <c r="E2229" t="inlineStr">
        <is>
          <t>LINDESBERG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11663-2024</t>
        </is>
      </c>
      <c r="B2230" s="1" t="n">
        <v>45373</v>
      </c>
      <c r="C2230" s="1" t="n">
        <v>46132</v>
      </c>
      <c r="D2230" t="inlineStr">
        <is>
          <t>ÖREBRO LÄN</t>
        </is>
      </c>
      <c r="E2230" t="inlineStr">
        <is>
          <t>ÖREBRO</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48390-2025</t>
        </is>
      </c>
      <c r="B2231" s="1" t="n">
        <v>45933.89425925926</v>
      </c>
      <c r="C2231" s="1" t="n">
        <v>46132</v>
      </c>
      <c r="D2231" t="inlineStr">
        <is>
          <t>ÖREBRO LÄN</t>
        </is>
      </c>
      <c r="E2231" t="inlineStr">
        <is>
          <t>ASKERSUND</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31014-2025</t>
        </is>
      </c>
      <c r="B2232" s="1" t="n">
        <v>45832.51028935185</v>
      </c>
      <c r="C2232" s="1" t="n">
        <v>46132</v>
      </c>
      <c r="D2232" t="inlineStr">
        <is>
          <t>ÖREBRO LÄN</t>
        </is>
      </c>
      <c r="E2232" t="inlineStr">
        <is>
          <t>LINDESBERG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12063-2024</t>
        </is>
      </c>
      <c r="B2233" s="1" t="n">
        <v>45377.4959837963</v>
      </c>
      <c r="C2233" s="1" t="n">
        <v>46132</v>
      </c>
      <c r="D2233" t="inlineStr">
        <is>
          <t>ÖREBRO LÄN</t>
        </is>
      </c>
      <c r="E2233" t="inlineStr">
        <is>
          <t>LAXÅ</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46220-2024</t>
        </is>
      </c>
      <c r="B2234" s="1" t="n">
        <v>45581.56866898148</v>
      </c>
      <c r="C2234" s="1" t="n">
        <v>46132</v>
      </c>
      <c r="D2234" t="inlineStr">
        <is>
          <t>ÖREBRO LÄN</t>
        </is>
      </c>
      <c r="E2234" t="inlineStr">
        <is>
          <t>DEGERFORS</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30930-2025</t>
        </is>
      </c>
      <c r="B2235" s="1" t="n">
        <v>45832.39980324074</v>
      </c>
      <c r="C2235" s="1" t="n">
        <v>46132</v>
      </c>
      <c r="D2235" t="inlineStr">
        <is>
          <t>ÖREBRO LÄN</t>
        </is>
      </c>
      <c r="E2235" t="inlineStr">
        <is>
          <t>LJUSNARSBERG</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48489-2025</t>
        </is>
      </c>
      <c r="B2236" s="1" t="n">
        <v>45936.36637731481</v>
      </c>
      <c r="C2236" s="1" t="n">
        <v>46132</v>
      </c>
      <c r="D2236" t="inlineStr">
        <is>
          <t>ÖREBRO LÄN</t>
        </is>
      </c>
      <c r="E2236" t="inlineStr">
        <is>
          <t>LINDESBERG</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31049-2025</t>
        </is>
      </c>
      <c r="B2237" s="1" t="n">
        <v>45832.55810185185</v>
      </c>
      <c r="C2237" s="1" t="n">
        <v>46132</v>
      </c>
      <c r="D2237" t="inlineStr">
        <is>
          <t>ÖREBRO LÄN</t>
        </is>
      </c>
      <c r="E2237" t="inlineStr">
        <is>
          <t>LINDESBERG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47935-2024</t>
        </is>
      </c>
      <c r="B2238" s="1" t="n">
        <v>45589.34674768519</v>
      </c>
      <c r="C2238" s="1" t="n">
        <v>46132</v>
      </c>
      <c r="D2238" t="inlineStr">
        <is>
          <t>ÖREBRO LÄN</t>
        </is>
      </c>
      <c r="E2238" t="inlineStr">
        <is>
          <t>DEGERFORS</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48501-2025</t>
        </is>
      </c>
      <c r="B2239" s="1" t="n">
        <v>45936.37960648148</v>
      </c>
      <c r="C2239" s="1" t="n">
        <v>46132</v>
      </c>
      <c r="D2239" t="inlineStr">
        <is>
          <t>ÖREBRO LÄN</t>
        </is>
      </c>
      <c r="E2239" t="inlineStr">
        <is>
          <t>LJUSNARSBERG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30928-2025</t>
        </is>
      </c>
      <c r="B2240" s="1" t="n">
        <v>45832.39780092592</v>
      </c>
      <c r="C2240" s="1" t="n">
        <v>46132</v>
      </c>
      <c r="D2240" t="inlineStr">
        <is>
          <t>ÖREBRO LÄN</t>
        </is>
      </c>
      <c r="E2240" t="inlineStr">
        <is>
          <t>LJUSNARSBERG</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31000-2025</t>
        </is>
      </c>
      <c r="B2241" s="1" t="n">
        <v>45832.49325231482</v>
      </c>
      <c r="C2241" s="1" t="n">
        <v>46132</v>
      </c>
      <c r="D2241" t="inlineStr">
        <is>
          <t>ÖREBRO LÄN</t>
        </is>
      </c>
      <c r="E2241" t="inlineStr">
        <is>
          <t>LINDESBERG</t>
        </is>
      </c>
      <c r="F2241" t="inlineStr">
        <is>
          <t>Sveaskog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31018-2025</t>
        </is>
      </c>
      <c r="B2242" s="1" t="n">
        <v>45832.51255787037</v>
      </c>
      <c r="C2242" s="1" t="n">
        <v>46132</v>
      </c>
      <c r="D2242" t="inlineStr">
        <is>
          <t>ÖREBRO LÄN</t>
        </is>
      </c>
      <c r="E2242" t="inlineStr">
        <is>
          <t>LINDESBERG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46219-2024</t>
        </is>
      </c>
      <c r="B2243" s="1" t="n">
        <v>45581.56686342593</v>
      </c>
      <c r="C2243" s="1" t="n">
        <v>46132</v>
      </c>
      <c r="D2243" t="inlineStr">
        <is>
          <t>ÖREBRO LÄN</t>
        </is>
      </c>
      <c r="E2243" t="inlineStr">
        <is>
          <t>DEGERFORS</t>
        </is>
      </c>
      <c r="F2243" t="inlineStr">
        <is>
          <t>Sveaskog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48391-2025</t>
        </is>
      </c>
      <c r="B2244" s="1" t="n">
        <v>45933.89484953704</v>
      </c>
      <c r="C2244" s="1" t="n">
        <v>46132</v>
      </c>
      <c r="D2244" t="inlineStr">
        <is>
          <t>ÖREBRO LÄN</t>
        </is>
      </c>
      <c r="E2244" t="inlineStr">
        <is>
          <t>ASKERSUND</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10079-2024</t>
        </is>
      </c>
      <c r="B2245" s="1" t="n">
        <v>45364.42604166667</v>
      </c>
      <c r="C2245" s="1" t="n">
        <v>46132</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48534-2025</t>
        </is>
      </c>
      <c r="B2246" s="1" t="n">
        <v>45934</v>
      </c>
      <c r="C2246" s="1" t="n">
        <v>46132</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48540-2025</t>
        </is>
      </c>
      <c r="B2247" s="1" t="n">
        <v>45934</v>
      </c>
      <c r="C2247" s="1" t="n">
        <v>46132</v>
      </c>
      <c r="D2247" t="inlineStr">
        <is>
          <t>ÖREBRO LÄN</t>
        </is>
      </c>
      <c r="E2247" t="inlineStr">
        <is>
          <t>LJUSNARSBERG</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48389-2025</t>
        </is>
      </c>
      <c r="B2248" s="1" t="n">
        <v>45933.89372685185</v>
      </c>
      <c r="C2248" s="1" t="n">
        <v>46132</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48393-2025</t>
        </is>
      </c>
      <c r="B2249" s="1" t="n">
        <v>45933.90118055556</v>
      </c>
      <c r="C2249" s="1" t="n">
        <v>46132</v>
      </c>
      <c r="D2249" t="inlineStr">
        <is>
          <t>ÖREBRO LÄN</t>
        </is>
      </c>
      <c r="E2249" t="inlineStr">
        <is>
          <t>ASKERSUND</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36108-2024</t>
        </is>
      </c>
      <c r="B2250" s="1" t="n">
        <v>45533.9425</v>
      </c>
      <c r="C2250" s="1" t="n">
        <v>46132</v>
      </c>
      <c r="D2250" t="inlineStr">
        <is>
          <t>ÖREBRO LÄN</t>
        </is>
      </c>
      <c r="E2250" t="inlineStr">
        <is>
          <t>LJUSNARSBERG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21952-2024</t>
        </is>
      </c>
      <c r="B2251" s="1" t="n">
        <v>45443.48370370371</v>
      </c>
      <c r="C2251" s="1" t="n">
        <v>46132</v>
      </c>
      <c r="D2251" t="inlineStr">
        <is>
          <t>ÖREBRO LÄN</t>
        </is>
      </c>
      <c r="E2251" t="inlineStr">
        <is>
          <t>DEGERFORS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48183-2025</t>
        </is>
      </c>
      <c r="B2252" s="1" t="n">
        <v>45933.45418981482</v>
      </c>
      <c r="C2252" s="1" t="n">
        <v>46132</v>
      </c>
      <c r="D2252" t="inlineStr">
        <is>
          <t>ÖREBRO LÄN</t>
        </is>
      </c>
      <c r="E2252" t="inlineStr">
        <is>
          <t>HALLSBERG</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8612-2023</t>
        </is>
      </c>
      <c r="B2253" s="1" t="n">
        <v>44977</v>
      </c>
      <c r="C2253" s="1" t="n">
        <v>46132</v>
      </c>
      <c r="D2253" t="inlineStr">
        <is>
          <t>ÖREBRO LÄN</t>
        </is>
      </c>
      <c r="E2253" t="inlineStr">
        <is>
          <t>KUMLA</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30951-2025</t>
        </is>
      </c>
      <c r="B2254" s="1" t="n">
        <v>45832.43225694444</v>
      </c>
      <c r="C2254" s="1" t="n">
        <v>46132</v>
      </c>
      <c r="D2254" t="inlineStr">
        <is>
          <t>ÖREBRO LÄN</t>
        </is>
      </c>
      <c r="E2254" t="inlineStr">
        <is>
          <t>ÖREBRO</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48750-2025</t>
        </is>
      </c>
      <c r="B2255" s="1" t="n">
        <v>45936.68452546297</v>
      </c>
      <c r="C2255" s="1" t="n">
        <v>46132</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48582-2025</t>
        </is>
      </c>
      <c r="B2256" s="1" t="n">
        <v>45936.4577199074</v>
      </c>
      <c r="C2256" s="1" t="n">
        <v>46132</v>
      </c>
      <c r="D2256" t="inlineStr">
        <is>
          <t>ÖREBRO LÄN</t>
        </is>
      </c>
      <c r="E2256" t="inlineStr">
        <is>
          <t>LJUSNARSBERG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48495-2025</t>
        </is>
      </c>
      <c r="B2257" s="1" t="n">
        <v>45936.37237268518</v>
      </c>
      <c r="C2257" s="1" t="n">
        <v>46132</v>
      </c>
      <c r="D2257" t="inlineStr">
        <is>
          <t>ÖREBRO LÄN</t>
        </is>
      </c>
      <c r="E2257" t="inlineStr">
        <is>
          <t>LINDESBERG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48515-2025</t>
        </is>
      </c>
      <c r="B2258" s="1" t="n">
        <v>45936.39302083333</v>
      </c>
      <c r="C2258" s="1" t="n">
        <v>46132</v>
      </c>
      <c r="D2258" t="inlineStr">
        <is>
          <t>ÖREBRO LÄN</t>
        </is>
      </c>
      <c r="E2258" t="inlineStr">
        <is>
          <t>LJUSNARSBERG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48707-2022</t>
        </is>
      </c>
      <c r="B2259" s="1" t="n">
        <v>44859</v>
      </c>
      <c r="C2259" s="1" t="n">
        <v>46132</v>
      </c>
      <c r="D2259" t="inlineStr">
        <is>
          <t>ÖREBRO LÄN</t>
        </is>
      </c>
      <c r="E2259" t="inlineStr">
        <is>
          <t>NORA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22511-2024</t>
        </is>
      </c>
      <c r="B2260" s="1" t="n">
        <v>45447.37612268519</v>
      </c>
      <c r="C2260" s="1" t="n">
        <v>46132</v>
      </c>
      <c r="D2260" t="inlineStr">
        <is>
          <t>ÖREBRO LÄN</t>
        </is>
      </c>
      <c r="E2260" t="inlineStr">
        <is>
          <t>ASKERSUND</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31003-2025</t>
        </is>
      </c>
      <c r="B2261" s="1" t="n">
        <v>45832.49579861111</v>
      </c>
      <c r="C2261" s="1" t="n">
        <v>46132</v>
      </c>
      <c r="D2261" t="inlineStr">
        <is>
          <t>ÖREBRO LÄN</t>
        </is>
      </c>
      <c r="E2261" t="inlineStr">
        <is>
          <t>LINDESBERG</t>
        </is>
      </c>
      <c r="F2261" t="inlineStr">
        <is>
          <t>Sveaskog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31066-2025</t>
        </is>
      </c>
      <c r="B2262" s="1" t="n">
        <v>45832</v>
      </c>
      <c r="C2262" s="1" t="n">
        <v>46132</v>
      </c>
      <c r="D2262" t="inlineStr">
        <is>
          <t>ÖREBRO LÄN</t>
        </is>
      </c>
      <c r="E2262" t="inlineStr">
        <is>
          <t>ÖREBRO</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13350-2024</t>
        </is>
      </c>
      <c r="B2263" s="1" t="n">
        <v>45387.24732638889</v>
      </c>
      <c r="C2263" s="1" t="n">
        <v>46132</v>
      </c>
      <c r="D2263" t="inlineStr">
        <is>
          <t>ÖREBRO LÄN</t>
        </is>
      </c>
      <c r="E2263" t="inlineStr">
        <is>
          <t>LINDESBERG</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13351-2024</t>
        </is>
      </c>
      <c r="B2264" s="1" t="n">
        <v>45387.2521875</v>
      </c>
      <c r="C2264" s="1" t="n">
        <v>46132</v>
      </c>
      <c r="D2264" t="inlineStr">
        <is>
          <t>ÖREBRO LÄN</t>
        </is>
      </c>
      <c r="E2264" t="inlineStr">
        <is>
          <t>LINDESBERG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31085-2025</t>
        </is>
      </c>
      <c r="B2265" s="1" t="n">
        <v>45832.5902662037</v>
      </c>
      <c r="C2265" s="1" t="n">
        <v>46132</v>
      </c>
      <c r="D2265" t="inlineStr">
        <is>
          <t>ÖREBRO LÄN</t>
        </is>
      </c>
      <c r="E2265" t="inlineStr">
        <is>
          <t>LINDESBERG</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48542-2025</t>
        </is>
      </c>
      <c r="B2266" s="1" t="n">
        <v>45934</v>
      </c>
      <c r="C2266" s="1" t="n">
        <v>46132</v>
      </c>
      <c r="D2266" t="inlineStr">
        <is>
          <t>ÖREBRO LÄN</t>
        </is>
      </c>
      <c r="E2266" t="inlineStr">
        <is>
          <t>LJUSNARSBERG</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48454-2025</t>
        </is>
      </c>
      <c r="B2267" s="1" t="n">
        <v>45935.80164351852</v>
      </c>
      <c r="C2267" s="1" t="n">
        <v>46132</v>
      </c>
      <c r="D2267" t="inlineStr">
        <is>
          <t>ÖREBRO LÄN</t>
        </is>
      </c>
      <c r="E2267" t="inlineStr">
        <is>
          <t>ÖREBRO</t>
        </is>
      </c>
      <c r="F2267" t="inlineStr">
        <is>
          <t>Övriga Aktiebolag</t>
        </is>
      </c>
      <c r="G2267" t="n">
        <v>18.1</v>
      </c>
      <c r="H2267" t="n">
        <v>0</v>
      </c>
      <c r="I2267" t="n">
        <v>0</v>
      </c>
      <c r="J2267" t="n">
        <v>0</v>
      </c>
      <c r="K2267" t="n">
        <v>0</v>
      </c>
      <c r="L2267" t="n">
        <v>0</v>
      </c>
      <c r="M2267" t="n">
        <v>0</v>
      </c>
      <c r="N2267" t="n">
        <v>0</v>
      </c>
      <c r="O2267" t="n">
        <v>0</v>
      </c>
      <c r="P2267" t="n">
        <v>0</v>
      </c>
      <c r="Q2267" t="n">
        <v>0</v>
      </c>
      <c r="R2267" s="2" t="inlineStr"/>
    </row>
    <row r="2268" ht="15" customHeight="1">
      <c r="A2268" t="inlineStr">
        <is>
          <t>A 48461-2025</t>
        </is>
      </c>
      <c r="B2268" s="1" t="n">
        <v>45935.99478009259</v>
      </c>
      <c r="C2268" s="1" t="n">
        <v>46132</v>
      </c>
      <c r="D2268" t="inlineStr">
        <is>
          <t>ÖREBRO LÄN</t>
        </is>
      </c>
      <c r="E2268" t="inlineStr">
        <is>
          <t>LAXÅ</t>
        </is>
      </c>
      <c r="F2268" t="inlineStr">
        <is>
          <t>Sveaskog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55692-2023</t>
        </is>
      </c>
      <c r="B2269" s="1" t="n">
        <v>45239</v>
      </c>
      <c r="C2269" s="1" t="n">
        <v>46132</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56221-2025</t>
        </is>
      </c>
      <c r="B2270" s="1" t="n">
        <v>45974.49936342592</v>
      </c>
      <c r="C2270" s="1" t="n">
        <v>46132</v>
      </c>
      <c r="D2270" t="inlineStr">
        <is>
          <t>ÖREBRO LÄN</t>
        </is>
      </c>
      <c r="E2270" t="inlineStr">
        <is>
          <t>ASKERSUND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56232-2025</t>
        </is>
      </c>
      <c r="B2271" s="1" t="n">
        <v>45974.53239583333</v>
      </c>
      <c r="C2271" s="1" t="n">
        <v>46132</v>
      </c>
      <c r="D2271" t="inlineStr">
        <is>
          <t>ÖREBRO LÄN</t>
        </is>
      </c>
      <c r="E2271" t="inlineStr">
        <is>
          <t>LINDESBERG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56061-2025</t>
        </is>
      </c>
      <c r="B2272" s="1" t="n">
        <v>45973.63927083334</v>
      </c>
      <c r="C2272" s="1" t="n">
        <v>46132</v>
      </c>
      <c r="D2272" t="inlineStr">
        <is>
          <t>ÖREBRO LÄN</t>
        </is>
      </c>
      <c r="E2272" t="inlineStr">
        <is>
          <t>HALLSBERG</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55842-2025</t>
        </is>
      </c>
      <c r="B2273" s="1" t="n">
        <v>45973.29060185186</v>
      </c>
      <c r="C2273" s="1" t="n">
        <v>46132</v>
      </c>
      <c r="D2273" t="inlineStr">
        <is>
          <t>ÖREBRO LÄN</t>
        </is>
      </c>
      <c r="E2273" t="inlineStr">
        <is>
          <t>LEKEBERG</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18768-2025</t>
        </is>
      </c>
      <c r="B2274" s="1" t="n">
        <v>45764.29767361111</v>
      </c>
      <c r="C2274" s="1" t="n">
        <v>46132</v>
      </c>
      <c r="D2274" t="inlineStr">
        <is>
          <t>ÖREBRO LÄN</t>
        </is>
      </c>
      <c r="E2274" t="inlineStr">
        <is>
          <t>KARLSKOGA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30931-2025</t>
        </is>
      </c>
      <c r="B2275" s="1" t="n">
        <v>45832.40206018519</v>
      </c>
      <c r="C2275" s="1" t="n">
        <v>46132</v>
      </c>
      <c r="D2275" t="inlineStr">
        <is>
          <t>ÖREBRO LÄN</t>
        </is>
      </c>
      <c r="E2275" t="inlineStr">
        <is>
          <t>LJUSNARSBERG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30935-2025</t>
        </is>
      </c>
      <c r="B2276" s="1" t="n">
        <v>45832.40581018518</v>
      </c>
      <c r="C2276" s="1" t="n">
        <v>46132</v>
      </c>
      <c r="D2276" t="inlineStr">
        <is>
          <t>ÖREBRO LÄN</t>
        </is>
      </c>
      <c r="E2276" t="inlineStr">
        <is>
          <t>LJUSNARSBERG</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48618-2025</t>
        </is>
      </c>
      <c r="B2277" s="1" t="n">
        <v>45936.49026620371</v>
      </c>
      <c r="C2277" s="1" t="n">
        <v>46132</v>
      </c>
      <c r="D2277" t="inlineStr">
        <is>
          <t>ÖREBRO LÄN</t>
        </is>
      </c>
      <c r="E2277" t="inlineStr">
        <is>
          <t>LINDESBERG</t>
        </is>
      </c>
      <c r="F2277" t="inlineStr">
        <is>
          <t>Sveaskog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48392-2025</t>
        </is>
      </c>
      <c r="B2278" s="1" t="n">
        <v>45933.90063657407</v>
      </c>
      <c r="C2278" s="1" t="n">
        <v>46132</v>
      </c>
      <c r="D2278" t="inlineStr">
        <is>
          <t>ÖREBRO LÄN</t>
        </is>
      </c>
      <c r="E2278" t="inlineStr">
        <is>
          <t>ASKERSUND</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48420-2025</t>
        </is>
      </c>
      <c r="B2279" s="1" t="n">
        <v>45934.66789351852</v>
      </c>
      <c r="C2279" s="1" t="n">
        <v>46132</v>
      </c>
      <c r="D2279" t="inlineStr">
        <is>
          <t>ÖREBRO LÄN</t>
        </is>
      </c>
      <c r="E2279" t="inlineStr">
        <is>
          <t>ASKERSUND</t>
        </is>
      </c>
      <c r="F2279" t="inlineStr">
        <is>
          <t>Sveaskog</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45159-2023</t>
        </is>
      </c>
      <c r="B2280" s="1" t="n">
        <v>45191.49001157407</v>
      </c>
      <c r="C2280" s="1" t="n">
        <v>46132</v>
      </c>
      <c r="D2280" t="inlineStr">
        <is>
          <t>ÖREBRO LÄN</t>
        </is>
      </c>
      <c r="E2280" t="inlineStr">
        <is>
          <t>NORA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6267-2025</t>
        </is>
      </c>
      <c r="B2281" s="1" t="n">
        <v>45698</v>
      </c>
      <c r="C2281" s="1" t="n">
        <v>46132</v>
      </c>
      <c r="D2281" t="inlineStr">
        <is>
          <t>ÖREBRO LÄN</t>
        </is>
      </c>
      <c r="E2281" t="inlineStr">
        <is>
          <t>KUMLA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48497-2025</t>
        </is>
      </c>
      <c r="B2282" s="1" t="n">
        <v>45936.37523148148</v>
      </c>
      <c r="C2282" s="1" t="n">
        <v>46132</v>
      </c>
      <c r="D2282" t="inlineStr">
        <is>
          <t>ÖREBRO LÄN</t>
        </is>
      </c>
      <c r="E2282" t="inlineStr">
        <is>
          <t>LINDESBERG</t>
        </is>
      </c>
      <c r="F2282" t="inlineStr">
        <is>
          <t>Sveaskog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48506-2025</t>
        </is>
      </c>
      <c r="B2283" s="1" t="n">
        <v>45936.38331018519</v>
      </c>
      <c r="C2283" s="1" t="n">
        <v>46132</v>
      </c>
      <c r="D2283" t="inlineStr">
        <is>
          <t>ÖREBRO LÄN</t>
        </is>
      </c>
      <c r="E2283" t="inlineStr">
        <is>
          <t>LJUSNARSBERG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48573-2025</t>
        </is>
      </c>
      <c r="B2284" s="1" t="n">
        <v>45936.45064814815</v>
      </c>
      <c r="C2284" s="1" t="n">
        <v>46132</v>
      </c>
      <c r="D2284" t="inlineStr">
        <is>
          <t>ÖREBRO LÄN</t>
        </is>
      </c>
      <c r="E2284" t="inlineStr">
        <is>
          <t>LJUSNARSBERG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52566-2023</t>
        </is>
      </c>
      <c r="B2285" s="1" t="n">
        <v>45219</v>
      </c>
      <c r="C2285" s="1" t="n">
        <v>46132</v>
      </c>
      <c r="D2285" t="inlineStr">
        <is>
          <t>ÖREBRO LÄN</t>
        </is>
      </c>
      <c r="E2285" t="inlineStr">
        <is>
          <t>DEGERFORS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21764-2022</t>
        </is>
      </c>
      <c r="B2286" s="1" t="n">
        <v>44708.45179398148</v>
      </c>
      <c r="C2286" s="1" t="n">
        <v>46132</v>
      </c>
      <c r="D2286" t="inlineStr">
        <is>
          <t>ÖREBRO LÄN</t>
        </is>
      </c>
      <c r="E2286" t="inlineStr">
        <is>
          <t>LAXÅ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14715-2024</t>
        </is>
      </c>
      <c r="B2287" s="1" t="n">
        <v>45397.5500462963</v>
      </c>
      <c r="C2287" s="1" t="n">
        <v>46132</v>
      </c>
      <c r="D2287" t="inlineStr">
        <is>
          <t>ÖREBRO LÄN</t>
        </is>
      </c>
      <c r="E2287" t="inlineStr">
        <is>
          <t>ÖREBRO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31213-2025</t>
        </is>
      </c>
      <c r="B2288" s="1" t="n">
        <v>45832.72778935185</v>
      </c>
      <c r="C2288" s="1" t="n">
        <v>46132</v>
      </c>
      <c r="D2288" t="inlineStr">
        <is>
          <t>ÖREBRO LÄN</t>
        </is>
      </c>
      <c r="E2288" t="inlineStr">
        <is>
          <t>LINDESBERG</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48229-2025</t>
        </is>
      </c>
      <c r="B2289" s="1" t="n">
        <v>45933.51694444445</v>
      </c>
      <c r="C2289" s="1" t="n">
        <v>46132</v>
      </c>
      <c r="D2289" t="inlineStr">
        <is>
          <t>ÖREBRO LÄN</t>
        </is>
      </c>
      <c r="E2289" t="inlineStr">
        <is>
          <t>NORA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52879-2023</t>
        </is>
      </c>
      <c r="B2290" s="1" t="n">
        <v>45226.47349537037</v>
      </c>
      <c r="C2290" s="1" t="n">
        <v>46132</v>
      </c>
      <c r="D2290" t="inlineStr">
        <is>
          <t>ÖREBRO LÄN</t>
        </is>
      </c>
      <c r="E2290" t="inlineStr">
        <is>
          <t>NORA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42803-2023</t>
        </is>
      </c>
      <c r="B2291" s="1" t="n">
        <v>45182</v>
      </c>
      <c r="C2291" s="1" t="n">
        <v>46132</v>
      </c>
      <c r="D2291" t="inlineStr">
        <is>
          <t>ÖREBRO LÄN</t>
        </is>
      </c>
      <c r="E2291" t="inlineStr">
        <is>
          <t>KARLSKOGA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22323-2023</t>
        </is>
      </c>
      <c r="B2292" s="1" t="n">
        <v>45068</v>
      </c>
      <c r="C2292" s="1" t="n">
        <v>46132</v>
      </c>
      <c r="D2292" t="inlineStr">
        <is>
          <t>ÖREBRO LÄN</t>
        </is>
      </c>
      <c r="E2292" t="inlineStr">
        <is>
          <t>LEKEBERG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31603-2025</t>
        </is>
      </c>
      <c r="B2293" s="1" t="n">
        <v>45833.73876157407</v>
      </c>
      <c r="C2293" s="1" t="n">
        <v>46132</v>
      </c>
      <c r="D2293" t="inlineStr">
        <is>
          <t>ÖREBRO LÄN</t>
        </is>
      </c>
      <c r="E2293" t="inlineStr">
        <is>
          <t>DEGERFORS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58823-2022</t>
        </is>
      </c>
      <c r="B2294" s="1" t="n">
        <v>44903</v>
      </c>
      <c r="C2294" s="1" t="n">
        <v>46132</v>
      </c>
      <c r="D2294" t="inlineStr">
        <is>
          <t>ÖREBRO LÄN</t>
        </is>
      </c>
      <c r="E2294" t="inlineStr">
        <is>
          <t>LJUSNARSBERG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48961-2025</t>
        </is>
      </c>
      <c r="B2295" s="1" t="n">
        <v>45936</v>
      </c>
      <c r="C2295" s="1" t="n">
        <v>46132</v>
      </c>
      <c r="D2295" t="inlineStr">
        <is>
          <t>ÖREBRO LÄN</t>
        </is>
      </c>
      <c r="E2295" t="inlineStr">
        <is>
          <t>HÄLLEFORS</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48849-2023</t>
        </is>
      </c>
      <c r="B2296" s="1" t="n">
        <v>45209.43077546296</v>
      </c>
      <c r="C2296" s="1" t="n">
        <v>46132</v>
      </c>
      <c r="D2296" t="inlineStr">
        <is>
          <t>ÖREBRO LÄN</t>
        </is>
      </c>
      <c r="E2296" t="inlineStr">
        <is>
          <t>LAXÅ</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12053-2024</t>
        </is>
      </c>
      <c r="B2297" s="1" t="n">
        <v>45377.48265046296</v>
      </c>
      <c r="C2297" s="1" t="n">
        <v>46132</v>
      </c>
      <c r="D2297" t="inlineStr">
        <is>
          <t>ÖREBRO LÄN</t>
        </is>
      </c>
      <c r="E2297" t="inlineStr">
        <is>
          <t>LINDESBERG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49974-2021</t>
        </is>
      </c>
      <c r="B2298" s="1" t="n">
        <v>44456</v>
      </c>
      <c r="C2298" s="1" t="n">
        <v>46132</v>
      </c>
      <c r="D2298" t="inlineStr">
        <is>
          <t>ÖREBRO LÄN</t>
        </is>
      </c>
      <c r="E2298" t="inlineStr">
        <is>
          <t>LAXÅ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48619-2025</t>
        </is>
      </c>
      <c r="B2299" s="1" t="n">
        <v>45936.49065972222</v>
      </c>
      <c r="C2299" s="1" t="n">
        <v>46132</v>
      </c>
      <c r="D2299" t="inlineStr">
        <is>
          <t>ÖREBRO LÄN</t>
        </is>
      </c>
      <c r="E2299" t="inlineStr">
        <is>
          <t>ASKERSUND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50014-2021</t>
        </is>
      </c>
      <c r="B2300" s="1" t="n">
        <v>44456.4811574074</v>
      </c>
      <c r="C2300" s="1" t="n">
        <v>46132</v>
      </c>
      <c r="D2300" t="inlineStr">
        <is>
          <t>ÖREBRO LÄN</t>
        </is>
      </c>
      <c r="E2300" t="inlineStr">
        <is>
          <t>ASKERSUND</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48625-2025</t>
        </is>
      </c>
      <c r="B2301" s="1" t="n">
        <v>45936.50938657407</v>
      </c>
      <c r="C2301" s="1" t="n">
        <v>46132</v>
      </c>
      <c r="D2301" t="inlineStr">
        <is>
          <t>ÖREBRO LÄN</t>
        </is>
      </c>
      <c r="E2301" t="inlineStr">
        <is>
          <t>DEGERFORS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48388-2025</t>
        </is>
      </c>
      <c r="B2302" s="1" t="n">
        <v>45933.89319444444</v>
      </c>
      <c r="C2302" s="1" t="n">
        <v>46132</v>
      </c>
      <c r="D2302" t="inlineStr">
        <is>
          <t>ÖREBRO LÄN</t>
        </is>
      </c>
      <c r="E2302" t="inlineStr">
        <is>
          <t>ASKERSUND</t>
        </is>
      </c>
      <c r="F2302" t="inlineStr">
        <is>
          <t>Sveaskog</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11003-2025</t>
        </is>
      </c>
      <c r="B2303" s="1" t="n">
        <v>45723.44292824074</v>
      </c>
      <c r="C2303" s="1" t="n">
        <v>46132</v>
      </c>
      <c r="D2303" t="inlineStr">
        <is>
          <t>ÖREBRO LÄN</t>
        </is>
      </c>
      <c r="E2303" t="inlineStr">
        <is>
          <t>HALLSBERG</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11034-2025</t>
        </is>
      </c>
      <c r="B2304" s="1" t="n">
        <v>45723.47810185186</v>
      </c>
      <c r="C2304" s="1" t="n">
        <v>46132</v>
      </c>
      <c r="D2304" t="inlineStr">
        <is>
          <t>ÖREBRO LÄN</t>
        </is>
      </c>
      <c r="E2304" t="inlineStr">
        <is>
          <t>HALLSBERG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11066-2025</t>
        </is>
      </c>
      <c r="B2305" s="1" t="n">
        <v>45723.52548611111</v>
      </c>
      <c r="C2305" s="1" t="n">
        <v>46132</v>
      </c>
      <c r="D2305" t="inlineStr">
        <is>
          <t>ÖREBRO LÄN</t>
        </is>
      </c>
      <c r="E2305" t="inlineStr">
        <is>
          <t>ASKERSUND</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48204-2025</t>
        </is>
      </c>
      <c r="B2306" s="1" t="n">
        <v>45933.48327546296</v>
      </c>
      <c r="C2306" s="1" t="n">
        <v>46132</v>
      </c>
      <c r="D2306" t="inlineStr">
        <is>
          <t>ÖREBRO LÄN</t>
        </is>
      </c>
      <c r="E2306" t="inlineStr">
        <is>
          <t>LJUSNARSBERG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48253-2025</t>
        </is>
      </c>
      <c r="B2307" s="1" t="n">
        <v>45933.55381944445</v>
      </c>
      <c r="C2307" s="1" t="n">
        <v>46132</v>
      </c>
      <c r="D2307" t="inlineStr">
        <is>
          <t>ÖREBRO LÄN</t>
        </is>
      </c>
      <c r="E2307" t="inlineStr">
        <is>
          <t>ASKERSUND</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12682-2023</t>
        </is>
      </c>
      <c r="B2308" s="1" t="n">
        <v>45000.6115625</v>
      </c>
      <c r="C2308" s="1" t="n">
        <v>46132</v>
      </c>
      <c r="D2308" t="inlineStr">
        <is>
          <t>ÖREBRO LÄN</t>
        </is>
      </c>
      <c r="E2308" t="inlineStr">
        <is>
          <t>ÖREBRO</t>
        </is>
      </c>
      <c r="F2308" t="inlineStr">
        <is>
          <t>Övriga Aktiebolag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39137-2024</t>
        </is>
      </c>
      <c r="B2309" s="1" t="n">
        <v>45548</v>
      </c>
      <c r="C2309" s="1" t="n">
        <v>46132</v>
      </c>
      <c r="D2309" t="inlineStr">
        <is>
          <t>ÖREBRO LÄN</t>
        </is>
      </c>
      <c r="E2309" t="inlineStr">
        <is>
          <t>LINDESBERG</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39152-2024</t>
        </is>
      </c>
      <c r="B2310" s="1" t="n">
        <v>45548</v>
      </c>
      <c r="C2310" s="1" t="n">
        <v>46132</v>
      </c>
      <c r="D2310" t="inlineStr">
        <is>
          <t>ÖREBRO LÄN</t>
        </is>
      </c>
      <c r="E2310" t="inlineStr">
        <is>
          <t>LINDESBERG</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48620-2025</t>
        </is>
      </c>
      <c r="B2311" s="1" t="n">
        <v>45936.49210648148</v>
      </c>
      <c r="C2311" s="1" t="n">
        <v>46132</v>
      </c>
      <c r="D2311" t="inlineStr">
        <is>
          <t>ÖREBRO LÄN</t>
        </is>
      </c>
      <c r="E2311" t="inlineStr">
        <is>
          <t>LINDESBERG</t>
        </is>
      </c>
      <c r="F2311" t="inlineStr">
        <is>
          <t>Sveaskog</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13592-2023</t>
        </is>
      </c>
      <c r="B2312" s="1" t="n">
        <v>45006.56870370371</v>
      </c>
      <c r="C2312" s="1" t="n">
        <v>46132</v>
      </c>
      <c r="D2312" t="inlineStr">
        <is>
          <t>ÖREBRO LÄN</t>
        </is>
      </c>
      <c r="E2312" t="inlineStr">
        <is>
          <t>ÖREBRO</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48564-2025</t>
        </is>
      </c>
      <c r="B2313" s="1" t="n">
        <v>45934</v>
      </c>
      <c r="C2313" s="1" t="n">
        <v>46132</v>
      </c>
      <c r="D2313" t="inlineStr">
        <is>
          <t>ÖREBRO LÄN</t>
        </is>
      </c>
      <c r="E2313" t="inlineStr">
        <is>
          <t>LJUSNARSBERG</t>
        </is>
      </c>
      <c r="F2313" t="inlineStr">
        <is>
          <t>Bergvik skog väst AB</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31233-2025</t>
        </is>
      </c>
      <c r="B2314" s="1" t="n">
        <v>45832.83341435185</v>
      </c>
      <c r="C2314" s="1" t="n">
        <v>46132</v>
      </c>
      <c r="D2314" t="inlineStr">
        <is>
          <t>ÖREBRO LÄN</t>
        </is>
      </c>
      <c r="E2314" t="inlineStr">
        <is>
          <t>ÖREBRO</t>
        </is>
      </c>
      <c r="F2314" t="inlineStr">
        <is>
          <t>Övriga Aktiebolag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14934-2024</t>
        </is>
      </c>
      <c r="B2315" s="1" t="n">
        <v>45398.66583333333</v>
      </c>
      <c r="C2315" s="1" t="n">
        <v>46132</v>
      </c>
      <c r="D2315" t="inlineStr">
        <is>
          <t>ÖREBRO LÄN</t>
        </is>
      </c>
      <c r="E2315" t="inlineStr">
        <is>
          <t>HALLSBERG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48936-2025</t>
        </is>
      </c>
      <c r="B2316" s="1" t="n">
        <v>45937.52623842593</v>
      </c>
      <c r="C2316" s="1" t="n">
        <v>46132</v>
      </c>
      <c r="D2316" t="inlineStr">
        <is>
          <t>ÖREBRO LÄN</t>
        </is>
      </c>
      <c r="E2316" t="inlineStr">
        <is>
          <t>LJUSNARSBERG</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25574-2023</t>
        </is>
      </c>
      <c r="B2317" s="1" t="n">
        <v>45089</v>
      </c>
      <c r="C2317" s="1" t="n">
        <v>46132</v>
      </c>
      <c r="D2317" t="inlineStr">
        <is>
          <t>ÖREBRO LÄN</t>
        </is>
      </c>
      <c r="E2317" t="inlineStr">
        <is>
          <t>LJUSNARSBERG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48937-2025</t>
        </is>
      </c>
      <c r="B2318" s="1" t="n">
        <v>45937.52811342593</v>
      </c>
      <c r="C2318" s="1" t="n">
        <v>46132</v>
      </c>
      <c r="D2318" t="inlineStr">
        <is>
          <t>ÖREBRO LÄN</t>
        </is>
      </c>
      <c r="E2318" t="inlineStr">
        <is>
          <t>LJUSNARSBERG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31232-2025</t>
        </is>
      </c>
      <c r="B2319" s="1" t="n">
        <v>45832.8252199074</v>
      </c>
      <c r="C2319" s="1" t="n">
        <v>46132</v>
      </c>
      <c r="D2319" t="inlineStr">
        <is>
          <t>ÖREBRO LÄN</t>
        </is>
      </c>
      <c r="E2319" t="inlineStr">
        <is>
          <t>ÖREBRO</t>
        </is>
      </c>
      <c r="F2319" t="inlineStr">
        <is>
          <t>Övriga Aktiebolag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43529-2024</t>
        </is>
      </c>
      <c r="B2320" s="1" t="n">
        <v>45569.35209490741</v>
      </c>
      <c r="C2320" s="1" t="n">
        <v>46132</v>
      </c>
      <c r="D2320" t="inlineStr">
        <is>
          <t>ÖREBRO LÄN</t>
        </is>
      </c>
      <c r="E2320" t="inlineStr">
        <is>
          <t>LINDESBERG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49113-2025</t>
        </is>
      </c>
      <c r="B2321" s="1" t="n">
        <v>45937.75980324074</v>
      </c>
      <c r="C2321" s="1" t="n">
        <v>46132</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48167-2024</t>
        </is>
      </c>
      <c r="B2322" s="1" t="n">
        <v>45589.73996527777</v>
      </c>
      <c r="C2322" s="1" t="n">
        <v>46132</v>
      </c>
      <c r="D2322" t="inlineStr">
        <is>
          <t>ÖREBRO LÄN</t>
        </is>
      </c>
      <c r="E2322" t="inlineStr">
        <is>
          <t>KARLSKOGA</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31237-2025</t>
        </is>
      </c>
      <c r="B2323" s="1" t="n">
        <v>45832.84313657408</v>
      </c>
      <c r="C2323" s="1" t="n">
        <v>46132</v>
      </c>
      <c r="D2323" t="inlineStr">
        <is>
          <t>ÖREBRO LÄN</t>
        </is>
      </c>
      <c r="E2323" t="inlineStr">
        <is>
          <t>ÖREBRO</t>
        </is>
      </c>
      <c r="F2323" t="inlineStr">
        <is>
          <t>Övriga Aktiebolag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48941-2025</t>
        </is>
      </c>
      <c r="B2324" s="1" t="n">
        <v>45937.53335648148</v>
      </c>
      <c r="C2324" s="1" t="n">
        <v>46132</v>
      </c>
      <c r="D2324" t="inlineStr">
        <is>
          <t>ÖREBRO LÄN</t>
        </is>
      </c>
      <c r="E2324" t="inlineStr">
        <is>
          <t>LJUSNARSBERG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48953-2025</t>
        </is>
      </c>
      <c r="B2325" s="1" t="n">
        <v>45937.54697916667</v>
      </c>
      <c r="C2325" s="1" t="n">
        <v>46132</v>
      </c>
      <c r="D2325" t="inlineStr">
        <is>
          <t>ÖREBRO LÄN</t>
        </is>
      </c>
      <c r="E2325" t="inlineStr">
        <is>
          <t>LINDESBERG</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48971-2025</t>
        </is>
      </c>
      <c r="B2326" s="1" t="n">
        <v>45937.56420138889</v>
      </c>
      <c r="C2326" s="1" t="n">
        <v>46132</v>
      </c>
      <c r="D2326" t="inlineStr">
        <is>
          <t>ÖREBRO LÄN</t>
        </is>
      </c>
      <c r="E2326" t="inlineStr">
        <is>
          <t>LINDESBERG</t>
        </is>
      </c>
      <c r="F2326" t="inlineStr">
        <is>
          <t>Sveaskog</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48975-2025</t>
        </is>
      </c>
      <c r="B2327" s="1" t="n">
        <v>45937.56798611111</v>
      </c>
      <c r="C2327" s="1" t="n">
        <v>46132</v>
      </c>
      <c r="D2327" t="inlineStr">
        <is>
          <t>ÖREBRO LÄN</t>
        </is>
      </c>
      <c r="E2327" t="inlineStr">
        <is>
          <t>LINDESBERG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40430-2024</t>
        </is>
      </c>
      <c r="B2328" s="1" t="n">
        <v>45555.47060185186</v>
      </c>
      <c r="C2328" s="1" t="n">
        <v>46132</v>
      </c>
      <c r="D2328" t="inlineStr">
        <is>
          <t>ÖREBRO LÄN</t>
        </is>
      </c>
      <c r="E2328" t="inlineStr">
        <is>
          <t>LAXÅ</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31221-2025</t>
        </is>
      </c>
      <c r="B2329" s="1" t="n">
        <v>45832.76491898148</v>
      </c>
      <c r="C2329" s="1" t="n">
        <v>46132</v>
      </c>
      <c r="D2329" t="inlineStr">
        <is>
          <t>ÖREBRO LÄN</t>
        </is>
      </c>
      <c r="E2329" t="inlineStr">
        <is>
          <t>LINDESBERG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48993-2025</t>
        </is>
      </c>
      <c r="B2330" s="1" t="n">
        <v>45937.58590277778</v>
      </c>
      <c r="C2330" s="1" t="n">
        <v>46132</v>
      </c>
      <c r="D2330" t="inlineStr">
        <is>
          <t>ÖREBRO LÄN</t>
        </is>
      </c>
      <c r="E2330" t="inlineStr">
        <is>
          <t>LINDESBERG</t>
        </is>
      </c>
      <c r="F2330" t="inlineStr">
        <is>
          <t>Kyrkan</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31397-2025</t>
        </is>
      </c>
      <c r="B2331" s="1" t="n">
        <v>45833</v>
      </c>
      <c r="C2331" s="1" t="n">
        <v>46132</v>
      </c>
      <c r="D2331" t="inlineStr">
        <is>
          <t>ÖREBRO LÄN</t>
        </is>
      </c>
      <c r="E2331" t="inlineStr">
        <is>
          <t>KARLSKOGA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46607-2021</t>
        </is>
      </c>
      <c r="B2332" s="1" t="n">
        <v>44445.55690972223</v>
      </c>
      <c r="C2332" s="1" t="n">
        <v>46132</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49183-2025</t>
        </is>
      </c>
      <c r="B2333" s="1" t="n">
        <v>45938.39741898148</v>
      </c>
      <c r="C2333" s="1" t="n">
        <v>46132</v>
      </c>
      <c r="D2333" t="inlineStr">
        <is>
          <t>ÖREBRO LÄN</t>
        </is>
      </c>
      <c r="E2333" t="inlineStr">
        <is>
          <t>LINDESBERG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31664-2025</t>
        </is>
      </c>
      <c r="B2334" s="1" t="n">
        <v>45834.36265046296</v>
      </c>
      <c r="C2334" s="1" t="n">
        <v>46132</v>
      </c>
      <c r="D2334" t="inlineStr">
        <is>
          <t>ÖREBRO LÄN</t>
        </is>
      </c>
      <c r="E2334" t="inlineStr">
        <is>
          <t>ASKERSUND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18834-2025</t>
        </is>
      </c>
      <c r="B2335" s="1" t="n">
        <v>45764.39489583333</v>
      </c>
      <c r="C2335" s="1" t="n">
        <v>46132</v>
      </c>
      <c r="D2335" t="inlineStr">
        <is>
          <t>ÖREBRO LÄN</t>
        </is>
      </c>
      <c r="E2335" t="inlineStr">
        <is>
          <t>LAXÅ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12732-2022</t>
        </is>
      </c>
      <c r="B2336" s="1" t="n">
        <v>44641</v>
      </c>
      <c r="C2336" s="1" t="n">
        <v>46132</v>
      </c>
      <c r="D2336" t="inlineStr">
        <is>
          <t>ÖREBRO LÄN</t>
        </is>
      </c>
      <c r="E2336" t="inlineStr">
        <is>
          <t>ASKERSUND</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55879-2025</t>
        </is>
      </c>
      <c r="B2337" s="1" t="n">
        <v>45973.36508101852</v>
      </c>
      <c r="C2337" s="1" t="n">
        <v>46132</v>
      </c>
      <c r="D2337" t="inlineStr">
        <is>
          <t>ÖREBRO LÄN</t>
        </is>
      </c>
      <c r="E2337" t="inlineStr">
        <is>
          <t>ÖREBRO</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18927-2025</t>
        </is>
      </c>
      <c r="B2338" s="1" t="n">
        <v>45764.4846412037</v>
      </c>
      <c r="C2338" s="1" t="n">
        <v>46132</v>
      </c>
      <c r="D2338" t="inlineStr">
        <is>
          <t>ÖREBRO LÄN</t>
        </is>
      </c>
      <c r="E2338" t="inlineStr">
        <is>
          <t>HÄLLEFORS</t>
        </is>
      </c>
      <c r="F2338" t="inlineStr">
        <is>
          <t>Bergvik skog väst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18941-2025</t>
        </is>
      </c>
      <c r="B2339" s="1" t="n">
        <v>45764.495625</v>
      </c>
      <c r="C2339" s="1" t="n">
        <v>46132</v>
      </c>
      <c r="D2339" t="inlineStr">
        <is>
          <t>ÖREBRO LÄN</t>
        </is>
      </c>
      <c r="E2339" t="inlineStr">
        <is>
          <t>HÄLLEFORS</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48775-2025</t>
        </is>
      </c>
      <c r="B2340" s="1" t="n">
        <v>45937.00422453704</v>
      </c>
      <c r="C2340" s="1" t="n">
        <v>46132</v>
      </c>
      <c r="D2340" t="inlineStr">
        <is>
          <t>ÖREBRO LÄN</t>
        </is>
      </c>
      <c r="E2340" t="inlineStr">
        <is>
          <t>NORA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31220-2025</t>
        </is>
      </c>
      <c r="B2341" s="1" t="n">
        <v>45832.76100694444</v>
      </c>
      <c r="C2341" s="1" t="n">
        <v>46132</v>
      </c>
      <c r="D2341" t="inlineStr">
        <is>
          <t>ÖREBRO LÄN</t>
        </is>
      </c>
      <c r="E2341" t="inlineStr">
        <is>
          <t>LINDESBERG</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45216-2023</t>
        </is>
      </c>
      <c r="B2342" s="1" t="n">
        <v>45191</v>
      </c>
      <c r="C2342" s="1" t="n">
        <v>46132</v>
      </c>
      <c r="D2342" t="inlineStr">
        <is>
          <t>ÖREBRO LÄN</t>
        </is>
      </c>
      <c r="E2342" t="inlineStr">
        <is>
          <t>NORA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59736-2023</t>
        </is>
      </c>
      <c r="B2343" s="1" t="n">
        <v>45257.374375</v>
      </c>
      <c r="C2343" s="1" t="n">
        <v>46132</v>
      </c>
      <c r="D2343" t="inlineStr">
        <is>
          <t>ÖREBRO LÄN</t>
        </is>
      </c>
      <c r="E2343" t="inlineStr">
        <is>
          <t>ÖREBRO</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62972-2023</t>
        </is>
      </c>
      <c r="B2344" s="1" t="n">
        <v>45272</v>
      </c>
      <c r="C2344" s="1" t="n">
        <v>46132</v>
      </c>
      <c r="D2344" t="inlineStr">
        <is>
          <t>ÖREBRO LÄN</t>
        </is>
      </c>
      <c r="E2344" t="inlineStr">
        <is>
          <t>DEGERFORS</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49100-2025</t>
        </is>
      </c>
      <c r="B2345" s="1" t="n">
        <v>45937.71556712963</v>
      </c>
      <c r="C2345" s="1" t="n">
        <v>46132</v>
      </c>
      <c r="D2345" t="inlineStr">
        <is>
          <t>ÖREBRO LÄN</t>
        </is>
      </c>
      <c r="E2345" t="inlineStr">
        <is>
          <t>LINDESBERG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49110-2025</t>
        </is>
      </c>
      <c r="B2346" s="1" t="n">
        <v>45937.75648148148</v>
      </c>
      <c r="C2346" s="1" t="n">
        <v>46132</v>
      </c>
      <c r="D2346" t="inlineStr">
        <is>
          <t>ÖREBRO LÄN</t>
        </is>
      </c>
      <c r="E2346" t="inlineStr">
        <is>
          <t>ASKERSUND</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49112-2025</t>
        </is>
      </c>
      <c r="B2347" s="1" t="n">
        <v>45937.75783564815</v>
      </c>
      <c r="C2347" s="1" t="n">
        <v>46132</v>
      </c>
      <c r="D2347" t="inlineStr">
        <is>
          <t>ÖREBRO LÄN</t>
        </is>
      </c>
      <c r="E2347" t="inlineStr">
        <is>
          <t>ASKERSUND</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44811-2023</t>
        </is>
      </c>
      <c r="B2348" s="1" t="n">
        <v>45190</v>
      </c>
      <c r="C2348" s="1" t="n">
        <v>46132</v>
      </c>
      <c r="D2348" t="inlineStr">
        <is>
          <t>ÖREBRO LÄN</t>
        </is>
      </c>
      <c r="E2348" t="inlineStr">
        <is>
          <t>HALLSBERG</t>
        </is>
      </c>
      <c r="F2348" t="inlineStr">
        <is>
          <t>Allmännings- och besparingsskogar</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27051-2023</t>
        </is>
      </c>
      <c r="B2349" s="1" t="n">
        <v>45095</v>
      </c>
      <c r="C2349" s="1" t="n">
        <v>46132</v>
      </c>
      <c r="D2349" t="inlineStr">
        <is>
          <t>ÖREBRO LÄN</t>
        </is>
      </c>
      <c r="E2349" t="inlineStr">
        <is>
          <t>LINDESBERG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27052-2023</t>
        </is>
      </c>
      <c r="B2350" s="1" t="n">
        <v>45095</v>
      </c>
      <c r="C2350" s="1" t="n">
        <v>46132</v>
      </c>
      <c r="D2350" t="inlineStr">
        <is>
          <t>ÖREBRO LÄN</t>
        </is>
      </c>
      <c r="E2350" t="inlineStr">
        <is>
          <t>LINDESBERG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28004-2022</t>
        </is>
      </c>
      <c r="B2351" s="1" t="n">
        <v>44746.34457175926</v>
      </c>
      <c r="C2351" s="1" t="n">
        <v>46132</v>
      </c>
      <c r="D2351" t="inlineStr">
        <is>
          <t>ÖREBRO LÄN</t>
        </is>
      </c>
      <c r="E2351" t="inlineStr">
        <is>
          <t>HÄLLEFORS</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55453-2023</t>
        </is>
      </c>
      <c r="B2352" s="1" t="n">
        <v>45238</v>
      </c>
      <c r="C2352" s="1" t="n">
        <v>46132</v>
      </c>
      <c r="D2352" t="inlineStr">
        <is>
          <t>ÖREBRO LÄN</t>
        </is>
      </c>
      <c r="E2352" t="inlineStr">
        <is>
          <t>HÄLLEFORS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49091-2025</t>
        </is>
      </c>
      <c r="B2353" s="1" t="n">
        <v>45937.6756712963</v>
      </c>
      <c r="C2353" s="1" t="n">
        <v>46132</v>
      </c>
      <c r="D2353" t="inlineStr">
        <is>
          <t>ÖREBRO LÄN</t>
        </is>
      </c>
      <c r="E2353" t="inlineStr">
        <is>
          <t>HALLSBERG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31893-2022</t>
        </is>
      </c>
      <c r="B2354" s="1" t="n">
        <v>44777</v>
      </c>
      <c r="C2354" s="1" t="n">
        <v>46132</v>
      </c>
      <c r="D2354" t="inlineStr">
        <is>
          <t>ÖREBRO LÄN</t>
        </is>
      </c>
      <c r="E2354" t="inlineStr">
        <is>
          <t>HALLSBERG</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49111-2025</t>
        </is>
      </c>
      <c r="B2355" s="1" t="n">
        <v>45937.75732638889</v>
      </c>
      <c r="C2355" s="1" t="n">
        <v>46132</v>
      </c>
      <c r="D2355" t="inlineStr">
        <is>
          <t>ÖREBRO LÄN</t>
        </is>
      </c>
      <c r="E2355" t="inlineStr">
        <is>
          <t>ASKERSUND</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48934-2025</t>
        </is>
      </c>
      <c r="B2356" s="1" t="n">
        <v>45937.52383101852</v>
      </c>
      <c r="C2356" s="1" t="n">
        <v>46132</v>
      </c>
      <c r="D2356" t="inlineStr">
        <is>
          <t>ÖREBRO LÄN</t>
        </is>
      </c>
      <c r="E2356" t="inlineStr">
        <is>
          <t>LJUSNARSBERG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48969-2025</t>
        </is>
      </c>
      <c r="B2357" s="1" t="n">
        <v>45937.56372685185</v>
      </c>
      <c r="C2357" s="1" t="n">
        <v>46132</v>
      </c>
      <c r="D2357" t="inlineStr">
        <is>
          <t>ÖREBRO LÄN</t>
        </is>
      </c>
      <c r="E2357" t="inlineStr">
        <is>
          <t>LJUSNARSBERG</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41008-2024</t>
        </is>
      </c>
      <c r="B2358" s="1" t="n">
        <v>45559</v>
      </c>
      <c r="C2358" s="1" t="n">
        <v>46132</v>
      </c>
      <c r="D2358" t="inlineStr">
        <is>
          <t>ÖREBRO LÄN</t>
        </is>
      </c>
      <c r="E2358" t="inlineStr">
        <is>
          <t>LEKEBERG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32642-2025</t>
        </is>
      </c>
      <c r="B2359" s="1" t="n">
        <v>45838.66005787037</v>
      </c>
      <c r="C2359" s="1" t="n">
        <v>46132</v>
      </c>
      <c r="D2359" t="inlineStr">
        <is>
          <t>ÖREBRO LÄN</t>
        </is>
      </c>
      <c r="E2359" t="inlineStr">
        <is>
          <t>HALLSBERG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58710-2023</t>
        </is>
      </c>
      <c r="B2360" s="1" t="n">
        <v>45251.696875</v>
      </c>
      <c r="C2360" s="1" t="n">
        <v>46132</v>
      </c>
      <c r="D2360" t="inlineStr">
        <is>
          <t>ÖREBRO LÄN</t>
        </is>
      </c>
      <c r="E2360" t="inlineStr">
        <is>
          <t>LINDESBERG</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32217-2025</t>
        </is>
      </c>
      <c r="B2361" s="1" t="n">
        <v>45835.58846064815</v>
      </c>
      <c r="C2361" s="1" t="n">
        <v>46132</v>
      </c>
      <c r="D2361" t="inlineStr">
        <is>
          <t>ÖREBRO LÄN</t>
        </is>
      </c>
      <c r="E2361" t="inlineStr">
        <is>
          <t>HÄLLEFORS</t>
        </is>
      </c>
      <c r="F2361" t="inlineStr">
        <is>
          <t>Bergvik skog väst AB</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32606-2025</t>
        </is>
      </c>
      <c r="B2362" s="1" t="n">
        <v>45838.63046296296</v>
      </c>
      <c r="C2362" s="1" t="n">
        <v>46132</v>
      </c>
      <c r="D2362" t="inlineStr">
        <is>
          <t>ÖREBRO LÄN</t>
        </is>
      </c>
      <c r="E2362" t="inlineStr">
        <is>
          <t>HALLSBERG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48765-2025</t>
        </is>
      </c>
      <c r="B2363" s="1" t="n">
        <v>45936.85859953704</v>
      </c>
      <c r="C2363" s="1" t="n">
        <v>46132</v>
      </c>
      <c r="D2363" t="inlineStr">
        <is>
          <t>ÖREBRO LÄN</t>
        </is>
      </c>
      <c r="E2363" t="inlineStr">
        <is>
          <t>HÄLLEFORS</t>
        </is>
      </c>
      <c r="F2363" t="inlineStr">
        <is>
          <t>Bergvik skog väst AB</t>
        </is>
      </c>
      <c r="G2363" t="n">
        <v>17.6</v>
      </c>
      <c r="H2363" t="n">
        <v>0</v>
      </c>
      <c r="I2363" t="n">
        <v>0</v>
      </c>
      <c r="J2363" t="n">
        <v>0</v>
      </c>
      <c r="K2363" t="n">
        <v>0</v>
      </c>
      <c r="L2363" t="n">
        <v>0</v>
      </c>
      <c r="M2363" t="n">
        <v>0</v>
      </c>
      <c r="N2363" t="n">
        <v>0</v>
      </c>
      <c r="O2363" t="n">
        <v>0</v>
      </c>
      <c r="P2363" t="n">
        <v>0</v>
      </c>
      <c r="Q2363" t="n">
        <v>0</v>
      </c>
      <c r="R2363" s="2" t="inlineStr"/>
    </row>
    <row r="2364" ht="15" customHeight="1">
      <c r="A2364" t="inlineStr">
        <is>
          <t>A 27702-2025</t>
        </is>
      </c>
      <c r="B2364" s="1" t="n">
        <v>45813</v>
      </c>
      <c r="C2364" s="1" t="n">
        <v>46132</v>
      </c>
      <c r="D2364" t="inlineStr">
        <is>
          <t>ÖREBRO LÄN</t>
        </is>
      </c>
      <c r="E2364" t="inlineStr">
        <is>
          <t>LINDESBERG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5772-2023</t>
        </is>
      </c>
      <c r="B2365" s="1" t="n">
        <v>44963.37709490741</v>
      </c>
      <c r="C2365" s="1" t="n">
        <v>46132</v>
      </c>
      <c r="D2365" t="inlineStr">
        <is>
          <t>ÖREBRO LÄN</t>
        </is>
      </c>
      <c r="E2365" t="inlineStr">
        <is>
          <t>LINDESBERG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30747-2023</t>
        </is>
      </c>
      <c r="B2366" s="1" t="n">
        <v>45112</v>
      </c>
      <c r="C2366" s="1" t="n">
        <v>46132</v>
      </c>
      <c r="D2366" t="inlineStr">
        <is>
          <t>ÖREBRO LÄN</t>
        </is>
      </c>
      <c r="E2366" t="inlineStr">
        <is>
          <t>LEKEBERG</t>
        </is>
      </c>
      <c r="F2366" t="inlineStr">
        <is>
          <t>Allmännings- och besparingsskogar</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48867-2025</t>
        </is>
      </c>
      <c r="B2367" s="1" t="n">
        <v>45937.4484837963</v>
      </c>
      <c r="C2367" s="1" t="n">
        <v>46132</v>
      </c>
      <c r="D2367" t="inlineStr">
        <is>
          <t>ÖREBRO LÄN</t>
        </is>
      </c>
      <c r="E2367" t="inlineStr">
        <is>
          <t>LINDESBERG</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30802-2023</t>
        </is>
      </c>
      <c r="B2368" s="1" t="n">
        <v>45112</v>
      </c>
      <c r="C2368" s="1" t="n">
        <v>46132</v>
      </c>
      <c r="D2368" t="inlineStr">
        <is>
          <t>ÖREBRO LÄN</t>
        </is>
      </c>
      <c r="E2368" t="inlineStr">
        <is>
          <t>LEKEBERG</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49133-2025</t>
        </is>
      </c>
      <c r="B2369" s="1" t="n">
        <v>45937.92319444445</v>
      </c>
      <c r="C2369" s="1" t="n">
        <v>46132</v>
      </c>
      <c r="D2369" t="inlineStr">
        <is>
          <t>ÖREBRO LÄN</t>
        </is>
      </c>
      <c r="E2369" t="inlineStr">
        <is>
          <t>LINDESBERG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55355-2024</t>
        </is>
      </c>
      <c r="B2370" s="1" t="n">
        <v>45621.80475694445</v>
      </c>
      <c r="C2370" s="1" t="n">
        <v>46132</v>
      </c>
      <c r="D2370" t="inlineStr">
        <is>
          <t>ÖREBRO LÄN</t>
        </is>
      </c>
      <c r="E2370" t="inlineStr">
        <is>
          <t>ÖREBRO</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18889-2024</t>
        </is>
      </c>
      <c r="B2371" s="1" t="n">
        <v>45427.26467592592</v>
      </c>
      <c r="C2371" s="1" t="n">
        <v>46132</v>
      </c>
      <c r="D2371" t="inlineStr">
        <is>
          <t>ÖREBRO LÄN</t>
        </is>
      </c>
      <c r="E2371" t="inlineStr">
        <is>
          <t>HÄLLEFORS</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18891-2024</t>
        </is>
      </c>
      <c r="B2372" s="1" t="n">
        <v>45427.32009259259</v>
      </c>
      <c r="C2372" s="1" t="n">
        <v>46132</v>
      </c>
      <c r="D2372" t="inlineStr">
        <is>
          <t>ÖREBRO LÄN</t>
        </is>
      </c>
      <c r="E2372" t="inlineStr">
        <is>
          <t>HALLSBERG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11794-2023</t>
        </is>
      </c>
      <c r="B2373" s="1" t="n">
        <v>44994</v>
      </c>
      <c r="C2373" s="1" t="n">
        <v>46132</v>
      </c>
      <c r="D2373" t="inlineStr">
        <is>
          <t>ÖREBRO LÄN</t>
        </is>
      </c>
      <c r="E2373" t="inlineStr">
        <is>
          <t>LEKEBERG</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48943-2025</t>
        </is>
      </c>
      <c r="B2374" s="1" t="n">
        <v>45937.53585648148</v>
      </c>
      <c r="C2374" s="1" t="n">
        <v>46132</v>
      </c>
      <c r="D2374" t="inlineStr">
        <is>
          <t>ÖREBRO LÄN</t>
        </is>
      </c>
      <c r="E2374" t="inlineStr">
        <is>
          <t>LJUSNARSBERG</t>
        </is>
      </c>
      <c r="F2374" t="inlineStr">
        <is>
          <t>Sveaskog</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32504-2025</t>
        </is>
      </c>
      <c r="B2375" s="1" t="n">
        <v>45838.46456018519</v>
      </c>
      <c r="C2375" s="1" t="n">
        <v>46132</v>
      </c>
      <c r="D2375" t="inlineStr">
        <is>
          <t>ÖREBRO LÄN</t>
        </is>
      </c>
      <c r="E2375" t="inlineStr">
        <is>
          <t>LINDESBERG</t>
        </is>
      </c>
      <c r="F2375" t="inlineStr">
        <is>
          <t>Sveaskog</t>
        </is>
      </c>
      <c r="G2375" t="n">
        <v>16.9</v>
      </c>
      <c r="H2375" t="n">
        <v>0</v>
      </c>
      <c r="I2375" t="n">
        <v>0</v>
      </c>
      <c r="J2375" t="n">
        <v>0</v>
      </c>
      <c r="K2375" t="n">
        <v>0</v>
      </c>
      <c r="L2375" t="n">
        <v>0</v>
      </c>
      <c r="M2375" t="n">
        <v>0</v>
      </c>
      <c r="N2375" t="n">
        <v>0</v>
      </c>
      <c r="O2375" t="n">
        <v>0</v>
      </c>
      <c r="P2375" t="n">
        <v>0</v>
      </c>
      <c r="Q2375" t="n">
        <v>0</v>
      </c>
      <c r="R2375" s="2" t="inlineStr"/>
    </row>
    <row r="2376" ht="15" customHeight="1">
      <c r="A2376" t="inlineStr">
        <is>
          <t>A 17140-2022</t>
        </is>
      </c>
      <c r="B2376" s="1" t="n">
        <v>44677.53418981482</v>
      </c>
      <c r="C2376" s="1" t="n">
        <v>46132</v>
      </c>
      <c r="D2376" t="inlineStr">
        <is>
          <t>ÖREBRO LÄN</t>
        </is>
      </c>
      <c r="E2376" t="inlineStr">
        <is>
          <t>NORA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49707-2025</t>
        </is>
      </c>
      <c r="B2377" s="1" t="n">
        <v>45939.67951388889</v>
      </c>
      <c r="C2377" s="1" t="n">
        <v>46132</v>
      </c>
      <c r="D2377" t="inlineStr">
        <is>
          <t>ÖREBRO LÄN</t>
        </is>
      </c>
      <c r="E2377" t="inlineStr">
        <is>
          <t>LINDESBERG</t>
        </is>
      </c>
      <c r="F2377" t="inlineStr">
        <is>
          <t>Kommuner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49584-2025</t>
        </is>
      </c>
      <c r="B2378" s="1" t="n">
        <v>45939.50087962963</v>
      </c>
      <c r="C2378" s="1" t="n">
        <v>46132</v>
      </c>
      <c r="D2378" t="inlineStr">
        <is>
          <t>ÖREBRO LÄN</t>
        </is>
      </c>
      <c r="E2378" t="inlineStr">
        <is>
          <t>HALLSBERG</t>
        </is>
      </c>
      <c r="F2378" t="inlineStr">
        <is>
          <t>Sveaskog</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32140-2025</t>
        </is>
      </c>
      <c r="B2379" s="1" t="n">
        <v>45835.52280092592</v>
      </c>
      <c r="C2379" s="1" t="n">
        <v>46132</v>
      </c>
      <c r="D2379" t="inlineStr">
        <is>
          <t>ÖREBRO LÄN</t>
        </is>
      </c>
      <c r="E2379" t="inlineStr">
        <is>
          <t>ASKERSUND</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49444-2025</t>
        </is>
      </c>
      <c r="B2380" s="1" t="n">
        <v>45938.92496527778</v>
      </c>
      <c r="C2380" s="1" t="n">
        <v>46132</v>
      </c>
      <c r="D2380" t="inlineStr">
        <is>
          <t>ÖREBRO LÄN</t>
        </is>
      </c>
      <c r="E2380" t="inlineStr">
        <is>
          <t>LAXÅ</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49445-2025</t>
        </is>
      </c>
      <c r="B2381" s="1" t="n">
        <v>45938.9259375</v>
      </c>
      <c r="C2381" s="1" t="n">
        <v>46132</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49029-2024</t>
        </is>
      </c>
      <c r="B2382" s="1" t="n">
        <v>45594</v>
      </c>
      <c r="C2382" s="1" t="n">
        <v>46132</v>
      </c>
      <c r="D2382" t="inlineStr">
        <is>
          <t>ÖREBRO LÄN</t>
        </is>
      </c>
      <c r="E2382" t="inlineStr">
        <is>
          <t>ÖREBRO</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39873-2024</t>
        </is>
      </c>
      <c r="B2383" s="1" t="n">
        <v>45553</v>
      </c>
      <c r="C2383" s="1" t="n">
        <v>46132</v>
      </c>
      <c r="D2383" t="inlineStr">
        <is>
          <t>ÖREBRO LÄN</t>
        </is>
      </c>
      <c r="E2383" t="inlineStr">
        <is>
          <t>LEKEBERG</t>
        </is>
      </c>
      <c r="F2383" t="inlineStr">
        <is>
          <t>Sveaskog</t>
        </is>
      </c>
      <c r="G2383" t="n">
        <v>3.2</v>
      </c>
      <c r="H2383" t="n">
        <v>0</v>
      </c>
      <c r="I2383" t="n">
        <v>0</v>
      </c>
      <c r="J2383" t="n">
        <v>0</v>
      </c>
      <c r="K2383" t="n">
        <v>0</v>
      </c>
      <c r="L2383" t="n">
        <v>0</v>
      </c>
      <c r="M2383" t="n">
        <v>0</v>
      </c>
      <c r="N2383" t="n">
        <v>0</v>
      </c>
      <c r="O2383" t="n">
        <v>0</v>
      </c>
      <c r="P2383" t="n">
        <v>0</v>
      </c>
      <c r="Q2383" t="n">
        <v>0</v>
      </c>
      <c r="R2383" s="2" t="inlineStr"/>
      <c r="U2383">
        <f>HYPERLINK("https://klasma.github.io/Logging_1814/knärot/A 39873-2024 karta knärot.png", "A 39873-2024")</f>
        <v/>
      </c>
      <c r="V2383">
        <f>HYPERLINK("https://klasma.github.io/Logging_1814/klagomål/A 39873-2024 FSC-klagomål.docx", "A 39873-2024")</f>
        <v/>
      </c>
      <c r="W2383">
        <f>HYPERLINK("https://klasma.github.io/Logging_1814/klagomålsmail/A 39873-2024 FSC-klagomål mail.docx", "A 39873-2024")</f>
        <v/>
      </c>
      <c r="X2383">
        <f>HYPERLINK("https://klasma.github.io/Logging_1814/tillsyn/A 39873-2024 tillsynsbegäran.docx", "A 39873-2024")</f>
        <v/>
      </c>
      <c r="Y2383">
        <f>HYPERLINK("https://klasma.github.io/Logging_1814/tillsynsmail/A 39873-2024 tillsynsbegäran mail.docx", "A 39873-2024")</f>
        <v/>
      </c>
    </row>
    <row r="2384" ht="15" customHeight="1">
      <c r="A2384" t="inlineStr">
        <is>
          <t>A 32284-2025</t>
        </is>
      </c>
      <c r="B2384" s="1" t="n">
        <v>45835.68443287037</v>
      </c>
      <c r="C2384" s="1" t="n">
        <v>46132</v>
      </c>
      <c r="D2384" t="inlineStr">
        <is>
          <t>ÖREBRO LÄN</t>
        </is>
      </c>
      <c r="E2384" t="inlineStr">
        <is>
          <t>LINDESBERG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20210-2024</t>
        </is>
      </c>
      <c r="B2385" s="1" t="n">
        <v>45434.65854166666</v>
      </c>
      <c r="C2385" s="1" t="n">
        <v>46132</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32287-2025</t>
        </is>
      </c>
      <c r="B2386" s="1" t="n">
        <v>45835.6914699074</v>
      </c>
      <c r="C2386" s="1" t="n">
        <v>46132</v>
      </c>
      <c r="D2386" t="inlineStr">
        <is>
          <t>ÖREBRO LÄN</t>
        </is>
      </c>
      <c r="E2386" t="inlineStr">
        <is>
          <t>KARLSKOGA</t>
        </is>
      </c>
      <c r="F2386" t="inlineStr">
        <is>
          <t>Kyrkan</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24921-2023</t>
        </is>
      </c>
      <c r="B2387" s="1" t="n">
        <v>45085</v>
      </c>
      <c r="C2387" s="1" t="n">
        <v>46132</v>
      </c>
      <c r="D2387" t="inlineStr">
        <is>
          <t>ÖREBRO LÄN</t>
        </is>
      </c>
      <c r="E2387" t="inlineStr">
        <is>
          <t>LJUSNARSBERG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32300-2025</t>
        </is>
      </c>
      <c r="B2388" s="1" t="n">
        <v>45835.71607638889</v>
      </c>
      <c r="C2388" s="1" t="n">
        <v>46132</v>
      </c>
      <c r="D2388" t="inlineStr">
        <is>
          <t>ÖREBRO LÄN</t>
        </is>
      </c>
      <c r="E2388" t="inlineStr">
        <is>
          <t>DEGERFORS</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32145-2025</t>
        </is>
      </c>
      <c r="B2389" s="1" t="n">
        <v>45835.52680555556</v>
      </c>
      <c r="C2389" s="1" t="n">
        <v>46132</v>
      </c>
      <c r="D2389" t="inlineStr">
        <is>
          <t>ÖREBRO LÄN</t>
        </is>
      </c>
      <c r="E2389" t="inlineStr">
        <is>
          <t>ASKERSUND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32218-2025</t>
        </is>
      </c>
      <c r="B2390" s="1" t="n">
        <v>45835.58880787037</v>
      </c>
      <c r="C2390" s="1" t="n">
        <v>46132</v>
      </c>
      <c r="D2390" t="inlineStr">
        <is>
          <t>ÖREBRO LÄN</t>
        </is>
      </c>
      <c r="E2390" t="inlineStr">
        <is>
          <t>ÖREBRO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32502-2025</t>
        </is>
      </c>
      <c r="B2391" s="1" t="n">
        <v>45838.46408564815</v>
      </c>
      <c r="C2391" s="1" t="n">
        <v>46132</v>
      </c>
      <c r="D2391" t="inlineStr">
        <is>
          <t>ÖREBRO LÄN</t>
        </is>
      </c>
      <c r="E2391" t="inlineStr">
        <is>
          <t>LINDESBERG</t>
        </is>
      </c>
      <c r="F2391" t="inlineStr">
        <is>
          <t>Sveaskog</t>
        </is>
      </c>
      <c r="G2391" t="n">
        <v>17.7</v>
      </c>
      <c r="H2391" t="n">
        <v>0</v>
      </c>
      <c r="I2391" t="n">
        <v>0</v>
      </c>
      <c r="J2391" t="n">
        <v>0</v>
      </c>
      <c r="K2391" t="n">
        <v>0</v>
      </c>
      <c r="L2391" t="n">
        <v>0</v>
      </c>
      <c r="M2391" t="n">
        <v>0</v>
      </c>
      <c r="N2391" t="n">
        <v>0</v>
      </c>
      <c r="O2391" t="n">
        <v>0</v>
      </c>
      <c r="P2391" t="n">
        <v>0</v>
      </c>
      <c r="Q2391" t="n">
        <v>0</v>
      </c>
      <c r="R2391" s="2" t="inlineStr"/>
    </row>
    <row r="2392" ht="15" customHeight="1">
      <c r="A2392" t="inlineStr">
        <is>
          <t>A 20115-2024</t>
        </is>
      </c>
      <c r="B2392" s="1" t="n">
        <v>45434</v>
      </c>
      <c r="C2392" s="1" t="n">
        <v>46132</v>
      </c>
      <c r="D2392" t="inlineStr">
        <is>
          <t>ÖREBRO LÄN</t>
        </is>
      </c>
      <c r="E2392" t="inlineStr">
        <is>
          <t>ÖREBRO</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46174-2021</t>
        </is>
      </c>
      <c r="B2393" s="1" t="n">
        <v>44442</v>
      </c>
      <c r="C2393" s="1" t="n">
        <v>46132</v>
      </c>
      <c r="D2393" t="inlineStr">
        <is>
          <t>ÖREBRO LÄN</t>
        </is>
      </c>
      <c r="E2393" t="inlineStr">
        <is>
          <t>ASKERSUND</t>
        </is>
      </c>
      <c r="G2393" t="n">
        <v>15.7</v>
      </c>
      <c r="H2393" t="n">
        <v>0</v>
      </c>
      <c r="I2393" t="n">
        <v>0</v>
      </c>
      <c r="J2393" t="n">
        <v>0</v>
      </c>
      <c r="K2393" t="n">
        <v>0</v>
      </c>
      <c r="L2393" t="n">
        <v>0</v>
      </c>
      <c r="M2393" t="n">
        <v>0</v>
      </c>
      <c r="N2393" t="n">
        <v>0</v>
      </c>
      <c r="O2393" t="n">
        <v>0</v>
      </c>
      <c r="P2393" t="n">
        <v>0</v>
      </c>
      <c r="Q2393" t="n">
        <v>0</v>
      </c>
      <c r="R2393" s="2" t="inlineStr"/>
    </row>
    <row r="2394" ht="15" customHeight="1">
      <c r="A2394" t="inlineStr">
        <is>
          <t>A 49946-2025</t>
        </is>
      </c>
      <c r="B2394" s="1" t="n">
        <v>45940.69862268519</v>
      </c>
      <c r="C2394" s="1" t="n">
        <v>46132</v>
      </c>
      <c r="D2394" t="inlineStr">
        <is>
          <t>ÖREBRO LÄN</t>
        </is>
      </c>
      <c r="E2394" t="inlineStr">
        <is>
          <t>LINDESBERG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50377-2024</t>
        </is>
      </c>
      <c r="B2395" s="1" t="n">
        <v>45601.29576388889</v>
      </c>
      <c r="C2395" s="1" t="n">
        <v>46132</v>
      </c>
      <c r="D2395" t="inlineStr">
        <is>
          <t>ÖREBRO LÄN</t>
        </is>
      </c>
      <c r="E2395" t="inlineStr">
        <is>
          <t>DEGERFORS</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32126-2025</t>
        </is>
      </c>
      <c r="B2396" s="1" t="n">
        <v>45835</v>
      </c>
      <c r="C2396" s="1" t="n">
        <v>46132</v>
      </c>
      <c r="D2396" t="inlineStr">
        <is>
          <t>ÖREBRO LÄN</t>
        </is>
      </c>
      <c r="E2396" t="inlineStr">
        <is>
          <t>ASKERSUND</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49924-2025</t>
        </is>
      </c>
      <c r="B2397" s="1" t="n">
        <v>45940.64311342593</v>
      </c>
      <c r="C2397" s="1" t="n">
        <v>46132</v>
      </c>
      <c r="D2397" t="inlineStr">
        <is>
          <t>ÖREBRO LÄN</t>
        </is>
      </c>
      <c r="E2397" t="inlineStr">
        <is>
          <t>ASKERSUND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55875-2024</t>
        </is>
      </c>
      <c r="B2398" s="1" t="n">
        <v>45623.55375</v>
      </c>
      <c r="C2398" s="1" t="n">
        <v>46132</v>
      </c>
      <c r="D2398" t="inlineStr">
        <is>
          <t>ÖREBRO LÄN</t>
        </is>
      </c>
      <c r="E2398" t="inlineStr">
        <is>
          <t>ÖREBRO</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49944-2025</t>
        </is>
      </c>
      <c r="B2399" s="1" t="n">
        <v>45940.69643518519</v>
      </c>
      <c r="C2399" s="1" t="n">
        <v>46132</v>
      </c>
      <c r="D2399" t="inlineStr">
        <is>
          <t>ÖREBRO LÄN</t>
        </is>
      </c>
      <c r="E2399" t="inlineStr">
        <is>
          <t>LINDESBERG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49947-2025</t>
        </is>
      </c>
      <c r="B2400" s="1" t="n">
        <v>45940.70018518518</v>
      </c>
      <c r="C2400" s="1" t="n">
        <v>46132</v>
      </c>
      <c r="D2400" t="inlineStr">
        <is>
          <t>ÖREBRO LÄN</t>
        </is>
      </c>
      <c r="E2400" t="inlineStr">
        <is>
          <t>LINDESBERG</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3643-2023</t>
        </is>
      </c>
      <c r="B2401" s="1" t="n">
        <v>44950.69260416667</v>
      </c>
      <c r="C2401" s="1" t="n">
        <v>46132</v>
      </c>
      <c r="D2401" t="inlineStr">
        <is>
          <t>ÖREBRO LÄN</t>
        </is>
      </c>
      <c r="E2401" t="inlineStr">
        <is>
          <t>LEKEBERG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14208-2025</t>
        </is>
      </c>
      <c r="B2402" s="1" t="n">
        <v>45740.57796296296</v>
      </c>
      <c r="C2402" s="1" t="n">
        <v>46132</v>
      </c>
      <c r="D2402" t="inlineStr">
        <is>
          <t>ÖREBRO LÄN</t>
        </is>
      </c>
      <c r="E2402" t="inlineStr">
        <is>
          <t>LAXÅ</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26340-2022</t>
        </is>
      </c>
      <c r="B2403" s="1" t="n">
        <v>44735.62539351852</v>
      </c>
      <c r="C2403" s="1" t="n">
        <v>46132</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32188-2025</t>
        </is>
      </c>
      <c r="B2404" s="1" t="n">
        <v>45835.56965277778</v>
      </c>
      <c r="C2404" s="1" t="n">
        <v>46132</v>
      </c>
      <c r="D2404" t="inlineStr">
        <is>
          <t>ÖREBRO LÄN</t>
        </is>
      </c>
      <c r="E2404" t="inlineStr">
        <is>
          <t>ÖREBRO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32195-2025</t>
        </is>
      </c>
      <c r="B2405" s="1" t="n">
        <v>45835.57407407407</v>
      </c>
      <c r="C2405" s="1" t="n">
        <v>46132</v>
      </c>
      <c r="D2405" t="inlineStr">
        <is>
          <t>ÖREBRO LÄN</t>
        </is>
      </c>
      <c r="E2405" t="inlineStr">
        <is>
          <t>ÖREBRO</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32501-2025</t>
        </is>
      </c>
      <c r="B2406" s="1" t="n">
        <v>45838.46260416666</v>
      </c>
      <c r="C2406" s="1" t="n">
        <v>46132</v>
      </c>
      <c r="D2406" t="inlineStr">
        <is>
          <t>ÖREBRO LÄN</t>
        </is>
      </c>
      <c r="E2406" t="inlineStr">
        <is>
          <t>NORA</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23536-2023</t>
        </is>
      </c>
      <c r="B2407" s="1" t="n">
        <v>45077</v>
      </c>
      <c r="C2407" s="1" t="n">
        <v>46132</v>
      </c>
      <c r="D2407" t="inlineStr">
        <is>
          <t>ÖREBRO LÄN</t>
        </is>
      </c>
      <c r="E2407" t="inlineStr">
        <is>
          <t>LINDESBERG</t>
        </is>
      </c>
      <c r="F2407" t="inlineStr">
        <is>
          <t>Kyrkan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56308-2025</t>
        </is>
      </c>
      <c r="B2408" s="1" t="n">
        <v>45974.61344907407</v>
      </c>
      <c r="C2408" s="1" t="n">
        <v>46132</v>
      </c>
      <c r="D2408" t="inlineStr">
        <is>
          <t>ÖREBRO LÄN</t>
        </is>
      </c>
      <c r="E2408" t="inlineStr">
        <is>
          <t>LINDESBERG</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33200-2025</t>
        </is>
      </c>
      <c r="B2409" s="1" t="n">
        <v>45840.60550925926</v>
      </c>
      <c r="C2409" s="1" t="n">
        <v>46132</v>
      </c>
      <c r="D2409" t="inlineStr">
        <is>
          <t>ÖREBRO LÄN</t>
        </is>
      </c>
      <c r="E2409" t="inlineStr">
        <is>
          <t>ASKERSUND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33204-2025</t>
        </is>
      </c>
      <c r="B2410" s="1" t="n">
        <v>45840.61181712963</v>
      </c>
      <c r="C2410" s="1" t="n">
        <v>46132</v>
      </c>
      <c r="D2410" t="inlineStr">
        <is>
          <t>ÖREBRO LÄN</t>
        </is>
      </c>
      <c r="E2410" t="inlineStr">
        <is>
          <t>LEKEBERG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49582-2025</t>
        </is>
      </c>
      <c r="B2411" s="1" t="n">
        <v>45939.49789351852</v>
      </c>
      <c r="C2411" s="1" t="n">
        <v>46132</v>
      </c>
      <c r="D2411" t="inlineStr">
        <is>
          <t>ÖREBRO LÄN</t>
        </is>
      </c>
      <c r="E2411" t="inlineStr">
        <is>
          <t>HALLSBERG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61969-2023</t>
        </is>
      </c>
      <c r="B2412" s="1" t="n">
        <v>45266.58394675926</v>
      </c>
      <c r="C2412" s="1" t="n">
        <v>46132</v>
      </c>
      <c r="D2412" t="inlineStr">
        <is>
          <t>ÖREBRO LÄN</t>
        </is>
      </c>
      <c r="E2412" t="inlineStr">
        <is>
          <t>LINDESBERG</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32880-2025</t>
        </is>
      </c>
      <c r="B2413" s="1" t="n">
        <v>45839.59601851852</v>
      </c>
      <c r="C2413" s="1" t="n">
        <v>46132</v>
      </c>
      <c r="D2413" t="inlineStr">
        <is>
          <t>ÖREBRO LÄN</t>
        </is>
      </c>
      <c r="E2413" t="inlineStr">
        <is>
          <t>LJUSNARSBERG</t>
        </is>
      </c>
      <c r="F2413" t="inlineStr">
        <is>
          <t>Kommuner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49943-2025</t>
        </is>
      </c>
      <c r="B2414" s="1" t="n">
        <v>45940.69521990741</v>
      </c>
      <c r="C2414" s="1" t="n">
        <v>46132</v>
      </c>
      <c r="D2414" t="inlineStr">
        <is>
          <t>ÖREBRO LÄN</t>
        </is>
      </c>
      <c r="E2414" t="inlineStr">
        <is>
          <t>LINDESBERG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33046-2025</t>
        </is>
      </c>
      <c r="B2415" s="1" t="n">
        <v>45840</v>
      </c>
      <c r="C2415" s="1" t="n">
        <v>46132</v>
      </c>
      <c r="D2415" t="inlineStr">
        <is>
          <t>ÖREBRO LÄN</t>
        </is>
      </c>
      <c r="E2415" t="inlineStr">
        <is>
          <t>LINDESBERG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18627-2025</t>
        </is>
      </c>
      <c r="B2416" s="1" t="n">
        <v>45763.53284722222</v>
      </c>
      <c r="C2416" s="1" t="n">
        <v>46132</v>
      </c>
      <c r="D2416" t="inlineStr">
        <is>
          <t>ÖREBRO LÄN</t>
        </is>
      </c>
      <c r="E2416" t="inlineStr">
        <is>
          <t>HÄLLEFORS</t>
        </is>
      </c>
      <c r="F2416" t="inlineStr">
        <is>
          <t>Bergvik skog väst AB</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23710-2022</t>
        </is>
      </c>
      <c r="B2417" s="1" t="n">
        <v>44722</v>
      </c>
      <c r="C2417" s="1" t="n">
        <v>46132</v>
      </c>
      <c r="D2417" t="inlineStr">
        <is>
          <t>ÖREBRO LÄN</t>
        </is>
      </c>
      <c r="E2417" t="inlineStr">
        <is>
          <t>ÖREBRO</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6902-2023</t>
        </is>
      </c>
      <c r="B2418" s="1" t="n">
        <v>44967.51108796296</v>
      </c>
      <c r="C2418" s="1" t="n">
        <v>46132</v>
      </c>
      <c r="D2418" t="inlineStr">
        <is>
          <t>ÖREBRO LÄN</t>
        </is>
      </c>
      <c r="E2418" t="inlineStr">
        <is>
          <t>ASKERSUND</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29669-2025</t>
        </is>
      </c>
      <c r="B2419" s="1" t="n">
        <v>45825</v>
      </c>
      <c r="C2419" s="1" t="n">
        <v>46132</v>
      </c>
      <c r="D2419" t="inlineStr">
        <is>
          <t>ÖREBRO LÄN</t>
        </is>
      </c>
      <c r="E2419" t="inlineStr">
        <is>
          <t>NORA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32727-2024</t>
        </is>
      </c>
      <c r="B2420" s="1" t="n">
        <v>45516.4221412037</v>
      </c>
      <c r="C2420" s="1" t="n">
        <v>46132</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6962-2023</t>
        </is>
      </c>
      <c r="B2421" s="1" t="n">
        <v>44967.60165509259</v>
      </c>
      <c r="C2421" s="1" t="n">
        <v>46132</v>
      </c>
      <c r="D2421" t="inlineStr">
        <is>
          <t>ÖREBRO LÄN</t>
        </is>
      </c>
      <c r="E2421" t="inlineStr">
        <is>
          <t>LINDESBERG</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4587-2023</t>
        </is>
      </c>
      <c r="B2422" s="1" t="n">
        <v>44956.8174537037</v>
      </c>
      <c r="C2422" s="1" t="n">
        <v>46132</v>
      </c>
      <c r="D2422" t="inlineStr">
        <is>
          <t>ÖREBRO LÄN</t>
        </is>
      </c>
      <c r="E2422" t="inlineStr">
        <is>
          <t>HALLSBERG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32717-2025</t>
        </is>
      </c>
      <c r="B2423" s="1" t="n">
        <v>45839.37686342592</v>
      </c>
      <c r="C2423" s="1" t="n">
        <v>46132</v>
      </c>
      <c r="D2423" t="inlineStr">
        <is>
          <t>ÖREBRO LÄN</t>
        </is>
      </c>
      <c r="E2423" t="inlineStr">
        <is>
          <t>DEGERFORS</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50578-2024</t>
        </is>
      </c>
      <c r="B2424" s="1" t="n">
        <v>45601</v>
      </c>
      <c r="C2424" s="1" t="n">
        <v>46132</v>
      </c>
      <c r="D2424" t="inlineStr">
        <is>
          <t>ÖREBRO LÄN</t>
        </is>
      </c>
      <c r="E2424" t="inlineStr">
        <is>
          <t>LAXÅ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33191-2025</t>
        </is>
      </c>
      <c r="B2425" s="1" t="n">
        <v>45840.6003587963</v>
      </c>
      <c r="C2425" s="1" t="n">
        <v>46132</v>
      </c>
      <c r="D2425" t="inlineStr">
        <is>
          <t>ÖREBRO LÄN</t>
        </is>
      </c>
      <c r="E2425" t="inlineStr">
        <is>
          <t>ÖREBRO</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50023-2025</t>
        </is>
      </c>
      <c r="B2426" s="1" t="n">
        <v>45943.37494212963</v>
      </c>
      <c r="C2426" s="1" t="n">
        <v>46132</v>
      </c>
      <c r="D2426" t="inlineStr">
        <is>
          <t>ÖREBRO LÄN</t>
        </is>
      </c>
      <c r="E2426" t="inlineStr">
        <is>
          <t>LJUSNARSBERG</t>
        </is>
      </c>
      <c r="F2426" t="inlineStr">
        <is>
          <t>Bergvik skog väst AB</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3309-2024</t>
        </is>
      </c>
      <c r="B2427" s="1" t="n">
        <v>45317</v>
      </c>
      <c r="C2427" s="1" t="n">
        <v>46132</v>
      </c>
      <c r="D2427" t="inlineStr">
        <is>
          <t>ÖREBRO LÄN</t>
        </is>
      </c>
      <c r="E2427" t="inlineStr">
        <is>
          <t>NORA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33195-2025</t>
        </is>
      </c>
      <c r="B2428" s="1" t="n">
        <v>45840.60313657407</v>
      </c>
      <c r="C2428" s="1" t="n">
        <v>46132</v>
      </c>
      <c r="D2428" t="inlineStr">
        <is>
          <t>ÖREBRO LÄN</t>
        </is>
      </c>
      <c r="E2428" t="inlineStr">
        <is>
          <t>ASKERSUND</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18938-2022</t>
        </is>
      </c>
      <c r="B2429" s="1" t="n">
        <v>44690</v>
      </c>
      <c r="C2429" s="1" t="n">
        <v>46132</v>
      </c>
      <c r="D2429" t="inlineStr">
        <is>
          <t>ÖREBRO LÄN</t>
        </is>
      </c>
      <c r="E2429" t="inlineStr">
        <is>
          <t>LJUSNARSBERG</t>
        </is>
      </c>
      <c r="F2429" t="inlineStr">
        <is>
          <t>Bergvik skog väst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56226-2025</t>
        </is>
      </c>
      <c r="B2430" s="1" t="n">
        <v>45974.51283564815</v>
      </c>
      <c r="C2430" s="1" t="n">
        <v>46132</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32813-2025</t>
        </is>
      </c>
      <c r="B2431" s="1" t="n">
        <v>45839.51949074074</v>
      </c>
      <c r="C2431" s="1" t="n">
        <v>46132</v>
      </c>
      <c r="D2431" t="inlineStr">
        <is>
          <t>ÖREBRO LÄN</t>
        </is>
      </c>
      <c r="E2431" t="inlineStr">
        <is>
          <t>HÄLLEFORS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32426-2025</t>
        </is>
      </c>
      <c r="B2432" s="1" t="n">
        <v>45838.36179398148</v>
      </c>
      <c r="C2432" s="1" t="n">
        <v>46132</v>
      </c>
      <c r="D2432" t="inlineStr">
        <is>
          <t>ÖREBRO LÄN</t>
        </is>
      </c>
      <c r="E2432" t="inlineStr">
        <is>
          <t>ÖREBRO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10470-2025</t>
        </is>
      </c>
      <c r="B2433" s="1" t="n">
        <v>45720</v>
      </c>
      <c r="C2433" s="1" t="n">
        <v>46132</v>
      </c>
      <c r="D2433" t="inlineStr">
        <is>
          <t>ÖREBRO LÄN</t>
        </is>
      </c>
      <c r="E2433" t="inlineStr">
        <is>
          <t>ÖREBRO</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46056-2024</t>
        </is>
      </c>
      <c r="B2434" s="1" t="n">
        <v>45580.91502314815</v>
      </c>
      <c r="C2434" s="1" t="n">
        <v>46132</v>
      </c>
      <c r="D2434" t="inlineStr">
        <is>
          <t>ÖREBRO LÄN</t>
        </is>
      </c>
      <c r="E2434" t="inlineStr">
        <is>
          <t>ÖREBRO</t>
        </is>
      </c>
      <c r="F2434" t="inlineStr">
        <is>
          <t>Övriga Aktiebolag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46085-2024</t>
        </is>
      </c>
      <c r="B2435" s="1" t="n">
        <v>45581</v>
      </c>
      <c r="C2435" s="1" t="n">
        <v>46132</v>
      </c>
      <c r="D2435" t="inlineStr">
        <is>
          <t>ÖREBRO LÄN</t>
        </is>
      </c>
      <c r="E2435" t="inlineStr">
        <is>
          <t>LJUSNARSBERG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63213-2023</t>
        </is>
      </c>
      <c r="B2436" s="1" t="n">
        <v>45272</v>
      </c>
      <c r="C2436" s="1" t="n">
        <v>46132</v>
      </c>
      <c r="D2436" t="inlineStr">
        <is>
          <t>ÖREBRO LÄN</t>
        </is>
      </c>
      <c r="E2436" t="inlineStr">
        <is>
          <t>HALLSBERG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41456-2023</t>
        </is>
      </c>
      <c r="B2437" s="1" t="n">
        <v>45175.39209490741</v>
      </c>
      <c r="C2437" s="1" t="n">
        <v>46132</v>
      </c>
      <c r="D2437" t="inlineStr">
        <is>
          <t>ÖREBRO LÄN</t>
        </is>
      </c>
      <c r="E2437" t="inlineStr">
        <is>
          <t>LAXÅ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7180-2023</t>
        </is>
      </c>
      <c r="B2438" s="1" t="n">
        <v>44970.51849537037</v>
      </c>
      <c r="C2438" s="1" t="n">
        <v>46132</v>
      </c>
      <c r="D2438" t="inlineStr">
        <is>
          <t>ÖREBRO LÄN</t>
        </is>
      </c>
      <c r="E2438" t="inlineStr">
        <is>
          <t>LINDESBERG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9295-2025</t>
        </is>
      </c>
      <c r="B2439" s="1" t="n">
        <v>45714</v>
      </c>
      <c r="C2439" s="1" t="n">
        <v>46132</v>
      </c>
      <c r="D2439" t="inlineStr">
        <is>
          <t>ÖREBRO LÄN</t>
        </is>
      </c>
      <c r="E2439" t="inlineStr">
        <is>
          <t>NORA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13355-2023</t>
        </is>
      </c>
      <c r="B2440" s="1" t="n">
        <v>45004</v>
      </c>
      <c r="C2440" s="1" t="n">
        <v>46132</v>
      </c>
      <c r="D2440" t="inlineStr">
        <is>
          <t>ÖREBRO LÄN</t>
        </is>
      </c>
      <c r="E2440" t="inlineStr">
        <is>
          <t>ÖREBRO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33282-2025</t>
        </is>
      </c>
      <c r="B2441" s="1" t="n">
        <v>45840.71344907407</v>
      </c>
      <c r="C2441" s="1" t="n">
        <v>46132</v>
      </c>
      <c r="D2441" t="inlineStr">
        <is>
          <t>ÖREBRO LÄN</t>
        </is>
      </c>
      <c r="E2441" t="inlineStr">
        <is>
          <t>LAXÅ</t>
        </is>
      </c>
      <c r="F2441" t="inlineStr">
        <is>
          <t>Allmännings- och besparingsskogar</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7661-2024</t>
        </is>
      </c>
      <c r="B2442" s="1" t="n">
        <v>45348</v>
      </c>
      <c r="C2442" s="1" t="n">
        <v>46132</v>
      </c>
      <c r="D2442" t="inlineStr">
        <is>
          <t>ÖREBRO LÄN</t>
        </is>
      </c>
      <c r="E2442" t="inlineStr">
        <is>
          <t>LINDESBERG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32904-2025</t>
        </is>
      </c>
      <c r="B2443" s="1" t="n">
        <v>45839</v>
      </c>
      <c r="C2443" s="1" t="n">
        <v>46132</v>
      </c>
      <c r="D2443" t="inlineStr">
        <is>
          <t>ÖREBRO LÄN</t>
        </is>
      </c>
      <c r="E2443" t="inlineStr">
        <is>
          <t>ÖREBRO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32870-2025</t>
        </is>
      </c>
      <c r="B2444" s="1" t="n">
        <v>45839.58939814815</v>
      </c>
      <c r="C2444" s="1" t="n">
        <v>46132</v>
      </c>
      <c r="D2444" t="inlineStr">
        <is>
          <t>ÖREBRO LÄN</t>
        </is>
      </c>
      <c r="E2444" t="inlineStr">
        <is>
          <t>KARLSKOGA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56306-2025</t>
        </is>
      </c>
      <c r="B2445" s="1" t="n">
        <v>45974.61217592593</v>
      </c>
      <c r="C2445" s="1" t="n">
        <v>46132</v>
      </c>
      <c r="D2445" t="inlineStr">
        <is>
          <t>ÖREBRO LÄN</t>
        </is>
      </c>
      <c r="E2445" t="inlineStr">
        <is>
          <t>LINDESBERG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32808-2025</t>
        </is>
      </c>
      <c r="B2446" s="1" t="n">
        <v>45839.50719907408</v>
      </c>
      <c r="C2446" s="1" t="n">
        <v>46132</v>
      </c>
      <c r="D2446" t="inlineStr">
        <is>
          <t>ÖREBRO LÄN</t>
        </is>
      </c>
      <c r="E2446" t="inlineStr">
        <is>
          <t>HÄLLEFORS</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16097-2023</t>
        </is>
      </c>
      <c r="B2447" s="1" t="n">
        <v>45027.51179398148</v>
      </c>
      <c r="C2447" s="1" t="n">
        <v>46132</v>
      </c>
      <c r="D2447" t="inlineStr">
        <is>
          <t>ÖREBRO LÄN</t>
        </is>
      </c>
      <c r="E2447" t="inlineStr">
        <is>
          <t>ASKERSUND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12511-2025</t>
        </is>
      </c>
      <c r="B2448" s="1" t="n">
        <v>45730.6371412037</v>
      </c>
      <c r="C2448" s="1" t="n">
        <v>46132</v>
      </c>
      <c r="D2448" t="inlineStr">
        <is>
          <t>ÖREBRO LÄN</t>
        </is>
      </c>
      <c r="E2448" t="inlineStr">
        <is>
          <t>HÄLLEFORS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52707-2023</t>
        </is>
      </c>
      <c r="B2449" s="1" t="n">
        <v>45225.8415625</v>
      </c>
      <c r="C2449" s="1" t="n">
        <v>46132</v>
      </c>
      <c r="D2449" t="inlineStr">
        <is>
          <t>ÖREBRO LÄN</t>
        </is>
      </c>
      <c r="E2449" t="inlineStr">
        <is>
          <t>HALLSBERG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52786-2023</t>
        </is>
      </c>
      <c r="B2450" s="1" t="n">
        <v>45226</v>
      </c>
      <c r="C2450" s="1" t="n">
        <v>46132</v>
      </c>
      <c r="D2450" t="inlineStr">
        <is>
          <t>ÖREBRO LÄN</t>
        </is>
      </c>
      <c r="E2450" t="inlineStr">
        <is>
          <t>ASKERSUND</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50311-2025</t>
        </is>
      </c>
      <c r="B2451" s="1" t="n">
        <v>45944</v>
      </c>
      <c r="C2451" s="1" t="n">
        <v>46132</v>
      </c>
      <c r="D2451" t="inlineStr">
        <is>
          <t>ÖREBRO LÄN</t>
        </is>
      </c>
      <c r="E2451" t="inlineStr">
        <is>
          <t>ÖREBRO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28535-2024</t>
        </is>
      </c>
      <c r="B2452" s="1" t="n">
        <v>45478.34103009259</v>
      </c>
      <c r="C2452" s="1" t="n">
        <v>46132</v>
      </c>
      <c r="D2452" t="inlineStr">
        <is>
          <t>ÖREBRO LÄN</t>
        </is>
      </c>
      <c r="E2452" t="inlineStr">
        <is>
          <t>HALLSBERG</t>
        </is>
      </c>
      <c r="F2452" t="inlineStr">
        <is>
          <t>Sveaskog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6522-2023</t>
        </is>
      </c>
      <c r="B2453" s="1" t="n">
        <v>44966</v>
      </c>
      <c r="C2453" s="1" t="n">
        <v>46132</v>
      </c>
      <c r="D2453" t="inlineStr">
        <is>
          <t>ÖREBRO LÄN</t>
        </is>
      </c>
      <c r="E2453" t="inlineStr">
        <is>
          <t>ÖREBRO</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33181-2025</t>
        </is>
      </c>
      <c r="B2454" s="1" t="n">
        <v>45840.59094907407</v>
      </c>
      <c r="C2454" s="1" t="n">
        <v>46132</v>
      </c>
      <c r="D2454" t="inlineStr">
        <is>
          <t>ÖREBRO LÄN</t>
        </is>
      </c>
      <c r="E2454" t="inlineStr">
        <is>
          <t>LJUSNARSBERG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50072-2025</t>
        </is>
      </c>
      <c r="B2455" s="1" t="n">
        <v>45943.45966435185</v>
      </c>
      <c r="C2455" s="1" t="n">
        <v>46132</v>
      </c>
      <c r="D2455" t="inlineStr">
        <is>
          <t>ÖREBRO LÄN</t>
        </is>
      </c>
      <c r="E2455" t="inlineStr">
        <is>
          <t>LINDESBERG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17016-2023</t>
        </is>
      </c>
      <c r="B2456" s="1" t="n">
        <v>45034</v>
      </c>
      <c r="C2456" s="1" t="n">
        <v>46132</v>
      </c>
      <c r="D2456" t="inlineStr">
        <is>
          <t>ÖREBRO LÄN</t>
        </is>
      </c>
      <c r="E2456" t="inlineStr">
        <is>
          <t>HALLSBERG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50086-2025</t>
        </is>
      </c>
      <c r="B2457" s="1" t="n">
        <v>45943.47649305555</v>
      </c>
      <c r="C2457" s="1" t="n">
        <v>46132</v>
      </c>
      <c r="D2457" t="inlineStr">
        <is>
          <t>ÖREBRO LÄN</t>
        </is>
      </c>
      <c r="E2457" t="inlineStr">
        <is>
          <t>LINDESBERG</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50073-2025</t>
        </is>
      </c>
      <c r="B2458" s="1" t="n">
        <v>45943.4603125</v>
      </c>
      <c r="C2458" s="1" t="n">
        <v>46132</v>
      </c>
      <c r="D2458" t="inlineStr">
        <is>
          <t>ÖREBRO LÄN</t>
        </is>
      </c>
      <c r="E2458" t="inlineStr">
        <is>
          <t>LINDESBERG</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56040-2024</t>
        </is>
      </c>
      <c r="B2459" s="1" t="n">
        <v>45624.3344212963</v>
      </c>
      <c r="C2459" s="1" t="n">
        <v>46132</v>
      </c>
      <c r="D2459" t="inlineStr">
        <is>
          <t>ÖREBRO LÄN</t>
        </is>
      </c>
      <c r="E2459" t="inlineStr">
        <is>
          <t>ÖREBRO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33622-2025</t>
        </is>
      </c>
      <c r="B2460" s="1" t="n">
        <v>45841.63055555556</v>
      </c>
      <c r="C2460" s="1" t="n">
        <v>46132</v>
      </c>
      <c r="D2460" t="inlineStr">
        <is>
          <t>ÖREBRO LÄN</t>
        </is>
      </c>
      <c r="E2460" t="inlineStr">
        <is>
          <t>LJUSNARSBERG</t>
        </is>
      </c>
      <c r="F2460" t="inlineStr">
        <is>
          <t>Kyrkan</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52490-2024</t>
        </is>
      </c>
      <c r="B2461" s="1" t="n">
        <v>45609.55875</v>
      </c>
      <c r="C2461" s="1" t="n">
        <v>46132</v>
      </c>
      <c r="D2461" t="inlineStr">
        <is>
          <t>ÖREBRO LÄN</t>
        </is>
      </c>
      <c r="E2461" t="inlineStr">
        <is>
          <t>DEGERFORS</t>
        </is>
      </c>
      <c r="F2461" t="inlineStr">
        <is>
          <t>Sveaskog</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52444-2024</t>
        </is>
      </c>
      <c r="B2462" s="1" t="n">
        <v>45609.48894675926</v>
      </c>
      <c r="C2462" s="1" t="n">
        <v>46132</v>
      </c>
      <c r="D2462" t="inlineStr">
        <is>
          <t>ÖREBRO LÄN</t>
        </is>
      </c>
      <c r="E2462" t="inlineStr">
        <is>
          <t>ÖREBRO</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33561-2025</t>
        </is>
      </c>
      <c r="B2463" s="1" t="n">
        <v>45841.57755787037</v>
      </c>
      <c r="C2463" s="1" t="n">
        <v>46132</v>
      </c>
      <c r="D2463" t="inlineStr">
        <is>
          <t>ÖREBRO LÄN</t>
        </is>
      </c>
      <c r="E2463" t="inlineStr">
        <is>
          <t>LAXÅ</t>
        </is>
      </c>
      <c r="F2463" t="inlineStr">
        <is>
          <t>Övriga statliga verk och myndigheter</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20086-2024</t>
        </is>
      </c>
      <c r="B2464" s="1" t="n">
        <v>45434</v>
      </c>
      <c r="C2464" s="1" t="n">
        <v>46132</v>
      </c>
      <c r="D2464" t="inlineStr">
        <is>
          <t>ÖREBRO LÄN</t>
        </is>
      </c>
      <c r="E2464" t="inlineStr">
        <is>
          <t>KARLSKOGA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33729-2025</t>
        </is>
      </c>
      <c r="B2465" s="1" t="n">
        <v>45842.29508101852</v>
      </c>
      <c r="C2465" s="1" t="n">
        <v>46132</v>
      </c>
      <c r="D2465" t="inlineStr">
        <is>
          <t>ÖREBRO LÄN</t>
        </is>
      </c>
      <c r="E2465" t="inlineStr">
        <is>
          <t>HALLSBERG</t>
        </is>
      </c>
      <c r="F2465" t="inlineStr">
        <is>
          <t>Allmännings- och besparingsskogar</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29721-2023</t>
        </is>
      </c>
      <c r="B2466" s="1" t="n">
        <v>45107</v>
      </c>
      <c r="C2466" s="1" t="n">
        <v>46132</v>
      </c>
      <c r="D2466" t="inlineStr">
        <is>
          <t>ÖREBRO LÄN</t>
        </is>
      </c>
      <c r="E2466" t="inlineStr">
        <is>
          <t>LJUSNARSBERG</t>
        </is>
      </c>
      <c r="F2466" t="inlineStr">
        <is>
          <t>Sveaskog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18802-2024</t>
        </is>
      </c>
      <c r="B2467" s="1" t="n">
        <v>45426.60180555555</v>
      </c>
      <c r="C2467" s="1" t="n">
        <v>46132</v>
      </c>
      <c r="D2467" t="inlineStr">
        <is>
          <t>ÖREBRO LÄN</t>
        </is>
      </c>
      <c r="E2467" t="inlineStr">
        <is>
          <t>ASKERSUND</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56730-2024</t>
        </is>
      </c>
      <c r="B2468" s="1" t="n">
        <v>45628.35625</v>
      </c>
      <c r="C2468" s="1" t="n">
        <v>46132</v>
      </c>
      <c r="D2468" t="inlineStr">
        <is>
          <t>ÖREBRO LÄN</t>
        </is>
      </c>
      <c r="E2468" t="inlineStr">
        <is>
          <t>KUMLA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28031-2023</t>
        </is>
      </c>
      <c r="B2469" s="1" t="n">
        <v>45099.27354166667</v>
      </c>
      <c r="C2469" s="1" t="n">
        <v>46132</v>
      </c>
      <c r="D2469" t="inlineStr">
        <is>
          <t>ÖREBRO LÄN</t>
        </is>
      </c>
      <c r="E2469" t="inlineStr">
        <is>
          <t>LINDESBERG</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50936-2025</t>
        </is>
      </c>
      <c r="B2470" s="1" t="n">
        <v>45946.69616898148</v>
      </c>
      <c r="C2470" s="1" t="n">
        <v>46132</v>
      </c>
      <c r="D2470" t="inlineStr">
        <is>
          <t>ÖREBRO LÄN</t>
        </is>
      </c>
      <c r="E2470" t="inlineStr">
        <is>
          <t>LINDESBERG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50881-2025</t>
        </is>
      </c>
      <c r="B2471" s="1" t="n">
        <v>45946.62914351852</v>
      </c>
      <c r="C2471" s="1" t="n">
        <v>46132</v>
      </c>
      <c r="D2471" t="inlineStr">
        <is>
          <t>ÖREBRO LÄN</t>
        </is>
      </c>
      <c r="E2471" t="inlineStr">
        <is>
          <t>HÄLLEFORS</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55747-2024</t>
        </is>
      </c>
      <c r="B2472" s="1" t="n">
        <v>45623.32141203704</v>
      </c>
      <c r="C2472" s="1" t="n">
        <v>46132</v>
      </c>
      <c r="D2472" t="inlineStr">
        <is>
          <t>ÖREBRO LÄN</t>
        </is>
      </c>
      <c r="E2472" t="inlineStr">
        <is>
          <t>HÄLLEFORS</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1288-2024</t>
        </is>
      </c>
      <c r="B2473" s="1" t="n">
        <v>45303</v>
      </c>
      <c r="C2473" s="1" t="n">
        <v>46132</v>
      </c>
      <c r="D2473" t="inlineStr">
        <is>
          <t>ÖREBRO LÄN</t>
        </is>
      </c>
      <c r="E2473" t="inlineStr">
        <is>
          <t>HÄLLEFORS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50798-2025</t>
        </is>
      </c>
      <c r="B2474" s="1" t="n">
        <v>45946.48537037037</v>
      </c>
      <c r="C2474" s="1" t="n">
        <v>46132</v>
      </c>
      <c r="D2474" t="inlineStr">
        <is>
          <t>ÖREBRO LÄN</t>
        </is>
      </c>
      <c r="E2474" t="inlineStr">
        <is>
          <t>HÄLLEFORS</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50865-2025</t>
        </is>
      </c>
      <c r="B2475" s="1" t="n">
        <v>45946.59532407407</v>
      </c>
      <c r="C2475" s="1" t="n">
        <v>46132</v>
      </c>
      <c r="D2475" t="inlineStr">
        <is>
          <t>ÖREBRO LÄN</t>
        </is>
      </c>
      <c r="E2475" t="inlineStr">
        <is>
          <t>LJUSNARSBERG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62319-2023</t>
        </is>
      </c>
      <c r="B2476" s="1" t="n">
        <v>45267.75094907408</v>
      </c>
      <c r="C2476" s="1" t="n">
        <v>46132</v>
      </c>
      <c r="D2476" t="inlineStr">
        <is>
          <t>ÖREBRO LÄN</t>
        </is>
      </c>
      <c r="E2476" t="inlineStr">
        <is>
          <t>ASKERSUND</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49675-2025</t>
        </is>
      </c>
      <c r="B2477" s="1" t="n">
        <v>45939</v>
      </c>
      <c r="C2477" s="1" t="n">
        <v>46132</v>
      </c>
      <c r="D2477" t="inlineStr">
        <is>
          <t>ÖREBRO LÄN</t>
        </is>
      </c>
      <c r="E2477" t="inlineStr">
        <is>
          <t>NORA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50794-2025</t>
        </is>
      </c>
      <c r="B2478" s="1" t="n">
        <v>45946.47722222222</v>
      </c>
      <c r="C2478" s="1" t="n">
        <v>46132</v>
      </c>
      <c r="D2478" t="inlineStr">
        <is>
          <t>ÖREBRO LÄN</t>
        </is>
      </c>
      <c r="E2478" t="inlineStr">
        <is>
          <t>HÄLLEFORS</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46039-2024</t>
        </is>
      </c>
      <c r="B2479" s="1" t="n">
        <v>45580.73525462963</v>
      </c>
      <c r="C2479" s="1" t="n">
        <v>46132</v>
      </c>
      <c r="D2479" t="inlineStr">
        <is>
          <t>ÖREBRO LÄN</t>
        </is>
      </c>
      <c r="E2479" t="inlineStr">
        <is>
          <t>LINDESBERG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29229-2023</t>
        </is>
      </c>
      <c r="B2480" s="1" t="n">
        <v>45105.6140625</v>
      </c>
      <c r="C2480" s="1" t="n">
        <v>46132</v>
      </c>
      <c r="D2480" t="inlineStr">
        <is>
          <t>ÖREBRO LÄN</t>
        </is>
      </c>
      <c r="E2480" t="inlineStr">
        <is>
          <t>ASKERSUND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50700-2025</t>
        </is>
      </c>
      <c r="B2481" s="1" t="n">
        <v>45945.99771990741</v>
      </c>
      <c r="C2481" s="1" t="n">
        <v>46132</v>
      </c>
      <c r="D2481" t="inlineStr">
        <is>
          <t>ÖREBRO LÄN</t>
        </is>
      </c>
      <c r="E2481" t="inlineStr">
        <is>
          <t>LAXÅ</t>
        </is>
      </c>
      <c r="F2481" t="inlineStr">
        <is>
          <t>Sveaskog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60128-2023</t>
        </is>
      </c>
      <c r="B2482" s="1" t="n">
        <v>45258</v>
      </c>
      <c r="C2482" s="1" t="n">
        <v>46132</v>
      </c>
      <c r="D2482" t="inlineStr">
        <is>
          <t>ÖREBRO LÄN</t>
        </is>
      </c>
      <c r="E2482" t="inlineStr">
        <is>
          <t>ÖREBRO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50701-2025</t>
        </is>
      </c>
      <c r="B2483" s="1" t="n">
        <v>45945.99828703704</v>
      </c>
      <c r="C2483" s="1" t="n">
        <v>46132</v>
      </c>
      <c r="D2483" t="inlineStr">
        <is>
          <t>ÖREBRO LÄN</t>
        </is>
      </c>
      <c r="E2483" t="inlineStr">
        <is>
          <t>LAXÅ</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58120-2024</t>
        </is>
      </c>
      <c r="B2484" s="1" t="n">
        <v>45632.39280092593</v>
      </c>
      <c r="C2484" s="1" t="n">
        <v>46132</v>
      </c>
      <c r="D2484" t="inlineStr">
        <is>
          <t>ÖREBRO LÄN</t>
        </is>
      </c>
      <c r="E2484" t="inlineStr">
        <is>
          <t>DEGERFORS</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58125-2024</t>
        </is>
      </c>
      <c r="B2485" s="1" t="n">
        <v>45632.39546296297</v>
      </c>
      <c r="C2485" s="1" t="n">
        <v>46132</v>
      </c>
      <c r="D2485" t="inlineStr">
        <is>
          <t>ÖREBRO LÄN</t>
        </is>
      </c>
      <c r="E2485" t="inlineStr">
        <is>
          <t>DEGERFORS</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49671-2025</t>
        </is>
      </c>
      <c r="B2486" s="1" t="n">
        <v>45939</v>
      </c>
      <c r="C2486" s="1" t="n">
        <v>46132</v>
      </c>
      <c r="D2486" t="inlineStr">
        <is>
          <t>ÖREBRO LÄN</t>
        </is>
      </c>
      <c r="E2486" t="inlineStr">
        <is>
          <t>NORA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49676-2025</t>
        </is>
      </c>
      <c r="B2487" s="1" t="n">
        <v>45939</v>
      </c>
      <c r="C2487" s="1" t="n">
        <v>46132</v>
      </c>
      <c r="D2487" t="inlineStr">
        <is>
          <t>ÖREBRO LÄN</t>
        </is>
      </c>
      <c r="E2487" t="inlineStr">
        <is>
          <t>NORA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46823-2024</t>
        </is>
      </c>
      <c r="B2488" s="1" t="n">
        <v>45583.57623842593</v>
      </c>
      <c r="C2488" s="1" t="n">
        <v>46132</v>
      </c>
      <c r="D2488" t="inlineStr">
        <is>
          <t>ÖREBRO LÄN</t>
        </is>
      </c>
      <c r="E2488" t="inlineStr">
        <is>
          <t>LJUSNARSBERG</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33666-2025</t>
        </is>
      </c>
      <c r="B2489" s="1" t="n">
        <v>45841.67148148148</v>
      </c>
      <c r="C2489" s="1" t="n">
        <v>46132</v>
      </c>
      <c r="D2489" t="inlineStr">
        <is>
          <t>ÖREBRO LÄN</t>
        </is>
      </c>
      <c r="E2489" t="inlineStr">
        <is>
          <t>LJUSNARSBERG</t>
        </is>
      </c>
      <c r="F2489" t="inlineStr">
        <is>
          <t>Kyrkan</t>
        </is>
      </c>
      <c r="G2489" t="n">
        <v>12.8</v>
      </c>
      <c r="H2489" t="n">
        <v>0</v>
      </c>
      <c r="I2489" t="n">
        <v>0</v>
      </c>
      <c r="J2489" t="n">
        <v>0</v>
      </c>
      <c r="K2489" t="n">
        <v>0</v>
      </c>
      <c r="L2489" t="n">
        <v>0</v>
      </c>
      <c r="M2489" t="n">
        <v>0</v>
      </c>
      <c r="N2489" t="n">
        <v>0</v>
      </c>
      <c r="O2489" t="n">
        <v>0</v>
      </c>
      <c r="P2489" t="n">
        <v>0</v>
      </c>
      <c r="Q2489" t="n">
        <v>0</v>
      </c>
      <c r="R2489" s="2" t="inlineStr"/>
    </row>
    <row r="2490" ht="15" customHeight="1">
      <c r="A2490" t="inlineStr">
        <is>
          <t>A 33572-2025</t>
        </is>
      </c>
      <c r="B2490" s="1" t="n">
        <v>45841.58515046296</v>
      </c>
      <c r="C2490" s="1" t="n">
        <v>46132</v>
      </c>
      <c r="D2490" t="inlineStr">
        <is>
          <t>ÖREBRO LÄN</t>
        </is>
      </c>
      <c r="E2490" t="inlineStr">
        <is>
          <t>LAXÅ</t>
        </is>
      </c>
      <c r="F2490" t="inlineStr">
        <is>
          <t>Övriga statliga verk och myndigheter</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51659-2021</t>
        </is>
      </c>
      <c r="B2491" s="1" t="n">
        <v>44462</v>
      </c>
      <c r="C2491" s="1" t="n">
        <v>46132</v>
      </c>
      <c r="D2491" t="inlineStr">
        <is>
          <t>ÖREBRO LÄN</t>
        </is>
      </c>
      <c r="E2491" t="inlineStr">
        <is>
          <t>LEKEBERG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33448-2025</t>
        </is>
      </c>
      <c r="B2492" s="1" t="n">
        <v>45841.46513888889</v>
      </c>
      <c r="C2492" s="1" t="n">
        <v>46132</v>
      </c>
      <c r="D2492" t="inlineStr">
        <is>
          <t>ÖREBRO LÄN</t>
        </is>
      </c>
      <c r="E2492" t="inlineStr">
        <is>
          <t>LJUSNARSBERG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52508-2024</t>
        </is>
      </c>
      <c r="B2493" s="1" t="n">
        <v>45609</v>
      </c>
      <c r="C2493" s="1" t="n">
        <v>46132</v>
      </c>
      <c r="D2493" t="inlineStr">
        <is>
          <t>ÖREBRO LÄN</t>
        </is>
      </c>
      <c r="E2493" t="inlineStr">
        <is>
          <t>DEGERFORS</t>
        </is>
      </c>
      <c r="F2493" t="inlineStr">
        <is>
          <t>Sveaskog</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52528-2024</t>
        </is>
      </c>
      <c r="B2494" s="1" t="n">
        <v>45609</v>
      </c>
      <c r="C2494" s="1" t="n">
        <v>46132</v>
      </c>
      <c r="D2494" t="inlineStr">
        <is>
          <t>ÖREBRO LÄN</t>
        </is>
      </c>
      <c r="E2494" t="inlineStr">
        <is>
          <t>DEGERFORS</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16140-2023</t>
        </is>
      </c>
      <c r="B2495" s="1" t="n">
        <v>45027.6433912037</v>
      </c>
      <c r="C2495" s="1" t="n">
        <v>46132</v>
      </c>
      <c r="D2495" t="inlineStr">
        <is>
          <t>ÖREBRO LÄN</t>
        </is>
      </c>
      <c r="E2495" t="inlineStr">
        <is>
          <t>ÖREBRO</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50765-2025</t>
        </is>
      </c>
      <c r="B2496" s="1" t="n">
        <v>45946.44216435185</v>
      </c>
      <c r="C2496" s="1" t="n">
        <v>46132</v>
      </c>
      <c r="D2496" t="inlineStr">
        <is>
          <t>ÖREBRO LÄN</t>
        </is>
      </c>
      <c r="E2496" t="inlineStr">
        <is>
          <t>LINDESBERG</t>
        </is>
      </c>
      <c r="F2496" t="inlineStr">
        <is>
          <t>Sveaskog</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9510-2023</t>
        </is>
      </c>
      <c r="B2497" s="1" t="n">
        <v>44981.64696759259</v>
      </c>
      <c r="C2497" s="1" t="n">
        <v>46132</v>
      </c>
      <c r="D2497" t="inlineStr">
        <is>
          <t>ÖREBRO LÄN</t>
        </is>
      </c>
      <c r="E2497" t="inlineStr">
        <is>
          <t>KARLSKOGA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50005-2021</t>
        </is>
      </c>
      <c r="B2498" s="1" t="n">
        <v>44456</v>
      </c>
      <c r="C2498" s="1" t="n">
        <v>46132</v>
      </c>
      <c r="D2498" t="inlineStr">
        <is>
          <t>ÖREBRO LÄN</t>
        </is>
      </c>
      <c r="E2498" t="inlineStr">
        <is>
          <t>LAXÅ</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9073-2023</t>
        </is>
      </c>
      <c r="B2499" s="1" t="n">
        <v>44979.84893518518</v>
      </c>
      <c r="C2499" s="1" t="n">
        <v>46132</v>
      </c>
      <c r="D2499" t="inlineStr">
        <is>
          <t>ÖREBRO LÄN</t>
        </is>
      </c>
      <c r="E2499" t="inlineStr">
        <is>
          <t>HALLSBERG</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33576-2025</t>
        </is>
      </c>
      <c r="B2500" s="1" t="n">
        <v>45841.58979166667</v>
      </c>
      <c r="C2500" s="1" t="n">
        <v>46132</v>
      </c>
      <c r="D2500" t="inlineStr">
        <is>
          <t>ÖREBRO LÄN</t>
        </is>
      </c>
      <c r="E2500" t="inlineStr">
        <is>
          <t>LAXÅ</t>
        </is>
      </c>
      <c r="F2500" t="inlineStr">
        <is>
          <t>Övriga statliga verk och myndigheter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32015-2025</t>
        </is>
      </c>
      <c r="B2501" s="1" t="n">
        <v>45835</v>
      </c>
      <c r="C2501" s="1" t="n">
        <v>46132</v>
      </c>
      <c r="D2501" t="inlineStr">
        <is>
          <t>ÖREBRO LÄN</t>
        </is>
      </c>
      <c r="E2501" t="inlineStr">
        <is>
          <t>LJUSNARSBERG</t>
        </is>
      </c>
      <c r="F2501" t="inlineStr">
        <is>
          <t>Sveaskog</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33581-2025</t>
        </is>
      </c>
      <c r="B2502" s="1" t="n">
        <v>45841.59417824074</v>
      </c>
      <c r="C2502" s="1" t="n">
        <v>46132</v>
      </c>
      <c r="D2502" t="inlineStr">
        <is>
          <t>ÖREBRO LÄN</t>
        </is>
      </c>
      <c r="E2502" t="inlineStr">
        <is>
          <t>LAXÅ</t>
        </is>
      </c>
      <c r="F2502" t="inlineStr">
        <is>
          <t>Övriga statliga verk och myndigheter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33591-2025</t>
        </is>
      </c>
      <c r="B2503" s="1" t="n">
        <v>45841.5987962963</v>
      </c>
      <c r="C2503" s="1" t="n">
        <v>46132</v>
      </c>
      <c r="D2503" t="inlineStr">
        <is>
          <t>ÖREBRO LÄN</t>
        </is>
      </c>
      <c r="E2503" t="inlineStr">
        <is>
          <t>LAXÅ</t>
        </is>
      </c>
      <c r="F2503" t="inlineStr">
        <is>
          <t>Övriga statliga verk och myndigheter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8210-2022</t>
        </is>
      </c>
      <c r="B2504" s="1" t="n">
        <v>44609</v>
      </c>
      <c r="C2504" s="1" t="n">
        <v>46132</v>
      </c>
      <c r="D2504" t="inlineStr">
        <is>
          <t>ÖREBRO LÄN</t>
        </is>
      </c>
      <c r="E2504" t="inlineStr">
        <is>
          <t>ASKERSUND</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25512-2023</t>
        </is>
      </c>
      <c r="B2505" s="1" t="n">
        <v>45089.50358796296</v>
      </c>
      <c r="C2505" s="1" t="n">
        <v>46132</v>
      </c>
      <c r="D2505" t="inlineStr">
        <is>
          <t>ÖREBRO LÄN</t>
        </is>
      </c>
      <c r="E2505" t="inlineStr">
        <is>
          <t>LAXÅ</t>
        </is>
      </c>
      <c r="F2505" t="inlineStr">
        <is>
          <t>Övriga statliga verk och myndigheter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25515-2023</t>
        </is>
      </c>
      <c r="B2506" s="1" t="n">
        <v>45089.5080787037</v>
      </c>
      <c r="C2506" s="1" t="n">
        <v>46132</v>
      </c>
      <c r="D2506" t="inlineStr">
        <is>
          <t>ÖREBRO LÄN</t>
        </is>
      </c>
      <c r="E2506" t="inlineStr">
        <is>
          <t>LAXÅ</t>
        </is>
      </c>
      <c r="F2506" t="inlineStr">
        <is>
          <t>Övriga statliga verk och myndigheter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56298-2024</t>
        </is>
      </c>
      <c r="B2507" s="1" t="n">
        <v>45624.68584490741</v>
      </c>
      <c r="C2507" s="1" t="n">
        <v>46132</v>
      </c>
      <c r="D2507" t="inlineStr">
        <is>
          <t>ÖREBRO LÄN</t>
        </is>
      </c>
      <c r="E2507" t="inlineStr">
        <is>
          <t>HÄLLEFORS</t>
        </is>
      </c>
      <c r="F2507" t="inlineStr">
        <is>
          <t>Bergvik skog väst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50933-2025</t>
        </is>
      </c>
      <c r="B2508" s="1" t="n">
        <v>45946.68859953704</v>
      </c>
      <c r="C2508" s="1" t="n">
        <v>46132</v>
      </c>
      <c r="D2508" t="inlineStr">
        <is>
          <t>ÖREBRO LÄN</t>
        </is>
      </c>
      <c r="E2508" t="inlineStr">
        <is>
          <t>LINDESBERG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33404-2025</t>
        </is>
      </c>
      <c r="B2509" s="1" t="n">
        <v>45841</v>
      </c>
      <c r="C2509" s="1" t="n">
        <v>46132</v>
      </c>
      <c r="D2509" t="inlineStr">
        <is>
          <t>ÖREBRO LÄN</t>
        </is>
      </c>
      <c r="E2509" t="inlineStr">
        <is>
          <t>DEGERFORS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58741-2024</t>
        </is>
      </c>
      <c r="B2510" s="1" t="n">
        <v>45635.69581018519</v>
      </c>
      <c r="C2510" s="1" t="n">
        <v>46132</v>
      </c>
      <c r="D2510" t="inlineStr">
        <is>
          <t>ÖREBRO LÄN</t>
        </is>
      </c>
      <c r="E2510" t="inlineStr">
        <is>
          <t>LINDESBERG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33597-2025</t>
        </is>
      </c>
      <c r="B2511" s="1" t="n">
        <v>45841.60391203704</v>
      </c>
      <c r="C2511" s="1" t="n">
        <v>46132</v>
      </c>
      <c r="D2511" t="inlineStr">
        <is>
          <t>ÖREBRO LÄN</t>
        </is>
      </c>
      <c r="E2511" t="inlineStr">
        <is>
          <t>LAXÅ</t>
        </is>
      </c>
      <c r="F2511" t="inlineStr">
        <is>
          <t>Övriga statliga verk och myndigheter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14120-2023</t>
        </is>
      </c>
      <c r="B2512" s="1" t="n">
        <v>45009</v>
      </c>
      <c r="C2512" s="1" t="n">
        <v>46132</v>
      </c>
      <c r="D2512" t="inlineStr">
        <is>
          <t>ÖREBRO LÄN</t>
        </is>
      </c>
      <c r="E2512" t="inlineStr">
        <is>
          <t>HÄLLEFORS</t>
        </is>
      </c>
      <c r="F2512" t="inlineStr">
        <is>
          <t>Bergvik skog väst AB</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34062-2025</t>
        </is>
      </c>
      <c r="B2513" s="1" t="n">
        <v>45845.4264699074</v>
      </c>
      <c r="C2513" s="1" t="n">
        <v>46132</v>
      </c>
      <c r="D2513" t="inlineStr">
        <is>
          <t>ÖREBRO LÄN</t>
        </is>
      </c>
      <c r="E2513" t="inlineStr">
        <is>
          <t>HÄLLEFORS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51249-2025</t>
        </is>
      </c>
      <c r="B2514" s="1" t="n">
        <v>45948.45704861111</v>
      </c>
      <c r="C2514" s="1" t="n">
        <v>46132</v>
      </c>
      <c r="D2514" t="inlineStr">
        <is>
          <t>ÖREBRO LÄN</t>
        </is>
      </c>
      <c r="E2514" t="inlineStr">
        <is>
          <t>ÖREBRO</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34433-2025</t>
        </is>
      </c>
      <c r="B2515" s="1" t="n">
        <v>45846.67590277778</v>
      </c>
      <c r="C2515" s="1" t="n">
        <v>46132</v>
      </c>
      <c r="D2515" t="inlineStr">
        <is>
          <t>ÖREBRO LÄN</t>
        </is>
      </c>
      <c r="E2515" t="inlineStr">
        <is>
          <t>ASKERSUND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34023-2025</t>
        </is>
      </c>
      <c r="B2516" s="1" t="n">
        <v>45845.35355324074</v>
      </c>
      <c r="C2516" s="1" t="n">
        <v>46132</v>
      </c>
      <c r="D2516" t="inlineStr">
        <is>
          <t>ÖREBRO LÄN</t>
        </is>
      </c>
      <c r="E2516" t="inlineStr">
        <is>
          <t>HÄLLEFORS</t>
        </is>
      </c>
      <c r="F2516" t="inlineStr">
        <is>
          <t>Bergvik skog väst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52180-2024</t>
        </is>
      </c>
      <c r="B2517" s="1" t="n">
        <v>45608.56115740741</v>
      </c>
      <c r="C2517" s="1" t="n">
        <v>46132</v>
      </c>
      <c r="D2517" t="inlineStr">
        <is>
          <t>ÖREBRO LÄN</t>
        </is>
      </c>
      <c r="E2517" t="inlineStr">
        <is>
          <t>KUMLA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51030-2025</t>
        </is>
      </c>
      <c r="B2518" s="1" t="n">
        <v>45947.40105324074</v>
      </c>
      <c r="C2518" s="1" t="n">
        <v>46132</v>
      </c>
      <c r="D2518" t="inlineStr">
        <is>
          <t>ÖREBRO LÄN</t>
        </is>
      </c>
      <c r="E2518" t="inlineStr">
        <is>
          <t>LINDESBERG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51040-2025</t>
        </is>
      </c>
      <c r="B2519" s="1" t="n">
        <v>45947.41420138889</v>
      </c>
      <c r="C2519" s="1" t="n">
        <v>46132</v>
      </c>
      <c r="D2519" t="inlineStr">
        <is>
          <t>ÖREBRO LÄN</t>
        </is>
      </c>
      <c r="E2519" t="inlineStr">
        <is>
          <t>DEGERFORS</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34434-2025</t>
        </is>
      </c>
      <c r="B2520" s="1" t="n">
        <v>45846.67712962963</v>
      </c>
      <c r="C2520" s="1" t="n">
        <v>46132</v>
      </c>
      <c r="D2520" t="inlineStr">
        <is>
          <t>ÖREBRO LÄN</t>
        </is>
      </c>
      <c r="E2520" t="inlineStr">
        <is>
          <t>ASKERSUND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33574-2024</t>
        </is>
      </c>
      <c r="B2521" s="1" t="n">
        <v>45520.32887731482</v>
      </c>
      <c r="C2521" s="1" t="n">
        <v>46132</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34264-2025</t>
        </is>
      </c>
      <c r="B2522" s="1" t="n">
        <v>45845.75200231482</v>
      </c>
      <c r="C2522" s="1" t="n">
        <v>46132</v>
      </c>
      <c r="D2522" t="inlineStr">
        <is>
          <t>ÖREBRO LÄN</t>
        </is>
      </c>
      <c r="E2522" t="inlineStr">
        <is>
          <t>LINDESBERG</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3994-2023</t>
        </is>
      </c>
      <c r="B2523" s="1" t="n">
        <v>44950</v>
      </c>
      <c r="C2523" s="1" t="n">
        <v>46132</v>
      </c>
      <c r="D2523" t="inlineStr">
        <is>
          <t>ÖREBRO LÄN</t>
        </is>
      </c>
      <c r="E2523" t="inlineStr">
        <is>
          <t>LINDESBERG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51002-2025</t>
        </is>
      </c>
      <c r="B2524" s="1" t="n">
        <v>45947.36173611111</v>
      </c>
      <c r="C2524" s="1" t="n">
        <v>46132</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52353-2024</t>
        </is>
      </c>
      <c r="B2525" s="1" t="n">
        <v>45609.36297453703</v>
      </c>
      <c r="C2525" s="1" t="n">
        <v>46132</v>
      </c>
      <c r="D2525" t="inlineStr">
        <is>
          <t>ÖREBRO LÄN</t>
        </is>
      </c>
      <c r="E2525" t="inlineStr">
        <is>
          <t>LAXÅ</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49094-2024</t>
        </is>
      </c>
      <c r="B2526" s="1" t="n">
        <v>45594.63747685185</v>
      </c>
      <c r="C2526" s="1" t="n">
        <v>46132</v>
      </c>
      <c r="D2526" t="inlineStr">
        <is>
          <t>ÖREBRO LÄN</t>
        </is>
      </c>
      <c r="E2526" t="inlineStr">
        <is>
          <t>LINDESBERG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34003-2025</t>
        </is>
      </c>
      <c r="B2527" s="1" t="n">
        <v>45844.57527777777</v>
      </c>
      <c r="C2527" s="1" t="n">
        <v>46132</v>
      </c>
      <c r="D2527" t="inlineStr">
        <is>
          <t>ÖREBRO LÄN</t>
        </is>
      </c>
      <c r="E2527" t="inlineStr">
        <is>
          <t>LINDESBERG</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34022-2025</t>
        </is>
      </c>
      <c r="B2528" s="1" t="n">
        <v>45845.34983796296</v>
      </c>
      <c r="C2528" s="1" t="n">
        <v>46132</v>
      </c>
      <c r="D2528" t="inlineStr">
        <is>
          <t>ÖREBRO LÄN</t>
        </is>
      </c>
      <c r="E2528" t="inlineStr">
        <is>
          <t>HÄLLEFORS</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34025-2025</t>
        </is>
      </c>
      <c r="B2529" s="1" t="n">
        <v>45845.35546296297</v>
      </c>
      <c r="C2529" s="1" t="n">
        <v>46132</v>
      </c>
      <c r="D2529" t="inlineStr">
        <is>
          <t>ÖREBRO LÄN</t>
        </is>
      </c>
      <c r="E2529" t="inlineStr">
        <is>
          <t>HÄLLEFORS</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34029-2025</t>
        </is>
      </c>
      <c r="B2530" s="1" t="n">
        <v>45845.36309027778</v>
      </c>
      <c r="C2530" s="1" t="n">
        <v>46132</v>
      </c>
      <c r="D2530" t="inlineStr">
        <is>
          <t>ÖREBRO LÄN</t>
        </is>
      </c>
      <c r="E2530" t="inlineStr">
        <is>
          <t>HÄLLEFORS</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34097-2025</t>
        </is>
      </c>
      <c r="B2531" s="1" t="n">
        <v>45845.4855787037</v>
      </c>
      <c r="C2531" s="1" t="n">
        <v>46132</v>
      </c>
      <c r="D2531" t="inlineStr">
        <is>
          <t>ÖREBRO LÄN</t>
        </is>
      </c>
      <c r="E2531" t="inlineStr">
        <is>
          <t>LINDESBERG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51248-2025</t>
        </is>
      </c>
      <c r="B2532" s="1" t="n">
        <v>45948.450625</v>
      </c>
      <c r="C2532" s="1" t="n">
        <v>46132</v>
      </c>
      <c r="D2532" t="inlineStr">
        <is>
          <t>ÖREBRO LÄN</t>
        </is>
      </c>
      <c r="E2532" t="inlineStr">
        <is>
          <t>ÖREBRO</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51186-2025</t>
        </is>
      </c>
      <c r="B2533" s="1" t="n">
        <v>45947.62353009259</v>
      </c>
      <c r="C2533" s="1" t="n">
        <v>46132</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34059-2025</t>
        </is>
      </c>
      <c r="B2534" s="1" t="n">
        <v>45845.41988425926</v>
      </c>
      <c r="C2534" s="1" t="n">
        <v>46132</v>
      </c>
      <c r="D2534" t="inlineStr">
        <is>
          <t>ÖREBRO LÄN</t>
        </is>
      </c>
      <c r="E2534" t="inlineStr">
        <is>
          <t>HÄLLEFORS</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50714-2022</t>
        </is>
      </c>
      <c r="B2535" s="1" t="n">
        <v>44867.35501157407</v>
      </c>
      <c r="C2535" s="1" t="n">
        <v>46132</v>
      </c>
      <c r="D2535" t="inlineStr">
        <is>
          <t>ÖREBRO LÄN</t>
        </is>
      </c>
      <c r="E2535" t="inlineStr">
        <is>
          <t>HÄLLEFORS</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41838-2022</t>
        </is>
      </c>
      <c r="B2536" s="1" t="n">
        <v>44828</v>
      </c>
      <c r="C2536" s="1" t="n">
        <v>46132</v>
      </c>
      <c r="D2536" t="inlineStr">
        <is>
          <t>ÖREBRO LÄN</t>
        </is>
      </c>
      <c r="E2536" t="inlineStr">
        <is>
          <t>ASKERSUND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55869-2025</t>
        </is>
      </c>
      <c r="B2537" s="1" t="n">
        <v>45973.35285879629</v>
      </c>
      <c r="C2537" s="1" t="n">
        <v>46132</v>
      </c>
      <c r="D2537" t="inlineStr">
        <is>
          <t>ÖREBRO LÄN</t>
        </is>
      </c>
      <c r="E2537" t="inlineStr">
        <is>
          <t>NORA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34104-2025</t>
        </is>
      </c>
      <c r="B2538" s="1" t="n">
        <v>45845.49216435185</v>
      </c>
      <c r="C2538" s="1" t="n">
        <v>46132</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34004-2025</t>
        </is>
      </c>
      <c r="B2539" s="1" t="n">
        <v>45844.5775</v>
      </c>
      <c r="C2539" s="1" t="n">
        <v>46132</v>
      </c>
      <c r="D2539" t="inlineStr">
        <is>
          <t>ÖREBRO LÄN</t>
        </is>
      </c>
      <c r="E2539" t="inlineStr">
        <is>
          <t>LINDESBERG</t>
        </is>
      </c>
      <c r="F2539" t="inlineStr">
        <is>
          <t>Sveaskog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34033-2025</t>
        </is>
      </c>
      <c r="B2540" s="1" t="n">
        <v>45845.36700231482</v>
      </c>
      <c r="C2540" s="1" t="n">
        <v>46132</v>
      </c>
      <c r="D2540" t="inlineStr">
        <is>
          <t>ÖREBRO LÄN</t>
        </is>
      </c>
      <c r="E2540" t="inlineStr">
        <is>
          <t>HÄLLEFORS</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56907-2024</t>
        </is>
      </c>
      <c r="B2541" s="1" t="n">
        <v>45628.58975694444</v>
      </c>
      <c r="C2541" s="1" t="n">
        <v>46132</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11489-2023</t>
        </is>
      </c>
      <c r="B2542" s="1" t="n">
        <v>44993.64357638889</v>
      </c>
      <c r="C2542" s="1" t="n">
        <v>46132</v>
      </c>
      <c r="D2542" t="inlineStr">
        <is>
          <t>ÖREBRO LÄN</t>
        </is>
      </c>
      <c r="E2542" t="inlineStr">
        <is>
          <t>ASKERSUND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34037-2025</t>
        </is>
      </c>
      <c r="B2543" s="1" t="n">
        <v>45845.37002314815</v>
      </c>
      <c r="C2543" s="1" t="n">
        <v>46132</v>
      </c>
      <c r="D2543" t="inlineStr">
        <is>
          <t>ÖREBRO LÄN</t>
        </is>
      </c>
      <c r="E2543" t="inlineStr">
        <is>
          <t>HÄLLEFORS</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7201-2024</t>
        </is>
      </c>
      <c r="B2544" s="1" t="n">
        <v>45344.6027662037</v>
      </c>
      <c r="C2544" s="1" t="n">
        <v>46132</v>
      </c>
      <c r="D2544" t="inlineStr">
        <is>
          <t>ÖREBRO LÄN</t>
        </is>
      </c>
      <c r="E2544" t="inlineStr">
        <is>
          <t>LINDESBERG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55888-2025</t>
        </is>
      </c>
      <c r="B2545" s="1" t="n">
        <v>45973.37163194444</v>
      </c>
      <c r="C2545" s="1" t="n">
        <v>46132</v>
      </c>
      <c r="D2545" t="inlineStr">
        <is>
          <t>ÖREBRO LÄN</t>
        </is>
      </c>
      <c r="E2545" t="inlineStr">
        <is>
          <t>ÖREBRO</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34267-2025</t>
        </is>
      </c>
      <c r="B2546" s="1" t="n">
        <v>45845.76005787037</v>
      </c>
      <c r="C2546" s="1" t="n">
        <v>46132</v>
      </c>
      <c r="D2546" t="inlineStr">
        <is>
          <t>ÖREBRO LÄN</t>
        </is>
      </c>
      <c r="E2546" t="inlineStr">
        <is>
          <t>LINDESBERG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34093-2025</t>
        </is>
      </c>
      <c r="B2547" s="1" t="n">
        <v>45845.47775462963</v>
      </c>
      <c r="C2547" s="1" t="n">
        <v>46132</v>
      </c>
      <c r="D2547" t="inlineStr">
        <is>
          <t>ÖREBRO LÄN</t>
        </is>
      </c>
      <c r="E2547" t="inlineStr">
        <is>
          <t>HÄLLEFORS</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14190-2024</t>
        </is>
      </c>
      <c r="B2548" s="1" t="n">
        <v>45393.36060185185</v>
      </c>
      <c r="C2548" s="1" t="n">
        <v>46132</v>
      </c>
      <c r="D2548" t="inlineStr">
        <is>
          <t>ÖREBRO LÄN</t>
        </is>
      </c>
      <c r="E2548" t="inlineStr">
        <is>
          <t>LINDESBERG</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34057-2025</t>
        </is>
      </c>
      <c r="B2549" s="1" t="n">
        <v>45845.41581018519</v>
      </c>
      <c r="C2549" s="1" t="n">
        <v>46132</v>
      </c>
      <c r="D2549" t="inlineStr">
        <is>
          <t>ÖREBRO LÄN</t>
        </is>
      </c>
      <c r="E2549" t="inlineStr">
        <is>
          <t>HÄLLEFORS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6752-2022</t>
        </is>
      </c>
      <c r="B2550" s="1" t="n">
        <v>44602.48082175926</v>
      </c>
      <c r="C2550" s="1" t="n">
        <v>46132</v>
      </c>
      <c r="D2550" t="inlineStr">
        <is>
          <t>ÖREBRO LÄN</t>
        </is>
      </c>
      <c r="E2550" t="inlineStr">
        <is>
          <t>ÖREBRO</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34018-2025</t>
        </is>
      </c>
      <c r="B2551" s="1" t="n">
        <v>45845.34341435185</v>
      </c>
      <c r="C2551" s="1" t="n">
        <v>46132</v>
      </c>
      <c r="D2551" t="inlineStr">
        <is>
          <t>ÖREBRO LÄN</t>
        </is>
      </c>
      <c r="E2551" t="inlineStr">
        <is>
          <t>HÄLLEFORS</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34020-2025</t>
        </is>
      </c>
      <c r="B2552" s="1" t="n">
        <v>45845.34695601852</v>
      </c>
      <c r="C2552" s="1" t="n">
        <v>46132</v>
      </c>
      <c r="D2552" t="inlineStr">
        <is>
          <t>ÖREBRO LÄN</t>
        </is>
      </c>
      <c r="E2552" t="inlineStr">
        <is>
          <t>HÄLLEFORS</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34042-2025</t>
        </is>
      </c>
      <c r="B2553" s="1" t="n">
        <v>45845.37733796296</v>
      </c>
      <c r="C2553" s="1" t="n">
        <v>46132</v>
      </c>
      <c r="D2553" t="inlineStr">
        <is>
          <t>ÖREBRO LÄN</t>
        </is>
      </c>
      <c r="E2553" t="inlineStr">
        <is>
          <t>HÄLLEFORS</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34045-2025</t>
        </is>
      </c>
      <c r="B2554" s="1" t="n">
        <v>45845.38480324074</v>
      </c>
      <c r="C2554" s="1" t="n">
        <v>46132</v>
      </c>
      <c r="D2554" t="inlineStr">
        <is>
          <t>ÖREBRO LÄN</t>
        </is>
      </c>
      <c r="E2554" t="inlineStr">
        <is>
          <t>HÄLLEFORS</t>
        </is>
      </c>
      <c r="F2554" t="inlineStr">
        <is>
          <t>Bergvik skog väst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34052-2025</t>
        </is>
      </c>
      <c r="B2555" s="1" t="n">
        <v>45845.40813657407</v>
      </c>
      <c r="C2555" s="1" t="n">
        <v>46132</v>
      </c>
      <c r="D2555" t="inlineStr">
        <is>
          <t>ÖREBRO LÄN</t>
        </is>
      </c>
      <c r="E2555" t="inlineStr">
        <is>
          <t>HÄLLEFORS</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34002-2025</t>
        </is>
      </c>
      <c r="B2556" s="1" t="n">
        <v>45844.57328703703</v>
      </c>
      <c r="C2556" s="1" t="n">
        <v>46132</v>
      </c>
      <c r="D2556" t="inlineStr">
        <is>
          <t>ÖREBRO LÄN</t>
        </is>
      </c>
      <c r="E2556" t="inlineStr">
        <is>
          <t>LINDESBERG</t>
        </is>
      </c>
      <c r="F2556" t="inlineStr">
        <is>
          <t>Sveaskog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56982-2025</t>
        </is>
      </c>
      <c r="B2557" s="1" t="n">
        <v>45978.71075231482</v>
      </c>
      <c r="C2557" s="1" t="n">
        <v>46132</v>
      </c>
      <c r="D2557" t="inlineStr">
        <is>
          <t>ÖREBRO LÄN</t>
        </is>
      </c>
      <c r="E2557" t="inlineStr">
        <is>
          <t>LINDESBERG</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56881-2025</t>
        </is>
      </c>
      <c r="B2558" s="1" t="n">
        <v>45978.55412037037</v>
      </c>
      <c r="C2558" s="1" t="n">
        <v>46132</v>
      </c>
      <c r="D2558" t="inlineStr">
        <is>
          <t>ÖREBRO LÄN</t>
        </is>
      </c>
      <c r="E2558" t="inlineStr">
        <is>
          <t>HALLSBERG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56890-2025</t>
        </is>
      </c>
      <c r="B2559" s="1" t="n">
        <v>45978.56460648148</v>
      </c>
      <c r="C2559" s="1" t="n">
        <v>46132</v>
      </c>
      <c r="D2559" t="inlineStr">
        <is>
          <t>ÖREBRO LÄN</t>
        </is>
      </c>
      <c r="E2559" t="inlineStr">
        <is>
          <t>HALLSBERG</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56839-2025</t>
        </is>
      </c>
      <c r="B2560" s="1" t="n">
        <v>45978.48106481481</v>
      </c>
      <c r="C2560" s="1" t="n">
        <v>46132</v>
      </c>
      <c r="D2560" t="inlineStr">
        <is>
          <t>ÖREBRO LÄN</t>
        </is>
      </c>
      <c r="E2560" t="inlineStr">
        <is>
          <t>HALLSBERG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48687-2024</t>
        </is>
      </c>
      <c r="B2561" s="1" t="n">
        <v>45593.49899305555</v>
      </c>
      <c r="C2561" s="1" t="n">
        <v>46132</v>
      </c>
      <c r="D2561" t="inlineStr">
        <is>
          <t>ÖREBRO LÄN</t>
        </is>
      </c>
      <c r="E2561" t="inlineStr">
        <is>
          <t>ÖREBRO</t>
        </is>
      </c>
      <c r="F2561" t="inlineStr">
        <is>
          <t>Övriga Aktiebolag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17087-2023</t>
        </is>
      </c>
      <c r="B2562" s="1" t="n">
        <v>45034.5174537037</v>
      </c>
      <c r="C2562" s="1" t="n">
        <v>46132</v>
      </c>
      <c r="D2562" t="inlineStr">
        <is>
          <t>ÖREBRO LÄN</t>
        </is>
      </c>
      <c r="E2562" t="inlineStr">
        <is>
          <t>LINDESBERG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59206-2024</t>
        </is>
      </c>
      <c r="B2563" s="1" t="n">
        <v>45636</v>
      </c>
      <c r="C2563" s="1" t="n">
        <v>46132</v>
      </c>
      <c r="D2563" t="inlineStr">
        <is>
          <t>ÖREBRO LÄN</t>
        </is>
      </c>
      <c r="E2563" t="inlineStr">
        <is>
          <t>DEGERFORS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34056-2023</t>
        </is>
      </c>
      <c r="B2564" s="1" t="n">
        <v>45135</v>
      </c>
      <c r="C2564" s="1" t="n">
        <v>46132</v>
      </c>
      <c r="D2564" t="inlineStr">
        <is>
          <t>ÖREBRO LÄN</t>
        </is>
      </c>
      <c r="E2564" t="inlineStr">
        <is>
          <t>ÖREBRO</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33457-2023</t>
        </is>
      </c>
      <c r="B2565" s="1" t="n">
        <v>45131</v>
      </c>
      <c r="C2565" s="1" t="n">
        <v>46132</v>
      </c>
      <c r="D2565" t="inlineStr">
        <is>
          <t>ÖREBRO LÄN</t>
        </is>
      </c>
      <c r="E2565" t="inlineStr">
        <is>
          <t>ÖREBRO</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56801-2025</t>
        </is>
      </c>
      <c r="B2566" s="1" t="n">
        <v>45978.43898148148</v>
      </c>
      <c r="C2566" s="1" t="n">
        <v>46132</v>
      </c>
      <c r="D2566" t="inlineStr">
        <is>
          <t>ÖREBRO LÄN</t>
        </is>
      </c>
      <c r="E2566" t="inlineStr">
        <is>
          <t>LAXÅ</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45237-2023</t>
        </is>
      </c>
      <c r="B2567" s="1" t="n">
        <v>45191</v>
      </c>
      <c r="C2567" s="1" t="n">
        <v>46132</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54959-2023</t>
        </is>
      </c>
      <c r="B2568" s="1" t="n">
        <v>45236</v>
      </c>
      <c r="C2568" s="1" t="n">
        <v>46132</v>
      </c>
      <c r="D2568" t="inlineStr">
        <is>
          <t>ÖREBRO LÄN</t>
        </is>
      </c>
      <c r="E2568" t="inlineStr">
        <is>
          <t>LEKEBERG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50893-2024</t>
        </is>
      </c>
      <c r="B2569" s="1" t="n">
        <v>45602.67616898148</v>
      </c>
      <c r="C2569" s="1" t="n">
        <v>46132</v>
      </c>
      <c r="D2569" t="inlineStr">
        <is>
          <t>ÖREBRO LÄN</t>
        </is>
      </c>
      <c r="E2569" t="inlineStr">
        <is>
          <t>HALLSBERG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12961-2023</t>
        </is>
      </c>
      <c r="B2570" s="1" t="n">
        <v>45001.80307870371</v>
      </c>
      <c r="C2570" s="1" t="n">
        <v>46132</v>
      </c>
      <c r="D2570" t="inlineStr">
        <is>
          <t>ÖREBRO LÄN</t>
        </is>
      </c>
      <c r="E2570" t="inlineStr">
        <is>
          <t>LEKEBERG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53189-2023</t>
        </is>
      </c>
      <c r="B2571" s="1" t="n">
        <v>45194</v>
      </c>
      <c r="C2571" s="1" t="n">
        <v>46132</v>
      </c>
      <c r="D2571" t="inlineStr">
        <is>
          <t>ÖREBRO LÄN</t>
        </is>
      </c>
      <c r="E2571" t="inlineStr">
        <is>
          <t>LINDESBERG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28524-2022</t>
        </is>
      </c>
      <c r="B2572" s="1" t="n">
        <v>44748.36506944444</v>
      </c>
      <c r="C2572" s="1" t="n">
        <v>46132</v>
      </c>
      <c r="D2572" t="inlineStr">
        <is>
          <t>ÖREBRO LÄN</t>
        </is>
      </c>
      <c r="E2572" t="inlineStr">
        <is>
          <t>LAXÅ</t>
        </is>
      </c>
      <c r="F2572" t="inlineStr">
        <is>
          <t>Sveaskog</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51180-2023</t>
        </is>
      </c>
      <c r="B2573" s="1" t="n">
        <v>45219</v>
      </c>
      <c r="C2573" s="1" t="n">
        <v>46132</v>
      </c>
      <c r="D2573" t="inlineStr">
        <is>
          <t>ÖREBRO LÄN</t>
        </is>
      </c>
      <c r="E2573" t="inlineStr">
        <is>
          <t>ÖREBRO</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11085-2023</t>
        </is>
      </c>
      <c r="B2574" s="1" t="n">
        <v>44986</v>
      </c>
      <c r="C2574" s="1" t="n">
        <v>46132</v>
      </c>
      <c r="D2574" t="inlineStr">
        <is>
          <t>ÖREBRO LÄN</t>
        </is>
      </c>
      <c r="E2574" t="inlineStr">
        <is>
          <t>DEGERFORS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10680-2023</t>
        </is>
      </c>
      <c r="B2575" s="1" t="n">
        <v>44988.55023148148</v>
      </c>
      <c r="C2575" s="1" t="n">
        <v>46132</v>
      </c>
      <c r="D2575" t="inlineStr">
        <is>
          <t>ÖREBRO LÄN</t>
        </is>
      </c>
      <c r="E2575" t="inlineStr">
        <is>
          <t>LAXÅ</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59976-2024</t>
        </is>
      </c>
      <c r="B2576" s="1" t="n">
        <v>45642.37226851852</v>
      </c>
      <c r="C2576" s="1" t="n">
        <v>46132</v>
      </c>
      <c r="D2576" t="inlineStr">
        <is>
          <t>ÖREBRO LÄN</t>
        </is>
      </c>
      <c r="E2576" t="inlineStr">
        <is>
          <t>HÄLLEFORS</t>
        </is>
      </c>
      <c r="F2576" t="inlineStr">
        <is>
          <t>Bergvik skog väst AB</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19853-2022</t>
        </is>
      </c>
      <c r="B2577" s="1" t="n">
        <v>44696.95393518519</v>
      </c>
      <c r="C2577" s="1" t="n">
        <v>46132</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58155-2021</t>
        </is>
      </c>
      <c r="B2578" s="1" t="n">
        <v>44487</v>
      </c>
      <c r="C2578" s="1" t="n">
        <v>46132</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60028-2024</t>
        </is>
      </c>
      <c r="B2579" s="1" t="n">
        <v>45642</v>
      </c>
      <c r="C2579" s="1" t="n">
        <v>46132</v>
      </c>
      <c r="D2579" t="inlineStr">
        <is>
          <t>ÖREBRO LÄN</t>
        </is>
      </c>
      <c r="E2579" t="inlineStr">
        <is>
          <t>ÖREBRO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33294-2023</t>
        </is>
      </c>
      <c r="B2580" s="1" t="n">
        <v>45127</v>
      </c>
      <c r="C2580" s="1" t="n">
        <v>46132</v>
      </c>
      <c r="D2580" t="inlineStr">
        <is>
          <t>ÖREBRO LÄN</t>
        </is>
      </c>
      <c r="E2580" t="inlineStr">
        <is>
          <t>ÖREBRO</t>
        </is>
      </c>
      <c r="F2580" t="inlineStr">
        <is>
          <t>Övriga Aktiebolag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60926-2024</t>
        </is>
      </c>
      <c r="B2581" s="1" t="n">
        <v>45645</v>
      </c>
      <c r="C2581" s="1" t="n">
        <v>46132</v>
      </c>
      <c r="D2581" t="inlineStr">
        <is>
          <t>ÖREBRO LÄN</t>
        </is>
      </c>
      <c r="E2581" t="inlineStr">
        <is>
          <t>LINDESBERG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56668-2025</t>
        </is>
      </c>
      <c r="B2582" s="1" t="n">
        <v>45975.69277777777</v>
      </c>
      <c r="C2582" s="1" t="n">
        <v>46132</v>
      </c>
      <c r="D2582" t="inlineStr">
        <is>
          <t>ÖREBRO LÄN</t>
        </is>
      </c>
      <c r="E2582" t="inlineStr">
        <is>
          <t>LAXÅ</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14598-2025</t>
        </is>
      </c>
      <c r="B2583" s="1" t="n">
        <v>45742.36125</v>
      </c>
      <c r="C2583" s="1" t="n">
        <v>46132</v>
      </c>
      <c r="D2583" t="inlineStr">
        <is>
          <t>ÖREBRO LÄN</t>
        </is>
      </c>
      <c r="E2583" t="inlineStr">
        <is>
          <t>ASKERSUND</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14678-2025</t>
        </is>
      </c>
      <c r="B2584" s="1" t="n">
        <v>45742.56563657407</v>
      </c>
      <c r="C2584" s="1" t="n">
        <v>46132</v>
      </c>
      <c r="D2584" t="inlineStr">
        <is>
          <t>ÖREBRO LÄN</t>
        </is>
      </c>
      <c r="E2584" t="inlineStr">
        <is>
          <t>DEGERFORS</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14681-2025</t>
        </is>
      </c>
      <c r="B2585" s="1" t="n">
        <v>45742.56857638889</v>
      </c>
      <c r="C2585" s="1" t="n">
        <v>46132</v>
      </c>
      <c r="D2585" t="inlineStr">
        <is>
          <t>ÖREBRO LÄN</t>
        </is>
      </c>
      <c r="E2585" t="inlineStr">
        <is>
          <t>DEGERFORS</t>
        </is>
      </c>
      <c r="F2585" t="inlineStr">
        <is>
          <t>Sveaskog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43958-2024</t>
        </is>
      </c>
      <c r="B2586" s="1" t="n">
        <v>45572.47811342592</v>
      </c>
      <c r="C2586" s="1" t="n">
        <v>46132</v>
      </c>
      <c r="D2586" t="inlineStr">
        <is>
          <t>ÖREBRO LÄN</t>
        </is>
      </c>
      <c r="E2586" t="inlineStr">
        <is>
          <t>ASKERSUND</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12616-2025</t>
        </is>
      </c>
      <c r="B2587" s="1" t="n">
        <v>45733</v>
      </c>
      <c r="C2587" s="1" t="n">
        <v>46132</v>
      </c>
      <c r="D2587" t="inlineStr">
        <is>
          <t>ÖREBRO LÄN</t>
        </is>
      </c>
      <c r="E2587" t="inlineStr">
        <is>
          <t>LEKEBERG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11141-2023</t>
        </is>
      </c>
      <c r="B2588" s="1" t="n">
        <v>44992.50019675926</v>
      </c>
      <c r="C2588" s="1" t="n">
        <v>46132</v>
      </c>
      <c r="D2588" t="inlineStr">
        <is>
          <t>ÖREBRO LÄN</t>
        </is>
      </c>
      <c r="E2588" t="inlineStr">
        <is>
          <t>KUMLA</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17075-2025</t>
        </is>
      </c>
      <c r="B2589" s="1" t="n">
        <v>45755.62278935185</v>
      </c>
      <c r="C2589" s="1" t="n">
        <v>46132</v>
      </c>
      <c r="D2589" t="inlineStr">
        <is>
          <t>ÖREBRO LÄN</t>
        </is>
      </c>
      <c r="E2589" t="inlineStr">
        <is>
          <t>HÄLLEFORS</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26617-2022</t>
        </is>
      </c>
      <c r="B2590" s="1" t="n">
        <v>44739.57129629629</v>
      </c>
      <c r="C2590" s="1" t="n">
        <v>46132</v>
      </c>
      <c r="D2590" t="inlineStr">
        <is>
          <t>ÖREBRO LÄN</t>
        </is>
      </c>
      <c r="E2590" t="inlineStr">
        <is>
          <t>LJUSNARSBERG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27638-2025</t>
        </is>
      </c>
      <c r="B2591" s="1" t="n">
        <v>45813</v>
      </c>
      <c r="C2591" s="1" t="n">
        <v>46132</v>
      </c>
      <c r="D2591" t="inlineStr">
        <is>
          <t>ÖREBRO LÄN</t>
        </is>
      </c>
      <c r="E2591" t="inlineStr">
        <is>
          <t>LEKEBERG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56732-2025</t>
        </is>
      </c>
      <c r="B2592" s="1" t="n">
        <v>45978</v>
      </c>
      <c r="C2592" s="1" t="n">
        <v>46132</v>
      </c>
      <c r="D2592" t="inlineStr">
        <is>
          <t>ÖREBRO LÄN</t>
        </is>
      </c>
      <c r="E2592" t="inlineStr">
        <is>
          <t>KUMLA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9411-2022</t>
        </is>
      </c>
      <c r="B2593" s="1" t="n">
        <v>44616</v>
      </c>
      <c r="C2593" s="1" t="n">
        <v>46132</v>
      </c>
      <c r="D2593" t="inlineStr">
        <is>
          <t>ÖREBRO LÄN</t>
        </is>
      </c>
      <c r="E2593" t="inlineStr">
        <is>
          <t>HÄLLEFORS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5677-2025</t>
        </is>
      </c>
      <c r="B2594" s="1" t="n">
        <v>45694</v>
      </c>
      <c r="C2594" s="1" t="n">
        <v>46132</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35062-2025</t>
        </is>
      </c>
      <c r="B2595" s="1" t="n">
        <v>45852</v>
      </c>
      <c r="C2595" s="1" t="n">
        <v>46132</v>
      </c>
      <c r="D2595" t="inlineStr">
        <is>
          <t>ÖREBRO LÄN</t>
        </is>
      </c>
      <c r="E2595" t="inlineStr">
        <is>
          <t>ÖREBRO</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35071-2025</t>
        </is>
      </c>
      <c r="B2596" s="1" t="n">
        <v>45852.47094907407</v>
      </c>
      <c r="C2596" s="1" t="n">
        <v>46132</v>
      </c>
      <c r="D2596" t="inlineStr">
        <is>
          <t>ÖREBRO LÄN</t>
        </is>
      </c>
      <c r="E2596" t="inlineStr">
        <is>
          <t>LJUSNARSBERG</t>
        </is>
      </c>
      <c r="F2596" t="inlineStr">
        <is>
          <t>Kyrkan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24916-2022</t>
        </is>
      </c>
      <c r="B2597" s="1" t="n">
        <v>44728</v>
      </c>
      <c r="C2597" s="1" t="n">
        <v>46132</v>
      </c>
      <c r="D2597" t="inlineStr">
        <is>
          <t>ÖREBRO LÄN</t>
        </is>
      </c>
      <c r="E2597" t="inlineStr">
        <is>
          <t>LINDESBERG</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59863-2024</t>
        </is>
      </c>
      <c r="B2598" s="1" t="n">
        <v>45639</v>
      </c>
      <c r="C2598" s="1" t="n">
        <v>46132</v>
      </c>
      <c r="D2598" t="inlineStr">
        <is>
          <t>ÖREBRO LÄN</t>
        </is>
      </c>
      <c r="E2598" t="inlineStr">
        <is>
          <t>DEGERFORS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45257.67709490741</v>
      </c>
      <c r="C2599" s="1" t="n">
        <v>46132</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31668-2024</t>
        </is>
      </c>
      <c r="B2600" s="1" t="n">
        <v>45506.94680555556</v>
      </c>
      <c r="C2600" s="1" t="n">
        <v>46132</v>
      </c>
      <c r="D2600" t="inlineStr">
        <is>
          <t>ÖREBRO LÄN</t>
        </is>
      </c>
      <c r="E2600" t="inlineStr">
        <is>
          <t>ASKERSUND</t>
        </is>
      </c>
      <c r="F2600" t="inlineStr">
        <is>
          <t>Sveaskog</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56904-2024</t>
        </is>
      </c>
      <c r="B2601" s="1" t="n">
        <v>45628.58696759259</v>
      </c>
      <c r="C2601" s="1" t="n">
        <v>46132</v>
      </c>
      <c r="D2601" t="inlineStr">
        <is>
          <t>ÖREBRO LÄN</t>
        </is>
      </c>
      <c r="E2601" t="inlineStr">
        <is>
          <t>NORA</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35079-2025</t>
        </is>
      </c>
      <c r="B2602" s="1" t="n">
        <v>45852.48940972222</v>
      </c>
      <c r="C2602" s="1" t="n">
        <v>46132</v>
      </c>
      <c r="D2602" t="inlineStr">
        <is>
          <t>ÖREBRO LÄN</t>
        </is>
      </c>
      <c r="E2602" t="inlineStr">
        <is>
          <t>LJUSNARSBERG</t>
        </is>
      </c>
      <c r="F2602" t="inlineStr">
        <is>
          <t>Kyrkan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56475-2025</t>
        </is>
      </c>
      <c r="B2603" s="1" t="n">
        <v>45975.38383101852</v>
      </c>
      <c r="C2603" s="1" t="n">
        <v>46132</v>
      </c>
      <c r="D2603" t="inlineStr">
        <is>
          <t>ÖREBRO LÄN</t>
        </is>
      </c>
      <c r="E2603" t="inlineStr">
        <is>
          <t>ASKERSUND</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54080-2024</t>
        </is>
      </c>
      <c r="B2604" s="1" t="n">
        <v>45616</v>
      </c>
      <c r="C2604" s="1" t="n">
        <v>46132</v>
      </c>
      <c r="D2604" t="inlineStr">
        <is>
          <t>ÖREBRO LÄN</t>
        </is>
      </c>
      <c r="E2604" t="inlineStr">
        <is>
          <t>KUMLA</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15941-2023</t>
        </is>
      </c>
      <c r="B2605" s="1" t="n">
        <v>45022</v>
      </c>
      <c r="C2605" s="1" t="n">
        <v>46132</v>
      </c>
      <c r="D2605" t="inlineStr">
        <is>
          <t>ÖREBRO LÄN</t>
        </is>
      </c>
      <c r="E2605" t="inlineStr">
        <is>
          <t>HÄLLEFORS</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15976-2023</t>
        </is>
      </c>
      <c r="B2606" s="1" t="n">
        <v>45022</v>
      </c>
      <c r="C2606" s="1" t="n">
        <v>46132</v>
      </c>
      <c r="D2606" t="inlineStr">
        <is>
          <t>ÖREBRO LÄN</t>
        </is>
      </c>
      <c r="E2606" t="inlineStr">
        <is>
          <t>ASKERSUND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1681-2025</t>
        </is>
      </c>
      <c r="B2607" s="1" t="n">
        <v>45670.69458333333</v>
      </c>
      <c r="C2607" s="1" t="n">
        <v>46132</v>
      </c>
      <c r="D2607" t="inlineStr">
        <is>
          <t>ÖREBRO LÄN</t>
        </is>
      </c>
      <c r="E2607" t="inlineStr">
        <is>
          <t>LINDESBERG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12545-2023</t>
        </is>
      </c>
      <c r="B2608" s="1" t="n">
        <v>45000</v>
      </c>
      <c r="C2608" s="1" t="n">
        <v>46132</v>
      </c>
      <c r="D2608" t="inlineStr">
        <is>
          <t>ÖREBRO LÄN</t>
        </is>
      </c>
      <c r="E2608" t="inlineStr">
        <is>
          <t>HÄLLEFORS</t>
        </is>
      </c>
      <c r="F2608" t="inlineStr">
        <is>
          <t>Bergvik skog väst AB</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53591-2024</t>
        </is>
      </c>
      <c r="B2609" s="1" t="n">
        <v>45614.67206018518</v>
      </c>
      <c r="C2609" s="1" t="n">
        <v>46132</v>
      </c>
      <c r="D2609" t="inlineStr">
        <is>
          <t>ÖREBRO LÄN</t>
        </is>
      </c>
      <c r="E2609" t="inlineStr">
        <is>
          <t>LJUSNARSBERG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34835-2025</t>
        </is>
      </c>
      <c r="B2610" s="1" t="n">
        <v>45849.38855324074</v>
      </c>
      <c r="C2610" s="1" t="n">
        <v>46132</v>
      </c>
      <c r="D2610" t="inlineStr">
        <is>
          <t>ÖREBRO LÄN</t>
        </is>
      </c>
      <c r="E2610" t="inlineStr">
        <is>
          <t>NORA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31113-2023</t>
        </is>
      </c>
      <c r="B2611" s="1" t="n">
        <v>45113</v>
      </c>
      <c r="C2611" s="1" t="n">
        <v>46132</v>
      </c>
      <c r="D2611" t="inlineStr">
        <is>
          <t>ÖREBRO LÄN</t>
        </is>
      </c>
      <c r="E2611" t="inlineStr">
        <is>
          <t>LEKEBERG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14231-2023</t>
        </is>
      </c>
      <c r="B2612" s="1" t="n">
        <v>45009.64217592592</v>
      </c>
      <c r="C2612" s="1" t="n">
        <v>46132</v>
      </c>
      <c r="D2612" t="inlineStr">
        <is>
          <t>ÖREBRO LÄN</t>
        </is>
      </c>
      <c r="E2612" t="inlineStr">
        <is>
          <t>LINDESBERG</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34825-2025</t>
        </is>
      </c>
      <c r="B2613" s="1" t="n">
        <v>45849.38262731482</v>
      </c>
      <c r="C2613" s="1" t="n">
        <v>46132</v>
      </c>
      <c r="D2613" t="inlineStr">
        <is>
          <t>ÖREBRO LÄN</t>
        </is>
      </c>
      <c r="E2613" t="inlineStr">
        <is>
          <t>NORA</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5033-2025</t>
        </is>
      </c>
      <c r="B2614" s="1" t="n">
        <v>45691.425625</v>
      </c>
      <c r="C2614" s="1" t="n">
        <v>46132</v>
      </c>
      <c r="D2614" t="inlineStr">
        <is>
          <t>ÖREBRO LÄN</t>
        </is>
      </c>
      <c r="E2614" t="inlineStr">
        <is>
          <t>HÄLLEFORS</t>
        </is>
      </c>
      <c r="F2614" t="inlineStr">
        <is>
          <t>Bergvik skog väst AB</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14477-2025</t>
        </is>
      </c>
      <c r="B2615" s="1" t="n">
        <v>45741.58723379629</v>
      </c>
      <c r="C2615" s="1" t="n">
        <v>46132</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13857-2022</t>
        </is>
      </c>
      <c r="B2616" s="1" t="n">
        <v>44649</v>
      </c>
      <c r="C2616" s="1" t="n">
        <v>46132</v>
      </c>
      <c r="D2616" t="inlineStr">
        <is>
          <t>ÖREBRO LÄN</t>
        </is>
      </c>
      <c r="E2616" t="inlineStr">
        <is>
          <t>ÖREBRO</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34824-2025</t>
        </is>
      </c>
      <c r="B2617" s="1" t="n">
        <v>45849.38061342593</v>
      </c>
      <c r="C2617" s="1" t="n">
        <v>46132</v>
      </c>
      <c r="D2617" t="inlineStr">
        <is>
          <t>ÖREBRO LÄN</t>
        </is>
      </c>
      <c r="E2617" t="inlineStr">
        <is>
          <t>NORA</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34827-2025</t>
        </is>
      </c>
      <c r="B2618" s="1" t="n">
        <v>45849.38547453703</v>
      </c>
      <c r="C2618" s="1" t="n">
        <v>46132</v>
      </c>
      <c r="D2618" t="inlineStr">
        <is>
          <t>ÖREBRO LÄN</t>
        </is>
      </c>
      <c r="E2618" t="inlineStr">
        <is>
          <t>NORA</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36670-2024</t>
        </is>
      </c>
      <c r="B2619" s="1" t="n">
        <v>45537.64621527777</v>
      </c>
      <c r="C2619" s="1" t="n">
        <v>46132</v>
      </c>
      <c r="D2619" t="inlineStr">
        <is>
          <t>ÖREBRO LÄN</t>
        </is>
      </c>
      <c r="E2619" t="inlineStr">
        <is>
          <t>LINDESBERG</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17350-2025</t>
        </is>
      </c>
      <c r="B2620" s="1" t="n">
        <v>45756.68074074074</v>
      </c>
      <c r="C2620" s="1" t="n">
        <v>46132</v>
      </c>
      <c r="D2620" t="inlineStr">
        <is>
          <t>ÖREBRO LÄN</t>
        </is>
      </c>
      <c r="E2620" t="inlineStr">
        <is>
          <t>HÄLLEFORS</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14482-2025</t>
        </is>
      </c>
      <c r="B2621" s="1" t="n">
        <v>45741.59662037037</v>
      </c>
      <c r="C2621" s="1" t="n">
        <v>46132</v>
      </c>
      <c r="D2621" t="inlineStr">
        <is>
          <t>ÖREBRO LÄN</t>
        </is>
      </c>
      <c r="E2621" t="inlineStr">
        <is>
          <t>NORA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62608-2021</t>
        </is>
      </c>
      <c r="B2622" s="1" t="n">
        <v>44503</v>
      </c>
      <c r="C2622" s="1" t="n">
        <v>46132</v>
      </c>
      <c r="D2622" t="inlineStr">
        <is>
          <t>ÖREBRO LÄN</t>
        </is>
      </c>
      <c r="E2622" t="inlineStr">
        <is>
          <t>LINDESBERG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56878-2025</t>
        </is>
      </c>
      <c r="B2623" s="1" t="n">
        <v>45978.54403935185</v>
      </c>
      <c r="C2623" s="1" t="n">
        <v>46132</v>
      </c>
      <c r="D2623" t="inlineStr">
        <is>
          <t>ÖREBRO LÄN</t>
        </is>
      </c>
      <c r="E2623" t="inlineStr">
        <is>
          <t>HALLSBERG</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35292-2025</t>
        </is>
      </c>
      <c r="B2624" s="1" t="n">
        <v>45854</v>
      </c>
      <c r="C2624" s="1" t="n">
        <v>46132</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11383-2023</t>
        </is>
      </c>
      <c r="B2625" s="1" t="n">
        <v>44993.45693287037</v>
      </c>
      <c r="C2625" s="1" t="n">
        <v>46132</v>
      </c>
      <c r="D2625" t="inlineStr">
        <is>
          <t>ÖREBRO LÄN</t>
        </is>
      </c>
      <c r="E2625" t="inlineStr">
        <is>
          <t>LEKEBERG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56859-2025</t>
        </is>
      </c>
      <c r="B2626" s="1" t="n">
        <v>45975</v>
      </c>
      <c r="C2626" s="1" t="n">
        <v>46132</v>
      </c>
      <c r="D2626" t="inlineStr">
        <is>
          <t>ÖREBRO LÄN</t>
        </is>
      </c>
      <c r="E2626" t="inlineStr">
        <is>
          <t>LJUSNARSBERG</t>
        </is>
      </c>
      <c r="F2626" t="inlineStr">
        <is>
          <t>Bergvik skog väst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56885-2025</t>
        </is>
      </c>
      <c r="B2627" s="1" t="n">
        <v>45978.55758101852</v>
      </c>
      <c r="C2627" s="1" t="n">
        <v>46132</v>
      </c>
      <c r="D2627" t="inlineStr">
        <is>
          <t>ÖREBRO LÄN</t>
        </is>
      </c>
      <c r="E2627" t="inlineStr">
        <is>
          <t>HALLSBERG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61078-2024</t>
        </is>
      </c>
      <c r="B2628" s="1" t="n">
        <v>45645.51034722223</v>
      </c>
      <c r="C2628" s="1" t="n">
        <v>46132</v>
      </c>
      <c r="D2628" t="inlineStr">
        <is>
          <t>ÖREBRO LÄN</t>
        </is>
      </c>
      <c r="E2628" t="inlineStr">
        <is>
          <t>ÖREBRO</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35140-2023</t>
        </is>
      </c>
      <c r="B2629" s="1" t="n">
        <v>45145</v>
      </c>
      <c r="C2629" s="1" t="n">
        <v>46132</v>
      </c>
      <c r="D2629" t="inlineStr">
        <is>
          <t>ÖREBRO LÄN</t>
        </is>
      </c>
      <c r="E2629" t="inlineStr">
        <is>
          <t>LINDESBERG</t>
        </is>
      </c>
      <c r="F2629" t="inlineStr">
        <is>
          <t>Sveaskog</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56476-2025</t>
        </is>
      </c>
      <c r="B2630" s="1" t="n">
        <v>45975.38548611111</v>
      </c>
      <c r="C2630" s="1" t="n">
        <v>46132</v>
      </c>
      <c r="D2630" t="inlineStr">
        <is>
          <t>ÖREBRO LÄN</t>
        </is>
      </c>
      <c r="E2630" t="inlineStr">
        <is>
          <t>ASKERSUND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40974-2021</t>
        </is>
      </c>
      <c r="B2631" s="1" t="n">
        <v>44421.58943287037</v>
      </c>
      <c r="C2631" s="1" t="n">
        <v>46132</v>
      </c>
      <c r="D2631" t="inlineStr">
        <is>
          <t>ÖREBRO LÄN</t>
        </is>
      </c>
      <c r="E2631" t="inlineStr">
        <is>
          <t>KUMLA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37616-2023</t>
        </is>
      </c>
      <c r="B2632" s="1" t="n">
        <v>45159.44525462963</v>
      </c>
      <c r="C2632" s="1" t="n">
        <v>46132</v>
      </c>
      <c r="D2632" t="inlineStr">
        <is>
          <t>ÖREBRO LÄN</t>
        </is>
      </c>
      <c r="E2632" t="inlineStr">
        <is>
          <t>LINDESBERG</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35366-2025</t>
        </is>
      </c>
      <c r="B2633" s="1" t="n">
        <v>45854</v>
      </c>
      <c r="C2633" s="1" t="n">
        <v>46132</v>
      </c>
      <c r="D2633" t="inlineStr">
        <is>
          <t>ÖREBRO LÄN</t>
        </is>
      </c>
      <c r="E2633" t="inlineStr">
        <is>
          <t>LINDESBERG</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55047-2021</t>
        </is>
      </c>
      <c r="B2634" s="1" t="n">
        <v>44474</v>
      </c>
      <c r="C2634" s="1" t="n">
        <v>46132</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54878-2024</t>
        </is>
      </c>
      <c r="B2635" s="1" t="n">
        <v>45618.60434027778</v>
      </c>
      <c r="C2635" s="1" t="n">
        <v>46132</v>
      </c>
      <c r="D2635" t="inlineStr">
        <is>
          <t>ÖREBRO LÄN</t>
        </is>
      </c>
      <c r="E2635" t="inlineStr">
        <is>
          <t>LAXÅ</t>
        </is>
      </c>
      <c r="F2635" t="inlineStr">
        <is>
          <t>Sveaskog</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48268-2021</t>
        </is>
      </c>
      <c r="B2636" s="1" t="n">
        <v>44449.66981481481</v>
      </c>
      <c r="C2636" s="1" t="n">
        <v>46132</v>
      </c>
      <c r="D2636" t="inlineStr">
        <is>
          <t>ÖREBRO LÄN</t>
        </is>
      </c>
      <c r="E2636" t="inlineStr">
        <is>
          <t>LEKEBERG</t>
        </is>
      </c>
      <c r="G2636" t="n">
        <v>9.699999999999999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20797-2022</t>
        </is>
      </c>
      <c r="B2637" s="1" t="n">
        <v>44701</v>
      </c>
      <c r="C2637" s="1" t="n">
        <v>46132</v>
      </c>
      <c r="D2637" t="inlineStr">
        <is>
          <t>ÖREBRO LÄN</t>
        </is>
      </c>
      <c r="E2637" t="inlineStr">
        <is>
          <t>LJUSNARSBERG</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61492-2022</t>
        </is>
      </c>
      <c r="B2638" s="1" t="n">
        <v>44916.47408564815</v>
      </c>
      <c r="C2638" s="1" t="n">
        <v>46132</v>
      </c>
      <c r="D2638" t="inlineStr">
        <is>
          <t>ÖREBRO LÄN</t>
        </is>
      </c>
      <c r="E2638" t="inlineStr">
        <is>
          <t>LEKEBERG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13158-2024</t>
        </is>
      </c>
      <c r="B2639" s="1" t="n">
        <v>45386.38728009259</v>
      </c>
      <c r="C2639" s="1" t="n">
        <v>46132</v>
      </c>
      <c r="D2639" t="inlineStr">
        <is>
          <t>ÖREBRO LÄN</t>
        </is>
      </c>
      <c r="E2639" t="inlineStr">
        <is>
          <t>ÖREBRO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33944-2024</t>
        </is>
      </c>
      <c r="B2640" s="1" t="n">
        <v>45523</v>
      </c>
      <c r="C2640" s="1" t="n">
        <v>46132</v>
      </c>
      <c r="D2640" t="inlineStr">
        <is>
          <t>ÖREBRO LÄN</t>
        </is>
      </c>
      <c r="E2640" t="inlineStr">
        <is>
          <t>HÄLLEFORS</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57361-2025</t>
        </is>
      </c>
      <c r="B2641" s="1" t="n">
        <v>45980.36988425926</v>
      </c>
      <c r="C2641" s="1" t="n">
        <v>46132</v>
      </c>
      <c r="D2641" t="inlineStr">
        <is>
          <t>ÖREBRO LÄN</t>
        </is>
      </c>
      <c r="E2641" t="inlineStr">
        <is>
          <t>LINDESBERG</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57299-2025</t>
        </is>
      </c>
      <c r="B2642" s="1" t="n">
        <v>45979.81347222222</v>
      </c>
      <c r="C2642" s="1" t="n">
        <v>46132</v>
      </c>
      <c r="D2642" t="inlineStr">
        <is>
          <t>ÖREBRO LÄN</t>
        </is>
      </c>
      <c r="E2642" t="inlineStr">
        <is>
          <t>LINDESBERG</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21449-2021</t>
        </is>
      </c>
      <c r="B2643" s="1" t="n">
        <v>44321.46297453704</v>
      </c>
      <c r="C2643" s="1" t="n">
        <v>46132</v>
      </c>
      <c r="D2643" t="inlineStr">
        <is>
          <t>ÖREBRO LÄN</t>
        </is>
      </c>
      <c r="E2643" t="inlineStr">
        <is>
          <t>NORA</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24391-2024</t>
        </is>
      </c>
      <c r="B2644" s="1" t="n">
        <v>45457.63850694444</v>
      </c>
      <c r="C2644" s="1" t="n">
        <v>46132</v>
      </c>
      <c r="D2644" t="inlineStr">
        <is>
          <t>ÖREBRO LÄN</t>
        </is>
      </c>
      <c r="E2644" t="inlineStr">
        <is>
          <t>NORA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24392-2024</t>
        </is>
      </c>
      <c r="B2645" s="1" t="n">
        <v>45457.64085648148</v>
      </c>
      <c r="C2645" s="1" t="n">
        <v>46132</v>
      </c>
      <c r="D2645" t="inlineStr">
        <is>
          <t>ÖREBRO LÄN</t>
        </is>
      </c>
      <c r="E2645" t="inlineStr">
        <is>
          <t>NORA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57421-2025</t>
        </is>
      </c>
      <c r="B2646" s="1" t="n">
        <v>45980.45798611111</v>
      </c>
      <c r="C2646" s="1" t="n">
        <v>46132</v>
      </c>
      <c r="D2646" t="inlineStr">
        <is>
          <t>ÖREBRO LÄN</t>
        </is>
      </c>
      <c r="E2646" t="inlineStr">
        <is>
          <t>HÄLLEFORS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57425-2025</t>
        </is>
      </c>
      <c r="B2647" s="1" t="n">
        <v>45980.46274305556</v>
      </c>
      <c r="C2647" s="1" t="n">
        <v>46132</v>
      </c>
      <c r="D2647" t="inlineStr">
        <is>
          <t>ÖREBRO LÄN</t>
        </is>
      </c>
      <c r="E2647" t="inlineStr">
        <is>
          <t>LAXÅ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67053-2021</t>
        </is>
      </c>
      <c r="B2648" s="1" t="n">
        <v>44522</v>
      </c>
      <c r="C2648" s="1" t="n">
        <v>46132</v>
      </c>
      <c r="D2648" t="inlineStr">
        <is>
          <t>ÖREBRO LÄN</t>
        </is>
      </c>
      <c r="E2648" t="inlineStr">
        <is>
          <t>LAXÅ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28821-2025</t>
        </is>
      </c>
      <c r="B2649" s="1" t="n">
        <v>45820</v>
      </c>
      <c r="C2649" s="1" t="n">
        <v>46132</v>
      </c>
      <c r="D2649" t="inlineStr">
        <is>
          <t>ÖREBRO LÄN</t>
        </is>
      </c>
      <c r="E2649" t="inlineStr">
        <is>
          <t>ÖREBRO</t>
        </is>
      </c>
      <c r="G2649" t="n">
        <v>12.6</v>
      </c>
      <c r="H2649" t="n">
        <v>0</v>
      </c>
      <c r="I2649" t="n">
        <v>0</v>
      </c>
      <c r="J2649" t="n">
        <v>0</v>
      </c>
      <c r="K2649" t="n">
        <v>0</v>
      </c>
      <c r="L2649" t="n">
        <v>0</v>
      </c>
      <c r="M2649" t="n">
        <v>0</v>
      </c>
      <c r="N2649" t="n">
        <v>0</v>
      </c>
      <c r="O2649" t="n">
        <v>0</v>
      </c>
      <c r="P2649" t="n">
        <v>0</v>
      </c>
      <c r="Q2649" t="n">
        <v>0</v>
      </c>
      <c r="R2649" s="2" t="inlineStr"/>
    </row>
    <row r="2650" ht="15" customHeight="1">
      <c r="A2650" t="inlineStr">
        <is>
          <t>A 39871-2024</t>
        </is>
      </c>
      <c r="B2650" s="1" t="n">
        <v>45553</v>
      </c>
      <c r="C2650" s="1" t="n">
        <v>46132</v>
      </c>
      <c r="D2650" t="inlineStr">
        <is>
          <t>ÖREBRO LÄN</t>
        </is>
      </c>
      <c r="E2650" t="inlineStr">
        <is>
          <t>LEKEBERG</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29938-2024</t>
        </is>
      </c>
      <c r="B2651" s="1" t="n">
        <v>45488.41480324074</v>
      </c>
      <c r="C2651" s="1" t="n">
        <v>46132</v>
      </c>
      <c r="D2651" t="inlineStr">
        <is>
          <t>ÖREBRO LÄN</t>
        </is>
      </c>
      <c r="E2651" t="inlineStr">
        <is>
          <t>LINDESBERG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24030-2023</t>
        </is>
      </c>
      <c r="B2652" s="1" t="n">
        <v>45078.82620370371</v>
      </c>
      <c r="C2652" s="1" t="n">
        <v>46132</v>
      </c>
      <c r="D2652" t="inlineStr">
        <is>
          <t>ÖREBRO LÄN</t>
        </is>
      </c>
      <c r="E2652" t="inlineStr">
        <is>
          <t>LINDESBERG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50764-2024</t>
        </is>
      </c>
      <c r="B2653" s="1" t="n">
        <v>45602.43876157407</v>
      </c>
      <c r="C2653" s="1" t="n">
        <v>46132</v>
      </c>
      <c r="D2653" t="inlineStr">
        <is>
          <t>ÖREBRO LÄN</t>
        </is>
      </c>
      <c r="E2653" t="inlineStr">
        <is>
          <t>DEGERFORS</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35702-2025</t>
        </is>
      </c>
      <c r="B2654" s="1" t="n">
        <v>45860.36222222223</v>
      </c>
      <c r="C2654" s="1" t="n">
        <v>46132</v>
      </c>
      <c r="D2654" t="inlineStr">
        <is>
          <t>ÖREBRO LÄN</t>
        </is>
      </c>
      <c r="E2654" t="inlineStr">
        <is>
          <t>LINDESBERG</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35706-2025</t>
        </is>
      </c>
      <c r="B2655" s="1" t="n">
        <v>45860.37125</v>
      </c>
      <c r="C2655" s="1" t="n">
        <v>46132</v>
      </c>
      <c r="D2655" t="inlineStr">
        <is>
          <t>ÖREBRO LÄN</t>
        </is>
      </c>
      <c r="E2655" t="inlineStr">
        <is>
          <t>DEGERFORS</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35710-2025</t>
        </is>
      </c>
      <c r="B2656" s="1" t="n">
        <v>45860.3857175926</v>
      </c>
      <c r="C2656" s="1" t="n">
        <v>46132</v>
      </c>
      <c r="D2656" t="inlineStr">
        <is>
          <t>ÖREBRO LÄN</t>
        </is>
      </c>
      <c r="E2656" t="inlineStr">
        <is>
          <t>LINDESBERG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13181-2023</t>
        </is>
      </c>
      <c r="B2657" s="1" t="n">
        <v>45002.60659722222</v>
      </c>
      <c r="C2657" s="1" t="n">
        <v>46132</v>
      </c>
      <c r="D2657" t="inlineStr">
        <is>
          <t>ÖREBRO LÄN</t>
        </is>
      </c>
      <c r="E2657" t="inlineStr">
        <is>
          <t>ÖREBRO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25996-2024</t>
        </is>
      </c>
      <c r="B2658" s="1" t="n">
        <v>45467.89081018518</v>
      </c>
      <c r="C2658" s="1" t="n">
        <v>46132</v>
      </c>
      <c r="D2658" t="inlineStr">
        <is>
          <t>ÖREBRO LÄN</t>
        </is>
      </c>
      <c r="E2658" t="inlineStr">
        <is>
          <t>ÖREBRO</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57400-2025</t>
        </is>
      </c>
      <c r="B2659" s="1" t="n">
        <v>45980.43373842593</v>
      </c>
      <c r="C2659" s="1" t="n">
        <v>46132</v>
      </c>
      <c r="D2659" t="inlineStr">
        <is>
          <t>ÖREBRO LÄN</t>
        </is>
      </c>
      <c r="E2659" t="inlineStr">
        <is>
          <t>LJUSNARSBERG</t>
        </is>
      </c>
      <c r="F2659" t="inlineStr">
        <is>
          <t>Bergvik skog väst AB</t>
        </is>
      </c>
      <c r="G2659" t="n">
        <v>8.5</v>
      </c>
      <c r="H2659" t="n">
        <v>0</v>
      </c>
      <c r="I2659" t="n">
        <v>0</v>
      </c>
      <c r="J2659" t="n">
        <v>0</v>
      </c>
      <c r="K2659" t="n">
        <v>0</v>
      </c>
      <c r="L2659" t="n">
        <v>0</v>
      </c>
      <c r="M2659" t="n">
        <v>0</v>
      </c>
      <c r="N2659" t="n">
        <v>0</v>
      </c>
      <c r="O2659" t="n">
        <v>0</v>
      </c>
      <c r="P2659" t="n">
        <v>0</v>
      </c>
      <c r="Q2659" t="n">
        <v>0</v>
      </c>
      <c r="R2659" s="2" t="inlineStr"/>
    </row>
    <row r="2660" ht="15" customHeight="1">
      <c r="A2660" t="inlineStr">
        <is>
          <t>A 16676-2025</t>
        </is>
      </c>
      <c r="B2660" s="1" t="n">
        <v>45754.44658564815</v>
      </c>
      <c r="C2660" s="1" t="n">
        <v>46132</v>
      </c>
      <c r="D2660" t="inlineStr">
        <is>
          <t>ÖREBRO LÄN</t>
        </is>
      </c>
      <c r="E2660" t="inlineStr">
        <is>
          <t>ÖREBRO</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8026-2025</t>
        </is>
      </c>
      <c r="B2661" s="1" t="n">
        <v>45707</v>
      </c>
      <c r="C2661" s="1" t="n">
        <v>46132</v>
      </c>
      <c r="D2661" t="inlineStr">
        <is>
          <t>ÖREBRO LÄN</t>
        </is>
      </c>
      <c r="E2661" t="inlineStr">
        <is>
          <t>ASKERSUND</t>
        </is>
      </c>
      <c r="F2661" t="inlineStr">
        <is>
          <t>Sveaskog</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32679-2025</t>
        </is>
      </c>
      <c r="B2662" s="1" t="n">
        <v>45838.78107638889</v>
      </c>
      <c r="C2662" s="1" t="n">
        <v>46132</v>
      </c>
      <c r="D2662" t="inlineStr">
        <is>
          <t>ÖREBRO LÄN</t>
        </is>
      </c>
      <c r="E2662" t="inlineStr">
        <is>
          <t>ASKERSUND</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57359-2025</t>
        </is>
      </c>
      <c r="B2663" s="1" t="n">
        <v>45980.36866898148</v>
      </c>
      <c r="C2663" s="1" t="n">
        <v>46132</v>
      </c>
      <c r="D2663" t="inlineStr">
        <is>
          <t>ÖREBRO LÄN</t>
        </is>
      </c>
      <c r="E2663" t="inlineStr">
        <is>
          <t>LINDESBERG</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35637-2025</t>
        </is>
      </c>
      <c r="B2664" s="1" t="n">
        <v>45859.46859953704</v>
      </c>
      <c r="C2664" s="1" t="n">
        <v>46132</v>
      </c>
      <c r="D2664" t="inlineStr">
        <is>
          <t>ÖREBRO LÄN</t>
        </is>
      </c>
      <c r="E2664" t="inlineStr">
        <is>
          <t>ÖREBRO</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47906-2023</t>
        </is>
      </c>
      <c r="B2665" s="1" t="n">
        <v>45204</v>
      </c>
      <c r="C2665" s="1" t="n">
        <v>46132</v>
      </c>
      <c r="D2665" t="inlineStr">
        <is>
          <t>ÖREBRO LÄN</t>
        </is>
      </c>
      <c r="E2665" t="inlineStr">
        <is>
          <t>LEKEBERG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14315-2025</t>
        </is>
      </c>
      <c r="B2666" s="1" t="n">
        <v>45740.72116898148</v>
      </c>
      <c r="C2666" s="1" t="n">
        <v>46132</v>
      </c>
      <c r="D2666" t="inlineStr">
        <is>
          <t>ÖREBRO LÄN</t>
        </is>
      </c>
      <c r="E2666" t="inlineStr">
        <is>
          <t>NORA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57392-2025</t>
        </is>
      </c>
      <c r="B2667" s="1" t="n">
        <v>45980.42310185185</v>
      </c>
      <c r="C2667" s="1" t="n">
        <v>46132</v>
      </c>
      <c r="D2667" t="inlineStr">
        <is>
          <t>ÖREBRO LÄN</t>
        </is>
      </c>
      <c r="E2667" t="inlineStr">
        <is>
          <t>LJUSNARSBERG</t>
        </is>
      </c>
      <c r="F2667" t="inlineStr">
        <is>
          <t>Bergvik skog väst AB</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57488-2025</t>
        </is>
      </c>
      <c r="B2668" s="1" t="n">
        <v>45980.58049768519</v>
      </c>
      <c r="C2668" s="1" t="n">
        <v>46132</v>
      </c>
      <c r="D2668" t="inlineStr">
        <is>
          <t>ÖREBRO LÄN</t>
        </is>
      </c>
      <c r="E2668" t="inlineStr">
        <is>
          <t>LAXÅ</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47304-2024</t>
        </is>
      </c>
      <c r="B2669" s="1" t="n">
        <v>45587</v>
      </c>
      <c r="C2669" s="1" t="n">
        <v>46132</v>
      </c>
      <c r="D2669" t="inlineStr">
        <is>
          <t>ÖREBRO LÄN</t>
        </is>
      </c>
      <c r="E2669" t="inlineStr">
        <is>
          <t>LINDESBERG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36747-2024</t>
        </is>
      </c>
      <c r="B2670" s="1" t="n">
        <v>45538.34193287037</v>
      </c>
      <c r="C2670" s="1" t="n">
        <v>46132</v>
      </c>
      <c r="D2670" t="inlineStr">
        <is>
          <t>ÖREBRO LÄN</t>
        </is>
      </c>
      <c r="E2670" t="inlineStr">
        <is>
          <t>LINDESBERG</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57300-2025</t>
        </is>
      </c>
      <c r="B2671" s="1" t="n">
        <v>45979.81403935186</v>
      </c>
      <c r="C2671" s="1" t="n">
        <v>46132</v>
      </c>
      <c r="D2671" t="inlineStr">
        <is>
          <t>ÖREBRO LÄN</t>
        </is>
      </c>
      <c r="E2671" t="inlineStr">
        <is>
          <t>LINDESBERG</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19368-2025</t>
        </is>
      </c>
      <c r="B2672" s="1" t="n">
        <v>45769</v>
      </c>
      <c r="C2672" s="1" t="n">
        <v>46132</v>
      </c>
      <c r="D2672" t="inlineStr">
        <is>
          <t>ÖREBRO LÄN</t>
        </is>
      </c>
      <c r="E2672" t="inlineStr">
        <is>
          <t>LJUSNARSBERG</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23741-2022</t>
        </is>
      </c>
      <c r="B2673" s="1" t="n">
        <v>44722</v>
      </c>
      <c r="C2673" s="1" t="n">
        <v>46132</v>
      </c>
      <c r="D2673" t="inlineStr">
        <is>
          <t>ÖREBRO LÄN</t>
        </is>
      </c>
      <c r="E2673" t="inlineStr">
        <is>
          <t>ÖREBRO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8274-2025</t>
        </is>
      </c>
      <c r="B2674" s="1" t="n">
        <v>45708</v>
      </c>
      <c r="C2674" s="1" t="n">
        <v>46132</v>
      </c>
      <c r="D2674" t="inlineStr">
        <is>
          <t>ÖREBRO LÄN</t>
        </is>
      </c>
      <c r="E2674" t="inlineStr">
        <is>
          <t>ÖREBRO</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6281-2025</t>
        </is>
      </c>
      <c r="B2675" s="1" t="n">
        <v>45698</v>
      </c>
      <c r="C2675" s="1" t="n">
        <v>46132</v>
      </c>
      <c r="D2675" t="inlineStr">
        <is>
          <t>ÖREBRO LÄN</t>
        </is>
      </c>
      <c r="E2675" t="inlineStr">
        <is>
          <t>HÄLLEFORS</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58620-2024</t>
        </is>
      </c>
      <c r="B2676" s="1" t="n">
        <v>45635.56246527778</v>
      </c>
      <c r="C2676" s="1" t="n">
        <v>46132</v>
      </c>
      <c r="D2676" t="inlineStr">
        <is>
          <t>ÖREBRO LÄN</t>
        </is>
      </c>
      <c r="E2676" t="inlineStr">
        <is>
          <t>ÖREBRO</t>
        </is>
      </c>
      <c r="F2676" t="inlineStr">
        <is>
          <t>Sveaskog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57212-2025</t>
        </is>
      </c>
      <c r="B2677" s="1" t="n">
        <v>45979.60140046296</v>
      </c>
      <c r="C2677" s="1" t="n">
        <v>46132</v>
      </c>
      <c r="D2677" t="inlineStr">
        <is>
          <t>ÖREBRO LÄN</t>
        </is>
      </c>
      <c r="E2677" t="inlineStr">
        <is>
          <t>KARLSKOGA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37698-2023</t>
        </is>
      </c>
      <c r="B2678" s="1" t="n">
        <v>45159.57568287037</v>
      </c>
      <c r="C2678" s="1" t="n">
        <v>46132</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57358-2025</t>
        </is>
      </c>
      <c r="B2679" s="1" t="n">
        <v>45980.36679398148</v>
      </c>
      <c r="C2679" s="1" t="n">
        <v>46132</v>
      </c>
      <c r="D2679" t="inlineStr">
        <is>
          <t>ÖREBRO LÄN</t>
        </is>
      </c>
      <c r="E2679" t="inlineStr">
        <is>
          <t>LINDESBERG</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32097-2024</t>
        </is>
      </c>
      <c r="B2680" s="1" t="n">
        <v>45511.39445601852</v>
      </c>
      <c r="C2680" s="1" t="n">
        <v>46132</v>
      </c>
      <c r="D2680" t="inlineStr">
        <is>
          <t>ÖREBRO LÄN</t>
        </is>
      </c>
      <c r="E2680" t="inlineStr">
        <is>
          <t>LINDESBERG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32099-2024</t>
        </is>
      </c>
      <c r="B2681" s="1" t="n">
        <v>45511.40297453704</v>
      </c>
      <c r="C2681" s="1" t="n">
        <v>46132</v>
      </c>
      <c r="D2681" t="inlineStr">
        <is>
          <t>ÖREBRO LÄN</t>
        </is>
      </c>
      <c r="E2681" t="inlineStr">
        <is>
          <t>LINDESBERG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61360-2024</t>
        </is>
      </c>
      <c r="B2682" s="1" t="n">
        <v>45646</v>
      </c>
      <c r="C2682" s="1" t="n">
        <v>46132</v>
      </c>
      <c r="D2682" t="inlineStr">
        <is>
          <t>ÖREBRO LÄN</t>
        </is>
      </c>
      <c r="E2682" t="inlineStr">
        <is>
          <t>LINDESBERG</t>
        </is>
      </c>
      <c r="F2682" t="inlineStr">
        <is>
          <t>Sveaskog</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3803-2023</t>
        </is>
      </c>
      <c r="B2683" s="1" t="n">
        <v>44951.5830324074</v>
      </c>
      <c r="C2683" s="1" t="n">
        <v>46132</v>
      </c>
      <c r="D2683" t="inlineStr">
        <is>
          <t>ÖREBRO LÄN</t>
        </is>
      </c>
      <c r="E2683" t="inlineStr">
        <is>
          <t>LINDESBERG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35928-2025</t>
        </is>
      </c>
      <c r="B2684" s="1" t="n">
        <v>45862</v>
      </c>
      <c r="C2684" s="1" t="n">
        <v>46132</v>
      </c>
      <c r="D2684" t="inlineStr">
        <is>
          <t>ÖREBRO LÄN</t>
        </is>
      </c>
      <c r="E2684" t="inlineStr">
        <is>
          <t>ÖREBRO</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55453-2024</t>
        </is>
      </c>
      <c r="B2685" s="1" t="n">
        <v>45622.42097222222</v>
      </c>
      <c r="C2685" s="1" t="n">
        <v>46132</v>
      </c>
      <c r="D2685" t="inlineStr">
        <is>
          <t>ÖREBRO LÄN</t>
        </is>
      </c>
      <c r="E2685" t="inlineStr">
        <is>
          <t>ÖREBRO</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60200-2024</t>
        </is>
      </c>
      <c r="B2686" s="1" t="n">
        <v>45642.66184027777</v>
      </c>
      <c r="C2686" s="1" t="n">
        <v>46132</v>
      </c>
      <c r="D2686" t="inlineStr">
        <is>
          <t>ÖREBRO LÄN</t>
        </is>
      </c>
      <c r="E2686" t="inlineStr">
        <is>
          <t>LINDESBERG</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12426-2023</t>
        </is>
      </c>
      <c r="B2687" s="1" t="n">
        <v>44999.53523148148</v>
      </c>
      <c r="C2687" s="1" t="n">
        <v>46132</v>
      </c>
      <c r="D2687" t="inlineStr">
        <is>
          <t>ÖREBRO LÄN</t>
        </is>
      </c>
      <c r="E2687" t="inlineStr">
        <is>
          <t>ASKERSUND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19055-2024</t>
        </is>
      </c>
      <c r="B2688" s="1" t="n">
        <v>45427.79534722222</v>
      </c>
      <c r="C2688" s="1" t="n">
        <v>46132</v>
      </c>
      <c r="D2688" t="inlineStr">
        <is>
          <t>ÖREBRO LÄN</t>
        </is>
      </c>
      <c r="E2688" t="inlineStr">
        <is>
          <t>HÄLLEFORS</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36089-2025</t>
        </is>
      </c>
      <c r="B2689" s="1" t="n">
        <v>45866</v>
      </c>
      <c r="C2689" s="1" t="n">
        <v>46132</v>
      </c>
      <c r="D2689" t="inlineStr">
        <is>
          <t>ÖREBRO LÄN</t>
        </is>
      </c>
      <c r="E2689" t="inlineStr">
        <is>
          <t>NORA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12008-2025</t>
        </is>
      </c>
      <c r="B2690" s="1" t="n">
        <v>45728.61679398148</v>
      </c>
      <c r="C2690" s="1" t="n">
        <v>46132</v>
      </c>
      <c r="D2690" t="inlineStr">
        <is>
          <t>ÖREBRO LÄN</t>
        </is>
      </c>
      <c r="E2690" t="inlineStr">
        <is>
          <t>HALLSBERG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5256-2025</t>
        </is>
      </c>
      <c r="B2691" s="1" t="n">
        <v>45692.36032407408</v>
      </c>
      <c r="C2691" s="1" t="n">
        <v>46132</v>
      </c>
      <c r="D2691" t="inlineStr">
        <is>
          <t>ÖREBRO LÄN</t>
        </is>
      </c>
      <c r="E2691" t="inlineStr">
        <is>
          <t>HÄLLEFORS</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35183-2023</t>
        </is>
      </c>
      <c r="B2692" s="1" t="n">
        <v>45145.59578703704</v>
      </c>
      <c r="C2692" s="1" t="n">
        <v>46132</v>
      </c>
      <c r="D2692" t="inlineStr">
        <is>
          <t>ÖREBRO LÄN</t>
        </is>
      </c>
      <c r="E2692" t="inlineStr">
        <is>
          <t>HÄLLEFORS</t>
        </is>
      </c>
      <c r="F2692" t="inlineStr">
        <is>
          <t>Bergvik skog väst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57313-2025</t>
        </is>
      </c>
      <c r="B2693" s="1" t="n">
        <v>45979.97458333334</v>
      </c>
      <c r="C2693" s="1" t="n">
        <v>46132</v>
      </c>
      <c r="D2693" t="inlineStr">
        <is>
          <t>ÖREBRO LÄN</t>
        </is>
      </c>
      <c r="E2693" t="inlineStr">
        <is>
          <t>LINDESBERG</t>
        </is>
      </c>
      <c r="F2693" t="inlineStr">
        <is>
          <t>Sveaskog</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57314-2025</t>
        </is>
      </c>
      <c r="B2694" s="1" t="n">
        <v>45980.00710648148</v>
      </c>
      <c r="C2694" s="1" t="n">
        <v>46132</v>
      </c>
      <c r="D2694" t="inlineStr">
        <is>
          <t>ÖREBRO LÄN</t>
        </is>
      </c>
      <c r="E2694" t="inlineStr">
        <is>
          <t>LINDESBERG</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57315-2025</t>
        </is>
      </c>
      <c r="B2695" s="1" t="n">
        <v>45980.00753472222</v>
      </c>
      <c r="C2695" s="1" t="n">
        <v>46132</v>
      </c>
      <c r="D2695" t="inlineStr">
        <is>
          <t>ÖREBRO LÄN</t>
        </is>
      </c>
      <c r="E2695" t="inlineStr">
        <is>
          <t>LINDESBERG</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57316-2025</t>
        </is>
      </c>
      <c r="B2696" s="1" t="n">
        <v>45980.0115625</v>
      </c>
      <c r="C2696" s="1" t="n">
        <v>46132</v>
      </c>
      <c r="D2696" t="inlineStr">
        <is>
          <t>ÖREBRO LÄN</t>
        </is>
      </c>
      <c r="E2696" t="inlineStr">
        <is>
          <t>LINDESBERG</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50571-2024</t>
        </is>
      </c>
      <c r="B2697" s="1" t="n">
        <v>45601.60576388889</v>
      </c>
      <c r="C2697" s="1" t="n">
        <v>46132</v>
      </c>
      <c r="D2697" t="inlineStr">
        <is>
          <t>ÖREBRO LÄN</t>
        </is>
      </c>
      <c r="E2697" t="inlineStr">
        <is>
          <t>HÄLLEFORS</t>
        </is>
      </c>
      <c r="F2697" t="inlineStr">
        <is>
          <t>Bergvik skog väst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59627-2024</t>
        </is>
      </c>
      <c r="B2698" s="1" t="n">
        <v>45638.89708333334</v>
      </c>
      <c r="C2698" s="1" t="n">
        <v>46132</v>
      </c>
      <c r="D2698" t="inlineStr">
        <is>
          <t>ÖREBRO LÄN</t>
        </is>
      </c>
      <c r="E2698" t="inlineStr">
        <is>
          <t>LJUSNARSBERG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45300-2024</t>
        </is>
      </c>
      <c r="B2699" s="1" t="n">
        <v>45576.40886574074</v>
      </c>
      <c r="C2699" s="1" t="n">
        <v>46132</v>
      </c>
      <c r="D2699" t="inlineStr">
        <is>
          <t>ÖREBRO LÄN</t>
        </is>
      </c>
      <c r="E2699" t="inlineStr">
        <is>
          <t>HALLSBERG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38922-2023</t>
        </is>
      </c>
      <c r="B2700" s="1" t="n">
        <v>45163.57961805556</v>
      </c>
      <c r="C2700" s="1" t="n">
        <v>46132</v>
      </c>
      <c r="D2700" t="inlineStr">
        <is>
          <t>ÖREBRO LÄN</t>
        </is>
      </c>
      <c r="E2700" t="inlineStr">
        <is>
          <t>LEKEBERG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57320-2025</t>
        </is>
      </c>
      <c r="B2701" s="1" t="n">
        <v>45980.01553240741</v>
      </c>
      <c r="C2701" s="1" t="n">
        <v>46132</v>
      </c>
      <c r="D2701" t="inlineStr">
        <is>
          <t>ÖREBRO LÄN</t>
        </is>
      </c>
      <c r="E2701" t="inlineStr">
        <is>
          <t>LINDESBERG</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57363-2025</t>
        </is>
      </c>
      <c r="B2702" s="1" t="n">
        <v>45980.3716087963</v>
      </c>
      <c r="C2702" s="1" t="n">
        <v>46132</v>
      </c>
      <c r="D2702" t="inlineStr">
        <is>
          <t>ÖREBRO LÄN</t>
        </is>
      </c>
      <c r="E2702" t="inlineStr">
        <is>
          <t>LINDESBERG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57548-2023</t>
        </is>
      </c>
      <c r="B2703" s="1" t="n">
        <v>45240</v>
      </c>
      <c r="C2703" s="1" t="n">
        <v>46132</v>
      </c>
      <c r="D2703" t="inlineStr">
        <is>
          <t>ÖREBRO LÄN</t>
        </is>
      </c>
      <c r="E2703" t="inlineStr">
        <is>
          <t>LAXÅ</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7141-2025</t>
        </is>
      </c>
      <c r="B2704" s="1" t="n">
        <v>45702</v>
      </c>
      <c r="C2704" s="1" t="n">
        <v>46132</v>
      </c>
      <c r="D2704" t="inlineStr">
        <is>
          <t>ÖREBRO LÄN</t>
        </is>
      </c>
      <c r="E2704" t="inlineStr">
        <is>
          <t>ÖREBRO</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57317-2025</t>
        </is>
      </c>
      <c r="B2705" s="1" t="n">
        <v>45980.01226851852</v>
      </c>
      <c r="C2705" s="1" t="n">
        <v>46132</v>
      </c>
      <c r="D2705" t="inlineStr">
        <is>
          <t>ÖREBRO LÄN</t>
        </is>
      </c>
      <c r="E2705" t="inlineStr">
        <is>
          <t>LINDESBERG</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59024-2024</t>
        </is>
      </c>
      <c r="B2706" s="1" t="n">
        <v>45636.68505787037</v>
      </c>
      <c r="C2706" s="1" t="n">
        <v>46132</v>
      </c>
      <c r="D2706" t="inlineStr">
        <is>
          <t>ÖREBRO LÄN</t>
        </is>
      </c>
      <c r="E2706" t="inlineStr">
        <is>
          <t>ÖREBRO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59025-2024</t>
        </is>
      </c>
      <c r="B2707" s="1" t="n">
        <v>45636.68592592593</v>
      </c>
      <c r="C2707" s="1" t="n">
        <v>46132</v>
      </c>
      <c r="D2707" t="inlineStr">
        <is>
          <t>ÖREBRO LÄN</t>
        </is>
      </c>
      <c r="E2707" t="inlineStr">
        <is>
          <t>KARLSKOGA</t>
        </is>
      </c>
      <c r="F2707" t="inlineStr">
        <is>
          <t>Kyrkan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57356-2025</t>
        </is>
      </c>
      <c r="B2708" s="1" t="n">
        <v>45980.36633101852</v>
      </c>
      <c r="C2708" s="1" t="n">
        <v>46132</v>
      </c>
      <c r="D2708" t="inlineStr">
        <is>
          <t>ÖREBRO LÄN</t>
        </is>
      </c>
      <c r="E2708" t="inlineStr">
        <is>
          <t>LINDESBERG</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32025-2024</t>
        </is>
      </c>
      <c r="B2709" s="1" t="n">
        <v>45510.65754629629</v>
      </c>
      <c r="C2709" s="1" t="n">
        <v>46132</v>
      </c>
      <c r="D2709" t="inlineStr">
        <is>
          <t>ÖREBRO LÄN</t>
        </is>
      </c>
      <c r="E2709" t="inlineStr">
        <is>
          <t>ÖREBRO</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57494-2025</t>
        </is>
      </c>
      <c r="B2710" s="1" t="n">
        <v>45980.5859375</v>
      </c>
      <c r="C2710" s="1" t="n">
        <v>46132</v>
      </c>
      <c r="D2710" t="inlineStr">
        <is>
          <t>ÖREBRO LÄN</t>
        </is>
      </c>
      <c r="E2710" t="inlineStr">
        <is>
          <t>HÄLLEFORS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122-2025</t>
        </is>
      </c>
      <c r="B2711" s="1" t="n">
        <v>45659.54782407408</v>
      </c>
      <c r="C2711" s="1" t="n">
        <v>46132</v>
      </c>
      <c r="D2711" t="inlineStr">
        <is>
          <t>ÖREBRO LÄN</t>
        </is>
      </c>
      <c r="E2711" t="inlineStr">
        <is>
          <t>LJUSNARSBERG</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23346-2022</t>
        </is>
      </c>
      <c r="B2712" s="1" t="n">
        <v>44720</v>
      </c>
      <c r="C2712" s="1" t="n">
        <v>46132</v>
      </c>
      <c r="D2712" t="inlineStr">
        <is>
          <t>ÖREBRO LÄN</t>
        </is>
      </c>
      <c r="E2712" t="inlineStr">
        <is>
          <t>LJUSNARSBERG</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57086-2025</t>
        </is>
      </c>
      <c r="B2713" s="1" t="n">
        <v>45979.42208333333</v>
      </c>
      <c r="C2713" s="1" t="n">
        <v>46132</v>
      </c>
      <c r="D2713" t="inlineStr">
        <is>
          <t>ÖREBRO LÄN</t>
        </is>
      </c>
      <c r="E2713" t="inlineStr">
        <is>
          <t>DEGERFORS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17045-2025</t>
        </is>
      </c>
      <c r="B2714" s="1" t="n">
        <v>45755.59307870371</v>
      </c>
      <c r="C2714" s="1" t="n">
        <v>46132</v>
      </c>
      <c r="D2714" t="inlineStr">
        <is>
          <t>ÖREBRO LÄN</t>
        </is>
      </c>
      <c r="E2714" t="inlineStr">
        <is>
          <t>HÄLLEFORS</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17933-2024</t>
        </is>
      </c>
      <c r="B2715" s="1" t="n">
        <v>45419.61329861111</v>
      </c>
      <c r="C2715" s="1" t="n">
        <v>46132</v>
      </c>
      <c r="D2715" t="inlineStr">
        <is>
          <t>ÖREBRO LÄN</t>
        </is>
      </c>
      <c r="E2715" t="inlineStr">
        <is>
          <t>LJUSNARSBERG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45173-2024</t>
        </is>
      </c>
      <c r="B2716" s="1" t="n">
        <v>45575.65721064815</v>
      </c>
      <c r="C2716" s="1" t="n">
        <v>46132</v>
      </c>
      <c r="D2716" t="inlineStr">
        <is>
          <t>ÖREBRO LÄN</t>
        </is>
      </c>
      <c r="E2716" t="inlineStr">
        <is>
          <t>LINDESBERG</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34206-2022</t>
        </is>
      </c>
      <c r="B2717" s="1" t="n">
        <v>44791.65267361111</v>
      </c>
      <c r="C2717" s="1" t="n">
        <v>46132</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34227-2022</t>
        </is>
      </c>
      <c r="B2718" s="1" t="n">
        <v>44791</v>
      </c>
      <c r="C2718" s="1" t="n">
        <v>46132</v>
      </c>
      <c r="D2718" t="inlineStr">
        <is>
          <t>ÖREBRO LÄN</t>
        </is>
      </c>
      <c r="E2718" t="inlineStr">
        <is>
          <t>HALLSBERG</t>
        </is>
      </c>
      <c r="F2718" t="inlineStr">
        <is>
          <t>Övriga Aktiebolag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25229-2021</t>
        </is>
      </c>
      <c r="B2719" s="1" t="n">
        <v>44342.39703703704</v>
      </c>
      <c r="C2719" s="1" t="n">
        <v>46132</v>
      </c>
      <c r="D2719" t="inlineStr">
        <is>
          <t>ÖREBRO LÄN</t>
        </is>
      </c>
      <c r="E2719" t="inlineStr">
        <is>
          <t>LINDESBERG</t>
        </is>
      </c>
      <c r="F2719" t="inlineStr">
        <is>
          <t>Kyrkan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57423-2025</t>
        </is>
      </c>
      <c r="B2720" s="1" t="n">
        <v>45980.45997685185</v>
      </c>
      <c r="C2720" s="1" t="n">
        <v>46132</v>
      </c>
      <c r="D2720" t="inlineStr">
        <is>
          <t>ÖREBRO LÄN</t>
        </is>
      </c>
      <c r="E2720" t="inlineStr">
        <is>
          <t>LAXÅ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17716-2025</t>
        </is>
      </c>
      <c r="B2721" s="1" t="n">
        <v>45758.44623842592</v>
      </c>
      <c r="C2721" s="1" t="n">
        <v>46132</v>
      </c>
      <c r="D2721" t="inlineStr">
        <is>
          <t>ÖREBRO LÄN</t>
        </is>
      </c>
      <c r="E2721" t="inlineStr">
        <is>
          <t>NORA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57537-2025</t>
        </is>
      </c>
      <c r="B2722" s="1" t="n">
        <v>45980.6446875</v>
      </c>
      <c r="C2722" s="1" t="n">
        <v>46132</v>
      </c>
      <c r="D2722" t="inlineStr">
        <is>
          <t>ÖREBRO LÄN</t>
        </is>
      </c>
      <c r="E2722" t="inlineStr">
        <is>
          <t>ÖREBRO</t>
        </is>
      </c>
      <c r="G2722" t="n">
        <v>9.300000000000001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53726-2024</t>
        </is>
      </c>
      <c r="B2723" s="1" t="n">
        <v>45614</v>
      </c>
      <c r="C2723" s="1" t="n">
        <v>46132</v>
      </c>
      <c r="D2723" t="inlineStr">
        <is>
          <t>ÖREBRO LÄN</t>
        </is>
      </c>
      <c r="E2723" t="inlineStr">
        <is>
          <t>LJUSNARSBERG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53753-2024</t>
        </is>
      </c>
      <c r="B2724" s="1" t="n">
        <v>45614</v>
      </c>
      <c r="C2724" s="1" t="n">
        <v>46132</v>
      </c>
      <c r="D2724" t="inlineStr">
        <is>
          <t>ÖREBRO LÄN</t>
        </is>
      </c>
      <c r="E2724" t="inlineStr">
        <is>
          <t>LJUSNARSBERG</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32012-2025</t>
        </is>
      </c>
      <c r="B2725" s="1" t="n">
        <v>45835.39809027778</v>
      </c>
      <c r="C2725" s="1" t="n">
        <v>46132</v>
      </c>
      <c r="D2725" t="inlineStr">
        <is>
          <t>ÖREBRO LÄN</t>
        </is>
      </c>
      <c r="E2725" t="inlineStr">
        <is>
          <t>LJUSNARSBERG</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36425-2025</t>
        </is>
      </c>
      <c r="B2726" s="1" t="n">
        <v>45868</v>
      </c>
      <c r="C2726" s="1" t="n">
        <v>46132</v>
      </c>
      <c r="D2726" t="inlineStr">
        <is>
          <t>ÖREBRO LÄN</t>
        </is>
      </c>
      <c r="E2726" t="inlineStr">
        <is>
          <t>LJUSNARSBERG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36291-2025</t>
        </is>
      </c>
      <c r="B2727" s="1" t="n">
        <v>45867</v>
      </c>
      <c r="C2727" s="1" t="n">
        <v>46132</v>
      </c>
      <c r="D2727" t="inlineStr">
        <is>
          <t>ÖREBRO LÄN</t>
        </is>
      </c>
      <c r="E2727" t="inlineStr">
        <is>
          <t>HALLSBERG</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13657-2025</t>
        </is>
      </c>
      <c r="B2728" s="1" t="n">
        <v>45736.7427662037</v>
      </c>
      <c r="C2728" s="1" t="n">
        <v>46132</v>
      </c>
      <c r="D2728" t="inlineStr">
        <is>
          <t>ÖREBRO LÄN</t>
        </is>
      </c>
      <c r="E2728" t="inlineStr">
        <is>
          <t>ÖREBRO</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4102-2025</t>
        </is>
      </c>
      <c r="B2729" s="1" t="n">
        <v>45684.68740740741</v>
      </c>
      <c r="C2729" s="1" t="n">
        <v>46132</v>
      </c>
      <c r="D2729" t="inlineStr">
        <is>
          <t>ÖREBRO LÄN</t>
        </is>
      </c>
      <c r="E2729" t="inlineStr">
        <is>
          <t>KUMLA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2038-2025</t>
        </is>
      </c>
      <c r="B2730" s="1" t="n">
        <v>45672.49553240741</v>
      </c>
      <c r="C2730" s="1" t="n">
        <v>46132</v>
      </c>
      <c r="D2730" t="inlineStr">
        <is>
          <t>ÖREBRO LÄN</t>
        </is>
      </c>
      <c r="E2730" t="inlineStr">
        <is>
          <t>LEKEBERG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23372-2022</t>
        </is>
      </c>
      <c r="B2731" s="1" t="n">
        <v>44720.61091435186</v>
      </c>
      <c r="C2731" s="1" t="n">
        <v>46132</v>
      </c>
      <c r="D2731" t="inlineStr">
        <is>
          <t>ÖREBRO LÄN</t>
        </is>
      </c>
      <c r="E2731" t="inlineStr">
        <is>
          <t>LJUSNARSBERG</t>
        </is>
      </c>
      <c r="F2731" t="inlineStr">
        <is>
          <t>Bergvik skog väst AB</t>
        </is>
      </c>
      <c r="G2731" t="n">
        <v>11.2</v>
      </c>
      <c r="H2731" t="n">
        <v>0</v>
      </c>
      <c r="I2731" t="n">
        <v>0</v>
      </c>
      <c r="J2731" t="n">
        <v>0</v>
      </c>
      <c r="K2731" t="n">
        <v>0</v>
      </c>
      <c r="L2731" t="n">
        <v>0</v>
      </c>
      <c r="M2731" t="n">
        <v>0</v>
      </c>
      <c r="N2731" t="n">
        <v>0</v>
      </c>
      <c r="O2731" t="n">
        <v>0</v>
      </c>
      <c r="P2731" t="n">
        <v>0</v>
      </c>
      <c r="Q2731" t="n">
        <v>0</v>
      </c>
      <c r="R2731" s="2" t="inlineStr"/>
    </row>
    <row r="2732" ht="15" customHeight="1">
      <c r="A2732" t="inlineStr">
        <is>
          <t>A 30514-2025</t>
        </is>
      </c>
      <c r="B2732" s="1" t="n">
        <v>45831</v>
      </c>
      <c r="C2732" s="1" t="n">
        <v>46132</v>
      </c>
      <c r="D2732" t="inlineStr">
        <is>
          <t>ÖREBRO LÄN</t>
        </is>
      </c>
      <c r="E2732" t="inlineStr">
        <is>
          <t>LINDESBERG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57867-2024</t>
        </is>
      </c>
      <c r="B2733" s="1" t="n">
        <v>45631.43864583333</v>
      </c>
      <c r="C2733" s="1" t="n">
        <v>46132</v>
      </c>
      <c r="D2733" t="inlineStr">
        <is>
          <t>ÖREBRO LÄN</t>
        </is>
      </c>
      <c r="E2733" t="inlineStr">
        <is>
          <t>ÖREBRO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34093-2022</t>
        </is>
      </c>
      <c r="B2734" s="1" t="n">
        <v>44791</v>
      </c>
      <c r="C2734" s="1" t="n">
        <v>46132</v>
      </c>
      <c r="D2734" t="inlineStr">
        <is>
          <t>ÖREBRO LÄN</t>
        </is>
      </c>
      <c r="E2734" t="inlineStr">
        <is>
          <t>LINDESBERG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29138-2022</t>
        </is>
      </c>
      <c r="B2735" s="1" t="n">
        <v>44750</v>
      </c>
      <c r="C2735" s="1" t="n">
        <v>46132</v>
      </c>
      <c r="D2735" t="inlineStr">
        <is>
          <t>ÖREBRO LÄN</t>
        </is>
      </c>
      <c r="E2735" t="inlineStr">
        <is>
          <t>ÖREBRO</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29143-2022</t>
        </is>
      </c>
      <c r="B2736" s="1" t="n">
        <v>44750</v>
      </c>
      <c r="C2736" s="1" t="n">
        <v>46132</v>
      </c>
      <c r="D2736" t="inlineStr">
        <is>
          <t>ÖREBRO LÄN</t>
        </is>
      </c>
      <c r="E2736" t="inlineStr">
        <is>
          <t>ÖREBRO</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51897-2024</t>
        </is>
      </c>
      <c r="B2737" s="1" t="n">
        <v>45607</v>
      </c>
      <c r="C2737" s="1" t="n">
        <v>46132</v>
      </c>
      <c r="D2737" t="inlineStr">
        <is>
          <t>ÖREBRO LÄN</t>
        </is>
      </c>
      <c r="E2737" t="inlineStr">
        <is>
          <t>ASKERSUND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36253-2024</t>
        </is>
      </c>
      <c r="B2738" s="1" t="n">
        <v>45534.54032407407</v>
      </c>
      <c r="C2738" s="1" t="n">
        <v>46132</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30512-2025</t>
        </is>
      </c>
      <c r="B2739" s="1" t="n">
        <v>45831</v>
      </c>
      <c r="C2739" s="1" t="n">
        <v>46132</v>
      </c>
      <c r="D2739" t="inlineStr">
        <is>
          <t>ÖREBRO LÄN</t>
        </is>
      </c>
      <c r="E2739" t="inlineStr">
        <is>
          <t>LINDESBERG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54082-2024</t>
        </is>
      </c>
      <c r="B2740" s="1" t="n">
        <v>45616.4956712963</v>
      </c>
      <c r="C2740" s="1" t="n">
        <v>46132</v>
      </c>
      <c r="D2740" t="inlineStr">
        <is>
          <t>ÖREBRO LÄN</t>
        </is>
      </c>
      <c r="E2740" t="inlineStr">
        <is>
          <t>DEGERFORS</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3643-2025</t>
        </is>
      </c>
      <c r="B2741" s="1" t="n">
        <v>45681</v>
      </c>
      <c r="C2741" s="1" t="n">
        <v>46132</v>
      </c>
      <c r="D2741" t="inlineStr">
        <is>
          <t>ÖREBRO LÄN</t>
        </is>
      </c>
      <c r="E2741" t="inlineStr">
        <is>
          <t>HÄLLEFORS</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36292-2025</t>
        </is>
      </c>
      <c r="B2742" s="1" t="n">
        <v>45867</v>
      </c>
      <c r="C2742" s="1" t="n">
        <v>46132</v>
      </c>
      <c r="D2742" t="inlineStr">
        <is>
          <t>ÖREBRO LÄN</t>
        </is>
      </c>
      <c r="E2742" t="inlineStr">
        <is>
          <t>HALLSBERG</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36283-2025</t>
        </is>
      </c>
      <c r="B2743" s="1" t="n">
        <v>45867</v>
      </c>
      <c r="C2743" s="1" t="n">
        <v>46132</v>
      </c>
      <c r="D2743" t="inlineStr">
        <is>
          <t>ÖREBRO LÄN</t>
        </is>
      </c>
      <c r="E2743" t="inlineStr">
        <is>
          <t>ASKERSUND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36294-2025</t>
        </is>
      </c>
      <c r="B2744" s="1" t="n">
        <v>45867.67050925926</v>
      </c>
      <c r="C2744" s="1" t="n">
        <v>46132</v>
      </c>
      <c r="D2744" t="inlineStr">
        <is>
          <t>ÖREBRO LÄN</t>
        </is>
      </c>
      <c r="E2744" t="inlineStr">
        <is>
          <t>HALLSBERG</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46602-2024</t>
        </is>
      </c>
      <c r="B2745" s="1" t="n">
        <v>45582.87300925926</v>
      </c>
      <c r="C2745" s="1" t="n">
        <v>46132</v>
      </c>
      <c r="D2745" t="inlineStr">
        <is>
          <t>ÖREBRO LÄN</t>
        </is>
      </c>
      <c r="E2745" t="inlineStr">
        <is>
          <t>HALLSBERG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43535-2023</t>
        </is>
      </c>
      <c r="B2746" s="1" t="n">
        <v>45184</v>
      </c>
      <c r="C2746" s="1" t="n">
        <v>46132</v>
      </c>
      <c r="D2746" t="inlineStr">
        <is>
          <t>ÖREBRO LÄN</t>
        </is>
      </c>
      <c r="E2746" t="inlineStr">
        <is>
          <t>NORA</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36572-2025</t>
        </is>
      </c>
      <c r="B2747" s="1" t="n">
        <v>45870</v>
      </c>
      <c r="C2747" s="1" t="n">
        <v>46132</v>
      </c>
      <c r="D2747" t="inlineStr">
        <is>
          <t>ÖREBRO LÄN</t>
        </is>
      </c>
      <c r="E2747" t="inlineStr">
        <is>
          <t>LINDESBERG</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21983-2021</t>
        </is>
      </c>
      <c r="B2748" s="1" t="n">
        <v>44323</v>
      </c>
      <c r="C2748" s="1" t="n">
        <v>46132</v>
      </c>
      <c r="D2748" t="inlineStr">
        <is>
          <t>ÖREBRO LÄN</t>
        </is>
      </c>
      <c r="E2748" t="inlineStr">
        <is>
          <t>ÖREBRO</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36577-2025</t>
        </is>
      </c>
      <c r="B2749" s="1" t="n">
        <v>45870</v>
      </c>
      <c r="C2749" s="1" t="n">
        <v>46132</v>
      </c>
      <c r="D2749" t="inlineStr">
        <is>
          <t>ÖREBRO LÄN</t>
        </is>
      </c>
      <c r="E2749" t="inlineStr">
        <is>
          <t>LINDESBERG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36619-2025</t>
        </is>
      </c>
      <c r="B2750" s="1" t="n">
        <v>45870.63782407407</v>
      </c>
      <c r="C2750" s="1" t="n">
        <v>46132</v>
      </c>
      <c r="D2750" t="inlineStr">
        <is>
          <t>ÖREBRO LÄN</t>
        </is>
      </c>
      <c r="E2750" t="inlineStr">
        <is>
          <t>HALLSBERG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11016-2025</t>
        </is>
      </c>
      <c r="B2751" s="1" t="n">
        <v>45723.46458333333</v>
      </c>
      <c r="C2751" s="1" t="n">
        <v>46132</v>
      </c>
      <c r="D2751" t="inlineStr">
        <is>
          <t>ÖREBRO LÄN</t>
        </is>
      </c>
      <c r="E2751" t="inlineStr">
        <is>
          <t>HALLSBERG</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37532-2023</t>
        </is>
      </c>
      <c r="B2752" s="1" t="n">
        <v>45158.89597222222</v>
      </c>
      <c r="C2752" s="1" t="n">
        <v>46132</v>
      </c>
      <c r="D2752" t="inlineStr">
        <is>
          <t>ÖREBRO LÄN</t>
        </is>
      </c>
      <c r="E2752" t="inlineStr">
        <is>
          <t>ASKERSUND</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3120-2022</t>
        </is>
      </c>
      <c r="B2753" s="1" t="n">
        <v>44582</v>
      </c>
      <c r="C2753" s="1" t="n">
        <v>46132</v>
      </c>
      <c r="D2753" t="inlineStr">
        <is>
          <t>ÖREBRO LÄN</t>
        </is>
      </c>
      <c r="E2753" t="inlineStr">
        <is>
          <t>ÖREBRO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36574-2025</t>
        </is>
      </c>
      <c r="B2754" s="1" t="n">
        <v>45870</v>
      </c>
      <c r="C2754" s="1" t="n">
        <v>46132</v>
      </c>
      <c r="D2754" t="inlineStr">
        <is>
          <t>ÖREBRO LÄN</t>
        </is>
      </c>
      <c r="E2754" t="inlineStr">
        <is>
          <t>LINDESBERG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36448-2025</t>
        </is>
      </c>
      <c r="B2755" s="1" t="n">
        <v>45869.41929398148</v>
      </c>
      <c r="C2755" s="1" t="n">
        <v>46132</v>
      </c>
      <c r="D2755" t="inlineStr">
        <is>
          <t>ÖREBRO LÄN</t>
        </is>
      </c>
      <c r="E2755" t="inlineStr">
        <is>
          <t>ÖREBRO</t>
        </is>
      </c>
      <c r="F2755" t="inlineStr">
        <is>
          <t>Övriga Aktiebolag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36579-2025</t>
        </is>
      </c>
      <c r="B2756" s="1" t="n">
        <v>45870</v>
      </c>
      <c r="C2756" s="1" t="n">
        <v>46132</v>
      </c>
      <c r="D2756" t="inlineStr">
        <is>
          <t>ÖREBRO LÄN</t>
        </is>
      </c>
      <c r="E2756" t="inlineStr">
        <is>
          <t>LINDESBERG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59629-2024</t>
        </is>
      </c>
      <c r="B2757" s="1" t="n">
        <v>45638.89961805556</v>
      </c>
      <c r="C2757" s="1" t="n">
        <v>46132</v>
      </c>
      <c r="D2757" t="inlineStr">
        <is>
          <t>ÖREBRO LÄN</t>
        </is>
      </c>
      <c r="E2757" t="inlineStr">
        <is>
          <t>LJUSNARSBERG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58606-2024</t>
        </is>
      </c>
      <c r="B2758" s="1" t="n">
        <v>45635.54747685185</v>
      </c>
      <c r="C2758" s="1" t="n">
        <v>46132</v>
      </c>
      <c r="D2758" t="inlineStr">
        <is>
          <t>ÖREBRO LÄN</t>
        </is>
      </c>
      <c r="E2758" t="inlineStr">
        <is>
          <t>ÖREBRO</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36447-2025</t>
        </is>
      </c>
      <c r="B2759" s="1" t="n">
        <v>45869.41387731482</v>
      </c>
      <c r="C2759" s="1" t="n">
        <v>46132</v>
      </c>
      <c r="D2759" t="inlineStr">
        <is>
          <t>ÖREBRO LÄN</t>
        </is>
      </c>
      <c r="E2759" t="inlineStr">
        <is>
          <t>ÖREBRO</t>
        </is>
      </c>
      <c r="F2759" t="inlineStr">
        <is>
          <t>Övriga Aktiebolag</t>
        </is>
      </c>
      <c r="G2759" t="n">
        <v>12.6</v>
      </c>
      <c r="H2759" t="n">
        <v>0</v>
      </c>
      <c r="I2759" t="n">
        <v>0</v>
      </c>
      <c r="J2759" t="n">
        <v>0</v>
      </c>
      <c r="K2759" t="n">
        <v>0</v>
      </c>
      <c r="L2759" t="n">
        <v>0</v>
      </c>
      <c r="M2759" t="n">
        <v>0</v>
      </c>
      <c r="N2759" t="n">
        <v>0</v>
      </c>
      <c r="O2759" t="n">
        <v>0</v>
      </c>
      <c r="P2759" t="n">
        <v>0</v>
      </c>
      <c r="Q2759" t="n">
        <v>0</v>
      </c>
      <c r="R2759" s="2" t="inlineStr"/>
    </row>
    <row r="2760" ht="15" customHeight="1">
      <c r="A2760" t="inlineStr">
        <is>
          <t>A 58697-2024</t>
        </is>
      </c>
      <c r="B2760" s="1" t="n">
        <v>45635.63706018519</v>
      </c>
      <c r="C2760" s="1" t="n">
        <v>46132</v>
      </c>
      <c r="D2760" t="inlineStr">
        <is>
          <t>ÖREBRO LÄN</t>
        </is>
      </c>
      <c r="E2760" t="inlineStr">
        <is>
          <t>LINDESBERG</t>
        </is>
      </c>
      <c r="G2760" t="n">
        <v>25.1</v>
      </c>
      <c r="H2760" t="n">
        <v>0</v>
      </c>
      <c r="I2760" t="n">
        <v>0</v>
      </c>
      <c r="J2760" t="n">
        <v>0</v>
      </c>
      <c r="K2760" t="n">
        <v>0</v>
      </c>
      <c r="L2760" t="n">
        <v>0</v>
      </c>
      <c r="M2760" t="n">
        <v>0</v>
      </c>
      <c r="N2760" t="n">
        <v>0</v>
      </c>
      <c r="O2760" t="n">
        <v>0</v>
      </c>
      <c r="P2760" t="n">
        <v>0</v>
      </c>
      <c r="Q2760" t="n">
        <v>0</v>
      </c>
      <c r="R2760" s="2" t="inlineStr"/>
    </row>
    <row r="2761" ht="15" customHeight="1">
      <c r="A2761" t="inlineStr">
        <is>
          <t>A 23683-2025</t>
        </is>
      </c>
      <c r="B2761" s="1" t="n">
        <v>45793.34197916667</v>
      </c>
      <c r="C2761" s="1" t="n">
        <v>46132</v>
      </c>
      <c r="D2761" t="inlineStr">
        <is>
          <t>ÖREBRO LÄN</t>
        </is>
      </c>
      <c r="E2761" t="inlineStr">
        <is>
          <t>DEGERFORS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53619-2024</t>
        </is>
      </c>
      <c r="B2762" s="1" t="n">
        <v>45614.73967592593</v>
      </c>
      <c r="C2762" s="1" t="n">
        <v>46132</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35659-2023</t>
        </is>
      </c>
      <c r="B2763" s="1" t="n">
        <v>45147</v>
      </c>
      <c r="C2763" s="1" t="n">
        <v>46132</v>
      </c>
      <c r="D2763" t="inlineStr">
        <is>
          <t>ÖREBRO LÄN</t>
        </is>
      </c>
      <c r="E2763" t="inlineStr">
        <is>
          <t>NORA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38904-2023</t>
        </is>
      </c>
      <c r="B2764" s="1" t="n">
        <v>45163</v>
      </c>
      <c r="C2764" s="1" t="n">
        <v>46132</v>
      </c>
      <c r="D2764" t="inlineStr">
        <is>
          <t>ÖREBRO LÄN</t>
        </is>
      </c>
      <c r="E2764" t="inlineStr">
        <is>
          <t>DEGERFORS</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38921-2023</t>
        </is>
      </c>
      <c r="B2765" s="1" t="n">
        <v>45163</v>
      </c>
      <c r="C2765" s="1" t="n">
        <v>46132</v>
      </c>
      <c r="D2765" t="inlineStr">
        <is>
          <t>ÖREBRO LÄN</t>
        </is>
      </c>
      <c r="E2765" t="inlineStr">
        <is>
          <t>DEGERFORS</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26101-2022</t>
        </is>
      </c>
      <c r="B2766" s="1" t="n">
        <v>44734</v>
      </c>
      <c r="C2766" s="1" t="n">
        <v>46132</v>
      </c>
      <c r="D2766" t="inlineStr">
        <is>
          <t>ÖREBRO LÄN</t>
        </is>
      </c>
      <c r="E2766" t="inlineStr">
        <is>
          <t>ÖREBRO</t>
        </is>
      </c>
      <c r="G2766" t="n">
        <v>15.8</v>
      </c>
      <c r="H2766" t="n">
        <v>0</v>
      </c>
      <c r="I2766" t="n">
        <v>0</v>
      </c>
      <c r="J2766" t="n">
        <v>0</v>
      </c>
      <c r="K2766" t="n">
        <v>0</v>
      </c>
      <c r="L2766" t="n">
        <v>0</v>
      </c>
      <c r="M2766" t="n">
        <v>0</v>
      </c>
      <c r="N2766" t="n">
        <v>0</v>
      </c>
      <c r="O2766" t="n">
        <v>0</v>
      </c>
      <c r="P2766" t="n">
        <v>0</v>
      </c>
      <c r="Q2766" t="n">
        <v>0</v>
      </c>
      <c r="R2766" s="2" t="inlineStr"/>
    </row>
    <row r="2767" ht="15" customHeight="1">
      <c r="A2767" t="inlineStr">
        <is>
          <t>A 36824-2025</t>
        </is>
      </c>
      <c r="B2767" s="1" t="n">
        <v>45874.29803240741</v>
      </c>
      <c r="C2767" s="1" t="n">
        <v>46132</v>
      </c>
      <c r="D2767" t="inlineStr">
        <is>
          <t>ÖREBRO LÄN</t>
        </is>
      </c>
      <c r="E2767" t="inlineStr">
        <is>
          <t>HALLSBERG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58166-2025</t>
        </is>
      </c>
      <c r="B2768" s="1" t="n">
        <v>45982.71017361111</v>
      </c>
      <c r="C2768" s="1" t="n">
        <v>46132</v>
      </c>
      <c r="D2768" t="inlineStr">
        <is>
          <t>ÖREBRO LÄN</t>
        </is>
      </c>
      <c r="E2768" t="inlineStr">
        <is>
          <t>LINDESBERG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5245-2025</t>
        </is>
      </c>
      <c r="B2769" s="1" t="n">
        <v>45692</v>
      </c>
      <c r="C2769" s="1" t="n">
        <v>46132</v>
      </c>
      <c r="D2769" t="inlineStr">
        <is>
          <t>ÖREBRO LÄN</t>
        </is>
      </c>
      <c r="E2769" t="inlineStr">
        <is>
          <t>HÄLLEFORS</t>
        </is>
      </c>
      <c r="F2769" t="inlineStr">
        <is>
          <t>Bergvik skog väst AB</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57766-2025</t>
        </is>
      </c>
      <c r="B2770" s="1" t="n">
        <v>45981.5586574074</v>
      </c>
      <c r="C2770" s="1" t="n">
        <v>46132</v>
      </c>
      <c r="D2770" t="inlineStr">
        <is>
          <t>ÖREBRO LÄN</t>
        </is>
      </c>
      <c r="E2770" t="inlineStr">
        <is>
          <t>HALLSBERG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22624-2021</t>
        </is>
      </c>
      <c r="B2771" s="1" t="n">
        <v>44327</v>
      </c>
      <c r="C2771" s="1" t="n">
        <v>46132</v>
      </c>
      <c r="D2771" t="inlineStr">
        <is>
          <t>ÖREBRO LÄN</t>
        </is>
      </c>
      <c r="E2771" t="inlineStr">
        <is>
          <t>KARLSKOGA</t>
        </is>
      </c>
      <c r="F2771" t="inlineStr">
        <is>
          <t>Kyrkan</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36672-2025</t>
        </is>
      </c>
      <c r="B2772" s="1" t="n">
        <v>45873.39019675926</v>
      </c>
      <c r="C2772" s="1" t="n">
        <v>46132</v>
      </c>
      <c r="D2772" t="inlineStr">
        <is>
          <t>ÖREBRO LÄN</t>
        </is>
      </c>
      <c r="E2772" t="inlineStr">
        <is>
          <t>LAXÅ</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58479-2024</t>
        </is>
      </c>
      <c r="B2773" s="1" t="n">
        <v>45635.38675925926</v>
      </c>
      <c r="C2773" s="1" t="n">
        <v>46132</v>
      </c>
      <c r="D2773" t="inlineStr">
        <is>
          <t>ÖREBRO LÄN</t>
        </is>
      </c>
      <c r="E2773" t="inlineStr">
        <is>
          <t>DEGERFORS</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58486-2024</t>
        </is>
      </c>
      <c r="B2774" s="1" t="n">
        <v>45635</v>
      </c>
      <c r="C2774" s="1" t="n">
        <v>46132</v>
      </c>
      <c r="D2774" t="inlineStr">
        <is>
          <t>ÖREBRO LÄN</t>
        </is>
      </c>
      <c r="E2774" t="inlineStr">
        <is>
          <t>ÖREBRO</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14053-2025</t>
        </is>
      </c>
      <c r="B2775" s="1" t="n">
        <v>45739</v>
      </c>
      <c r="C2775" s="1" t="n">
        <v>46132</v>
      </c>
      <c r="D2775" t="inlineStr">
        <is>
          <t>ÖREBRO LÄN</t>
        </is>
      </c>
      <c r="E2775" t="inlineStr">
        <is>
          <t>ÖREBRO</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17115-2025</t>
        </is>
      </c>
      <c r="B2776" s="1" t="n">
        <v>45755.68247685185</v>
      </c>
      <c r="C2776" s="1" t="n">
        <v>46132</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16054-2022</t>
        </is>
      </c>
      <c r="B2777" s="1" t="n">
        <v>44665</v>
      </c>
      <c r="C2777" s="1" t="n">
        <v>46132</v>
      </c>
      <c r="D2777" t="inlineStr">
        <is>
          <t>ÖREBRO LÄN</t>
        </is>
      </c>
      <c r="E2777" t="inlineStr">
        <is>
          <t>LINDESBERG</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31994-2022</t>
        </is>
      </c>
      <c r="B2778" s="1" t="n">
        <v>44778.31512731482</v>
      </c>
      <c r="C2778" s="1" t="n">
        <v>46132</v>
      </c>
      <c r="D2778" t="inlineStr">
        <is>
          <t>ÖREBRO LÄN</t>
        </is>
      </c>
      <c r="E2778" t="inlineStr">
        <is>
          <t>HALLSBERG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36136-2023</t>
        </is>
      </c>
      <c r="B2779" s="1" t="n">
        <v>45149</v>
      </c>
      <c r="C2779" s="1" t="n">
        <v>46132</v>
      </c>
      <c r="D2779" t="inlineStr">
        <is>
          <t>ÖREBRO LÄN</t>
        </is>
      </c>
      <c r="E2779" t="inlineStr">
        <is>
          <t>LINDESBERG</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36768-2025</t>
        </is>
      </c>
      <c r="B2780" s="1" t="n">
        <v>45873.58413194444</v>
      </c>
      <c r="C2780" s="1" t="n">
        <v>46132</v>
      </c>
      <c r="D2780" t="inlineStr">
        <is>
          <t>ÖREBRO LÄN</t>
        </is>
      </c>
      <c r="E2780" t="inlineStr">
        <is>
          <t>DEGERFORS</t>
        </is>
      </c>
      <c r="F2780" t="inlineStr">
        <is>
          <t>Sveaskog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36769-2025</t>
        </is>
      </c>
      <c r="B2781" s="1" t="n">
        <v>45873.58680555555</v>
      </c>
      <c r="C2781" s="1" t="n">
        <v>46132</v>
      </c>
      <c r="D2781" t="inlineStr">
        <is>
          <t>ÖREBRO LÄN</t>
        </is>
      </c>
      <c r="E2781" t="inlineStr">
        <is>
          <t>DEGERFORS</t>
        </is>
      </c>
      <c r="F2781" t="inlineStr">
        <is>
          <t>Sveaskog</t>
        </is>
      </c>
      <c r="G2781" t="n">
        <v>9.6</v>
      </c>
      <c r="H2781" t="n">
        <v>0</v>
      </c>
      <c r="I2781" t="n">
        <v>0</v>
      </c>
      <c r="J2781" t="n">
        <v>0</v>
      </c>
      <c r="K2781" t="n">
        <v>0</v>
      </c>
      <c r="L2781" t="n">
        <v>0</v>
      </c>
      <c r="M2781" t="n">
        <v>0</v>
      </c>
      <c r="N2781" t="n">
        <v>0</v>
      </c>
      <c r="O2781" t="n">
        <v>0</v>
      </c>
      <c r="P2781" t="n">
        <v>0</v>
      </c>
      <c r="Q2781" t="n">
        <v>0</v>
      </c>
      <c r="R2781" s="2" t="inlineStr"/>
    </row>
    <row r="2782" ht="15" customHeight="1">
      <c r="A2782" t="inlineStr">
        <is>
          <t>A 13501-2025</t>
        </is>
      </c>
      <c r="B2782" s="1" t="n">
        <v>45736.45362268519</v>
      </c>
      <c r="C2782" s="1" t="n">
        <v>46132</v>
      </c>
      <c r="D2782" t="inlineStr">
        <is>
          <t>ÖREBRO LÄN</t>
        </is>
      </c>
      <c r="E2782" t="inlineStr">
        <is>
          <t>KARLSKOGA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13573-2025</t>
        </is>
      </c>
      <c r="B2783" s="1" t="n">
        <v>45736</v>
      </c>
      <c r="C2783" s="1" t="n">
        <v>46132</v>
      </c>
      <c r="D2783" t="inlineStr">
        <is>
          <t>ÖREBRO LÄN</t>
        </is>
      </c>
      <c r="E2783" t="inlineStr">
        <is>
          <t>LINDESBERG</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36859-2025</t>
        </is>
      </c>
      <c r="B2784" s="1" t="n">
        <v>45874.40503472222</v>
      </c>
      <c r="C2784" s="1" t="n">
        <v>46132</v>
      </c>
      <c r="D2784" t="inlineStr">
        <is>
          <t>ÖREBRO LÄN</t>
        </is>
      </c>
      <c r="E2784" t="inlineStr">
        <is>
          <t>LINDESBERG</t>
        </is>
      </c>
      <c r="F2784" t="inlineStr">
        <is>
          <t>Övriga Aktiebolag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61601-2024</t>
        </is>
      </c>
      <c r="B2785" s="1" t="n">
        <v>45646.63839120371</v>
      </c>
      <c r="C2785" s="1" t="n">
        <v>46132</v>
      </c>
      <c r="D2785" t="inlineStr">
        <is>
          <t>ÖREBRO LÄN</t>
        </is>
      </c>
      <c r="E2785" t="inlineStr">
        <is>
          <t>LINDESBERG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62109-2024</t>
        </is>
      </c>
      <c r="B2786" s="1" t="n">
        <v>45656</v>
      </c>
      <c r="C2786" s="1" t="n">
        <v>46132</v>
      </c>
      <c r="D2786" t="inlineStr">
        <is>
          <t>ÖREBRO LÄN</t>
        </is>
      </c>
      <c r="E2786" t="inlineStr">
        <is>
          <t>ASKERSUND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12558-2025</t>
        </is>
      </c>
      <c r="B2787" s="1" t="n">
        <v>45731.46960648148</v>
      </c>
      <c r="C2787" s="1" t="n">
        <v>46132</v>
      </c>
      <c r="D2787" t="inlineStr">
        <is>
          <t>ÖREBRO LÄN</t>
        </is>
      </c>
      <c r="E2787" t="inlineStr">
        <is>
          <t>HÄLLEFORS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47094-2023</t>
        </is>
      </c>
      <c r="B2788" s="1" t="n">
        <v>45196</v>
      </c>
      <c r="C2788" s="1" t="n">
        <v>46132</v>
      </c>
      <c r="D2788" t="inlineStr">
        <is>
          <t>ÖREBRO LÄN</t>
        </is>
      </c>
      <c r="E2788" t="inlineStr">
        <is>
          <t>KARLSKOGA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16643-2023</t>
        </is>
      </c>
      <c r="B2789" s="1" t="n">
        <v>45030.49903935185</v>
      </c>
      <c r="C2789" s="1" t="n">
        <v>46132</v>
      </c>
      <c r="D2789" t="inlineStr">
        <is>
          <t>ÖREBRO LÄN</t>
        </is>
      </c>
      <c r="E2789" t="inlineStr">
        <is>
          <t>ASKERSUND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35345-2024</t>
        </is>
      </c>
      <c r="B2790" s="1" t="n">
        <v>45530</v>
      </c>
      <c r="C2790" s="1" t="n">
        <v>46132</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49498-2024</t>
        </is>
      </c>
      <c r="B2791" s="1" t="n">
        <v>45596.3672337963</v>
      </c>
      <c r="C2791" s="1" t="n">
        <v>46132</v>
      </c>
      <c r="D2791" t="inlineStr">
        <is>
          <t>ÖREBRO LÄN</t>
        </is>
      </c>
      <c r="E2791" t="inlineStr">
        <is>
          <t>NORA</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57645-2025</t>
        </is>
      </c>
      <c r="B2792" s="1" t="n">
        <v>45981.37136574074</v>
      </c>
      <c r="C2792" s="1" t="n">
        <v>46132</v>
      </c>
      <c r="D2792" t="inlineStr">
        <is>
          <t>ÖREBRO LÄN</t>
        </is>
      </c>
      <c r="E2792" t="inlineStr">
        <is>
          <t>LAXÅ</t>
        </is>
      </c>
      <c r="F2792" t="inlineStr">
        <is>
          <t>Sveaskog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57646-2025</t>
        </is>
      </c>
      <c r="B2793" s="1" t="n">
        <v>45981.37197916667</v>
      </c>
      <c r="C2793" s="1" t="n">
        <v>46132</v>
      </c>
      <c r="D2793" t="inlineStr">
        <is>
          <t>ÖREBRO LÄN</t>
        </is>
      </c>
      <c r="E2793" t="inlineStr">
        <is>
          <t>LAXÅ</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12019-2025</t>
        </is>
      </c>
      <c r="B2794" s="1" t="n">
        <v>45728.62653935186</v>
      </c>
      <c r="C2794" s="1" t="n">
        <v>46132</v>
      </c>
      <c r="D2794" t="inlineStr">
        <is>
          <t>ÖREBRO LÄN</t>
        </is>
      </c>
      <c r="E2794" t="inlineStr">
        <is>
          <t>HALLSBERG</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123-2025</t>
        </is>
      </c>
      <c r="B2795" s="1" t="n">
        <v>45659.54851851852</v>
      </c>
      <c r="C2795" s="1" t="n">
        <v>46132</v>
      </c>
      <c r="D2795" t="inlineStr">
        <is>
          <t>ÖREBRO LÄN</t>
        </is>
      </c>
      <c r="E2795" t="inlineStr">
        <is>
          <t>ÖREBRO</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1018-2025</t>
        </is>
      </c>
      <c r="B2796" s="1" t="n">
        <v>45666.49185185185</v>
      </c>
      <c r="C2796" s="1" t="n">
        <v>46132</v>
      </c>
      <c r="D2796" t="inlineStr">
        <is>
          <t>ÖREBRO LÄN</t>
        </is>
      </c>
      <c r="E2796" t="inlineStr">
        <is>
          <t>HÄLLEFORS</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5684-2025</t>
        </is>
      </c>
      <c r="B2797" s="1" t="n">
        <v>45694</v>
      </c>
      <c r="C2797" s="1" t="n">
        <v>46132</v>
      </c>
      <c r="D2797" t="inlineStr">
        <is>
          <t>ÖREBRO LÄN</t>
        </is>
      </c>
      <c r="E2797" t="inlineStr">
        <is>
          <t>HÄLLEFORS</t>
        </is>
      </c>
      <c r="F2797" t="inlineStr">
        <is>
          <t>Bergvik skog väst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26165-2022</t>
        </is>
      </c>
      <c r="B2798" s="1" t="n">
        <v>44734</v>
      </c>
      <c r="C2798" s="1" t="n">
        <v>46132</v>
      </c>
      <c r="D2798" t="inlineStr">
        <is>
          <t>ÖREBRO LÄN</t>
        </is>
      </c>
      <c r="E2798" t="inlineStr">
        <is>
          <t>LJUSNARSBERG</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36789-2025</t>
        </is>
      </c>
      <c r="B2799" s="1" t="n">
        <v>45873.63458333333</v>
      </c>
      <c r="C2799" s="1" t="n">
        <v>46132</v>
      </c>
      <c r="D2799" t="inlineStr">
        <is>
          <t>ÖREBRO LÄN</t>
        </is>
      </c>
      <c r="E2799" t="inlineStr">
        <is>
          <t>HALLSBERG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36670-2025</t>
        </is>
      </c>
      <c r="B2800" s="1" t="n">
        <v>45873</v>
      </c>
      <c r="C2800" s="1" t="n">
        <v>46132</v>
      </c>
      <c r="D2800" t="inlineStr">
        <is>
          <t>ÖREBRO LÄN</t>
        </is>
      </c>
      <c r="E2800" t="inlineStr">
        <is>
          <t>LAXÅ</t>
        </is>
      </c>
      <c r="F2800" t="inlineStr">
        <is>
          <t>Sveaskog</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40450-2023</t>
        </is>
      </c>
      <c r="B2801" s="1" t="n">
        <v>45170</v>
      </c>
      <c r="C2801" s="1" t="n">
        <v>46132</v>
      </c>
      <c r="D2801" t="inlineStr">
        <is>
          <t>ÖREBRO LÄN</t>
        </is>
      </c>
      <c r="E2801" t="inlineStr">
        <is>
          <t>LINDESBERG</t>
        </is>
      </c>
      <c r="F2801" t="inlineStr">
        <is>
          <t>Kyrkan</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10506-2025</t>
        </is>
      </c>
      <c r="B2802" s="1" t="n">
        <v>45721</v>
      </c>
      <c r="C2802" s="1" t="n">
        <v>46132</v>
      </c>
      <c r="D2802" t="inlineStr">
        <is>
          <t>ÖREBRO LÄN</t>
        </is>
      </c>
      <c r="E2802" t="inlineStr">
        <is>
          <t>KARLSKOGA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29884-2022</t>
        </is>
      </c>
      <c r="B2803" s="1" t="n">
        <v>44756</v>
      </c>
      <c r="C2803" s="1" t="n">
        <v>46132</v>
      </c>
      <c r="D2803" t="inlineStr">
        <is>
          <t>ÖREBRO LÄN</t>
        </is>
      </c>
      <c r="E2803" t="inlineStr">
        <is>
          <t>HÄLLEFORS</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34885-2022</t>
        </is>
      </c>
      <c r="B2804" s="1" t="n">
        <v>44796.51725694445</v>
      </c>
      <c r="C2804" s="1" t="n">
        <v>46132</v>
      </c>
      <c r="D2804" t="inlineStr">
        <is>
          <t>ÖREBRO LÄN</t>
        </is>
      </c>
      <c r="E2804" t="inlineStr">
        <is>
          <t>LEKEBERG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16682-2024</t>
        </is>
      </c>
      <c r="B2805" s="1" t="n">
        <v>45408.69633101852</v>
      </c>
      <c r="C2805" s="1" t="n">
        <v>46132</v>
      </c>
      <c r="D2805" t="inlineStr">
        <is>
          <t>ÖREBRO LÄN</t>
        </is>
      </c>
      <c r="E2805" t="inlineStr">
        <is>
          <t>LAXÅ</t>
        </is>
      </c>
      <c r="F2805" t="inlineStr">
        <is>
          <t>Allmännings- och besparingsskogar</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30472-2022</t>
        </is>
      </c>
      <c r="B2806" s="1" t="n">
        <v>44761.70467592592</v>
      </c>
      <c r="C2806" s="1" t="n">
        <v>46132</v>
      </c>
      <c r="D2806" t="inlineStr">
        <is>
          <t>ÖREBRO LÄN</t>
        </is>
      </c>
      <c r="E2806" t="inlineStr">
        <is>
          <t>ÖREBRO</t>
        </is>
      </c>
      <c r="F2806" t="inlineStr">
        <is>
          <t>Övriga Aktiebolag</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22824-2023</t>
        </is>
      </c>
      <c r="B2807" s="1" t="n">
        <v>45072</v>
      </c>
      <c r="C2807" s="1" t="n">
        <v>46132</v>
      </c>
      <c r="D2807" t="inlineStr">
        <is>
          <t>ÖREBRO LÄN</t>
        </is>
      </c>
      <c r="E2807" t="inlineStr">
        <is>
          <t>LINDESBERG</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6869-2025</t>
        </is>
      </c>
      <c r="B2808" s="1" t="n">
        <v>45700</v>
      </c>
      <c r="C2808" s="1" t="n">
        <v>46132</v>
      </c>
      <c r="D2808" t="inlineStr">
        <is>
          <t>ÖREBRO LÄN</t>
        </is>
      </c>
      <c r="E2808" t="inlineStr">
        <is>
          <t>ÖREBRO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12696-2025</t>
        </is>
      </c>
      <c r="B2809" s="1" t="n">
        <v>45733.46162037037</v>
      </c>
      <c r="C2809" s="1" t="n">
        <v>46132</v>
      </c>
      <c r="D2809" t="inlineStr">
        <is>
          <t>ÖREBRO LÄN</t>
        </is>
      </c>
      <c r="E2809" t="inlineStr">
        <is>
          <t>ASKERSUND</t>
        </is>
      </c>
      <c r="F2809" t="inlineStr">
        <is>
          <t>Sveaskog</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37054-2025</t>
        </is>
      </c>
      <c r="B2810" s="1" t="n">
        <v>45875.36756944445</v>
      </c>
      <c r="C2810" s="1" t="n">
        <v>46132</v>
      </c>
      <c r="D2810" t="inlineStr">
        <is>
          <t>ÖREBRO LÄN</t>
        </is>
      </c>
      <c r="E2810" t="inlineStr">
        <is>
          <t>HALLSBERG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37225-2025</t>
        </is>
      </c>
      <c r="B2811" s="1" t="n">
        <v>45876</v>
      </c>
      <c r="C2811" s="1" t="n">
        <v>46132</v>
      </c>
      <c r="D2811" t="inlineStr">
        <is>
          <t>ÖREBRO LÄN</t>
        </is>
      </c>
      <c r="E2811" t="inlineStr">
        <is>
          <t>ASKERSUND</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37229-2025</t>
        </is>
      </c>
      <c r="B2812" s="1" t="n">
        <v>45876.30645833333</v>
      </c>
      <c r="C2812" s="1" t="n">
        <v>46132</v>
      </c>
      <c r="D2812" t="inlineStr">
        <is>
          <t>ÖREBRO LÄN</t>
        </is>
      </c>
      <c r="E2812" t="inlineStr">
        <is>
          <t>HALLSBERG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37226-2025</t>
        </is>
      </c>
      <c r="B2813" s="1" t="n">
        <v>45876</v>
      </c>
      <c r="C2813" s="1" t="n">
        <v>46132</v>
      </c>
      <c r="D2813" t="inlineStr">
        <is>
          <t>ÖREBRO LÄN</t>
        </is>
      </c>
      <c r="E2813" t="inlineStr">
        <is>
          <t>ASKERSUND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29401-2022</t>
        </is>
      </c>
      <c r="B2814" s="1" t="n">
        <v>44753</v>
      </c>
      <c r="C2814" s="1" t="n">
        <v>46132</v>
      </c>
      <c r="D2814" t="inlineStr">
        <is>
          <t>ÖREBRO LÄN</t>
        </is>
      </c>
      <c r="E2814" t="inlineStr">
        <is>
          <t>ASKERSUND</t>
        </is>
      </c>
      <c r="F2814" t="inlineStr">
        <is>
          <t>Övriga Aktiebolag</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37333-2025</t>
        </is>
      </c>
      <c r="B2815" s="1" t="n">
        <v>45876.66482638889</v>
      </c>
      <c r="C2815" s="1" t="n">
        <v>46132</v>
      </c>
      <c r="D2815" t="inlineStr">
        <is>
          <t>ÖREBRO LÄN</t>
        </is>
      </c>
      <c r="E2815" t="inlineStr">
        <is>
          <t>DEGERFORS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57869-2024</t>
        </is>
      </c>
      <c r="B2816" s="1" t="n">
        <v>45631.44207175926</v>
      </c>
      <c r="C2816" s="1" t="n">
        <v>46132</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32010-2025</t>
        </is>
      </c>
      <c r="B2817" s="1" t="n">
        <v>45835.39456018519</v>
      </c>
      <c r="C2817" s="1" t="n">
        <v>46132</v>
      </c>
      <c r="D2817" t="inlineStr">
        <is>
          <t>ÖREBRO LÄN</t>
        </is>
      </c>
      <c r="E2817" t="inlineStr">
        <is>
          <t>LJUSNARSBERG</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17041-2025</t>
        </is>
      </c>
      <c r="B2818" s="1" t="n">
        <v>45755.58488425926</v>
      </c>
      <c r="C2818" s="1" t="n">
        <v>46132</v>
      </c>
      <c r="D2818" t="inlineStr">
        <is>
          <t>ÖREBRO LÄN</t>
        </is>
      </c>
      <c r="E2818" t="inlineStr">
        <is>
          <t>HÄLLEFORS</t>
        </is>
      </c>
      <c r="F2818" t="inlineStr">
        <is>
          <t>Bergvik skog väst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37150-2025</t>
        </is>
      </c>
      <c r="B2819" s="1" t="n">
        <v>45875.5734837963</v>
      </c>
      <c r="C2819" s="1" t="n">
        <v>46132</v>
      </c>
      <c r="D2819" t="inlineStr">
        <is>
          <t>ÖREBRO LÄN</t>
        </is>
      </c>
      <c r="E2819" t="inlineStr">
        <is>
          <t>KARLSKOGA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37228-2025</t>
        </is>
      </c>
      <c r="B2820" s="1" t="n">
        <v>45876.3007175926</v>
      </c>
      <c r="C2820" s="1" t="n">
        <v>46132</v>
      </c>
      <c r="D2820" t="inlineStr">
        <is>
          <t>ÖREBRO LÄN</t>
        </is>
      </c>
      <c r="E2820" t="inlineStr">
        <is>
          <t>HALLSBERG</t>
        </is>
      </c>
      <c r="G2820" t="n">
        <v>16.2</v>
      </c>
      <c r="H2820" t="n">
        <v>0</v>
      </c>
      <c r="I2820" t="n">
        <v>0</v>
      </c>
      <c r="J2820" t="n">
        <v>0</v>
      </c>
      <c r="K2820" t="n">
        <v>0</v>
      </c>
      <c r="L2820" t="n">
        <v>0</v>
      </c>
      <c r="M2820" t="n">
        <v>0</v>
      </c>
      <c r="N2820" t="n">
        <v>0</v>
      </c>
      <c r="O2820" t="n">
        <v>0</v>
      </c>
      <c r="P2820" t="n">
        <v>0</v>
      </c>
      <c r="Q2820" t="n">
        <v>0</v>
      </c>
      <c r="R2820" s="2" t="inlineStr"/>
    </row>
    <row r="2821" ht="15" customHeight="1">
      <c r="A2821" t="inlineStr">
        <is>
          <t>A 37224-2025</t>
        </is>
      </c>
      <c r="B2821" s="1" t="n">
        <v>45876</v>
      </c>
      <c r="C2821" s="1" t="n">
        <v>46132</v>
      </c>
      <c r="D2821" t="inlineStr">
        <is>
          <t>ÖREBRO LÄN</t>
        </is>
      </c>
      <c r="E2821" t="inlineStr">
        <is>
          <t>ASKERSUND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29340-2024</t>
        </is>
      </c>
      <c r="B2822" s="1" t="n">
        <v>45483.46465277778</v>
      </c>
      <c r="C2822" s="1" t="n">
        <v>46132</v>
      </c>
      <c r="D2822" t="inlineStr">
        <is>
          <t>ÖREBRO LÄN</t>
        </is>
      </c>
      <c r="E2822" t="inlineStr">
        <is>
          <t>HÄLLEFORS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17050-2025</t>
        </is>
      </c>
      <c r="B2823" s="1" t="n">
        <v>45755.5997337963</v>
      </c>
      <c r="C2823" s="1" t="n">
        <v>46132</v>
      </c>
      <c r="D2823" t="inlineStr">
        <is>
          <t>ÖREBRO LÄN</t>
        </is>
      </c>
      <c r="E2823" t="inlineStr">
        <is>
          <t>HÄLLEFORS</t>
        </is>
      </c>
      <c r="F2823" t="inlineStr">
        <is>
          <t>Bergvik skog väst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37232-2025</t>
        </is>
      </c>
      <c r="B2824" s="1" t="n">
        <v>45876.34452546296</v>
      </c>
      <c r="C2824" s="1" t="n">
        <v>46132</v>
      </c>
      <c r="D2824" t="inlineStr">
        <is>
          <t>ÖREBRO LÄN</t>
        </is>
      </c>
      <c r="E2824" t="inlineStr">
        <is>
          <t>HÄLLEFORS</t>
        </is>
      </c>
      <c r="F2824" t="inlineStr">
        <is>
          <t>Bergvik skog väst AB</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37265-2025</t>
        </is>
      </c>
      <c r="B2825" s="1" t="n">
        <v>45876.46099537037</v>
      </c>
      <c r="C2825" s="1" t="n">
        <v>46132</v>
      </c>
      <c r="D2825" t="inlineStr">
        <is>
          <t>ÖREBRO LÄN</t>
        </is>
      </c>
      <c r="E2825" t="inlineStr">
        <is>
          <t>DEGERFORS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37301-2025</t>
        </is>
      </c>
      <c r="B2826" s="1" t="n">
        <v>45876.59166666667</v>
      </c>
      <c r="C2826" s="1" t="n">
        <v>46132</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37321-2025</t>
        </is>
      </c>
      <c r="B2827" s="1" t="n">
        <v>45876.62380787037</v>
      </c>
      <c r="C2827" s="1" t="n">
        <v>46132</v>
      </c>
      <c r="D2827" t="inlineStr">
        <is>
          <t>ÖREBRO LÄN</t>
        </is>
      </c>
      <c r="E2827" t="inlineStr">
        <is>
          <t>HALLSBERG</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33692-2023</t>
        </is>
      </c>
      <c r="B2828" s="1" t="n">
        <v>45132.69987268518</v>
      </c>
      <c r="C2828" s="1" t="n">
        <v>46132</v>
      </c>
      <c r="D2828" t="inlineStr">
        <is>
          <t>ÖREBRO LÄN</t>
        </is>
      </c>
      <c r="E2828" t="inlineStr">
        <is>
          <t>LAXÅ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72698-2021</t>
        </is>
      </c>
      <c r="B2829" s="1" t="n">
        <v>44546.6679050926</v>
      </c>
      <c r="C2829" s="1" t="n">
        <v>46132</v>
      </c>
      <c r="D2829" t="inlineStr">
        <is>
          <t>ÖREBRO LÄN</t>
        </is>
      </c>
      <c r="E2829" t="inlineStr">
        <is>
          <t>LINDESBERG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33696-2023</t>
        </is>
      </c>
      <c r="B2830" s="1" t="n">
        <v>45132.71356481482</v>
      </c>
      <c r="C2830" s="1" t="n">
        <v>46132</v>
      </c>
      <c r="D2830" t="inlineStr">
        <is>
          <t>ÖREBRO LÄN</t>
        </is>
      </c>
      <c r="E2830" t="inlineStr">
        <is>
          <t>LAXÅ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37332-2025</t>
        </is>
      </c>
      <c r="B2831" s="1" t="n">
        <v>45876.65920138889</v>
      </c>
      <c r="C2831" s="1" t="n">
        <v>46132</v>
      </c>
      <c r="D2831" t="inlineStr">
        <is>
          <t>ÖREBRO LÄN</t>
        </is>
      </c>
      <c r="E2831" t="inlineStr">
        <is>
          <t>KARLSKOGA</t>
        </is>
      </c>
      <c r="F2831" t="inlineStr">
        <is>
          <t>Kyrkan</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8047-2025</t>
        </is>
      </c>
      <c r="B2832" s="1" t="n">
        <v>45707</v>
      </c>
      <c r="C2832" s="1" t="n">
        <v>46132</v>
      </c>
      <c r="D2832" t="inlineStr">
        <is>
          <t>ÖREBRO LÄN</t>
        </is>
      </c>
      <c r="E2832" t="inlineStr">
        <is>
          <t>ASKERSUND</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8055-2025</t>
        </is>
      </c>
      <c r="B2833" s="1" t="n">
        <v>45707</v>
      </c>
      <c r="C2833" s="1" t="n">
        <v>46132</v>
      </c>
      <c r="D2833" t="inlineStr">
        <is>
          <t>ÖREBRO LÄN</t>
        </is>
      </c>
      <c r="E2833" t="inlineStr">
        <is>
          <t>ASKERSUND</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48285-2023</t>
        </is>
      </c>
      <c r="B2834" s="1" t="n">
        <v>45205.55755787037</v>
      </c>
      <c r="C2834" s="1" t="n">
        <v>46132</v>
      </c>
      <c r="D2834" t="inlineStr">
        <is>
          <t>ÖREBRO LÄN</t>
        </is>
      </c>
      <c r="E2834" t="inlineStr">
        <is>
          <t>DEGERFORS</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37059-2025</t>
        </is>
      </c>
      <c r="B2835" s="1" t="n">
        <v>45875.37520833333</v>
      </c>
      <c r="C2835" s="1" t="n">
        <v>46132</v>
      </c>
      <c r="D2835" t="inlineStr">
        <is>
          <t>ÖREBRO LÄN</t>
        </is>
      </c>
      <c r="E2835" t="inlineStr">
        <is>
          <t>HALLSBERG</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34237-2023</t>
        </is>
      </c>
      <c r="B2836" s="1" t="n">
        <v>45138</v>
      </c>
      <c r="C2836" s="1" t="n">
        <v>46132</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32994-2023</t>
        </is>
      </c>
      <c r="B2837" s="1" t="n">
        <v>45113</v>
      </c>
      <c r="C2837" s="1" t="n">
        <v>46132</v>
      </c>
      <c r="D2837" t="inlineStr">
        <is>
          <t>ÖREBRO LÄN</t>
        </is>
      </c>
      <c r="E2837" t="inlineStr">
        <is>
          <t>LINDESBERG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37049-2025</t>
        </is>
      </c>
      <c r="B2838" s="1" t="n">
        <v>45875.36108796296</v>
      </c>
      <c r="C2838" s="1" t="n">
        <v>46132</v>
      </c>
      <c r="D2838" t="inlineStr">
        <is>
          <t>ÖREBRO LÄN</t>
        </is>
      </c>
      <c r="E2838" t="inlineStr">
        <is>
          <t>HALLSBERG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37048-2025</t>
        </is>
      </c>
      <c r="B2839" s="1" t="n">
        <v>45875.35450231482</v>
      </c>
      <c r="C2839" s="1" t="n">
        <v>46132</v>
      </c>
      <c r="D2839" t="inlineStr">
        <is>
          <t>ÖREBRO LÄN</t>
        </is>
      </c>
      <c r="E2839" t="inlineStr">
        <is>
          <t>HALLSBERG</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52505-2023</t>
        </is>
      </c>
      <c r="B2840" s="1" t="n">
        <v>45225</v>
      </c>
      <c r="C2840" s="1" t="n">
        <v>46132</v>
      </c>
      <c r="D2840" t="inlineStr">
        <is>
          <t>ÖREBRO LÄN</t>
        </is>
      </c>
      <c r="E2840" t="inlineStr">
        <is>
          <t>NORA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29554-2025</t>
        </is>
      </c>
      <c r="B2841" s="1" t="n">
        <v>45825</v>
      </c>
      <c r="C2841" s="1" t="n">
        <v>46132</v>
      </c>
      <c r="D2841" t="inlineStr">
        <is>
          <t>ÖREBRO LÄN</t>
        </is>
      </c>
      <c r="E2841" t="inlineStr">
        <is>
          <t>ÖREBRO</t>
        </is>
      </c>
      <c r="F2841" t="inlineStr">
        <is>
          <t>Övriga Aktiebolag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37323-2025</t>
        </is>
      </c>
      <c r="B2842" s="1" t="n">
        <v>45876.62699074074</v>
      </c>
      <c r="C2842" s="1" t="n">
        <v>46132</v>
      </c>
      <c r="D2842" t="inlineStr">
        <is>
          <t>ÖREBRO LÄN</t>
        </is>
      </c>
      <c r="E2842" t="inlineStr">
        <is>
          <t>HALLSBERG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31921-2022</t>
        </is>
      </c>
      <c r="B2843" s="1" t="n">
        <v>44777</v>
      </c>
      <c r="C2843" s="1" t="n">
        <v>46132</v>
      </c>
      <c r="D2843" t="inlineStr">
        <is>
          <t>ÖREBRO LÄN</t>
        </is>
      </c>
      <c r="E2843" t="inlineStr">
        <is>
          <t>KARLSKOGA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33258-2025</t>
        </is>
      </c>
      <c r="B2844" s="1" t="n">
        <v>45840.67255787037</v>
      </c>
      <c r="C2844" s="1" t="n">
        <v>46132</v>
      </c>
      <c r="D2844" t="inlineStr">
        <is>
          <t>ÖREBRO LÄN</t>
        </is>
      </c>
      <c r="E2844" t="inlineStr">
        <is>
          <t>ASKERSUND</t>
        </is>
      </c>
      <c r="G2844" t="n">
        <v>17.3</v>
      </c>
      <c r="H2844" t="n">
        <v>0</v>
      </c>
      <c r="I2844" t="n">
        <v>0</v>
      </c>
      <c r="J2844" t="n">
        <v>0</v>
      </c>
      <c r="K2844" t="n">
        <v>0</v>
      </c>
      <c r="L2844" t="n">
        <v>0</v>
      </c>
      <c r="M2844" t="n">
        <v>0</v>
      </c>
      <c r="N2844" t="n">
        <v>0</v>
      </c>
      <c r="O2844" t="n">
        <v>0</v>
      </c>
      <c r="P2844" t="n">
        <v>0</v>
      </c>
      <c r="Q2844" t="n">
        <v>0</v>
      </c>
      <c r="R2844" s="2" t="inlineStr"/>
    </row>
    <row r="2845" ht="15" customHeight="1">
      <c r="A2845" t="inlineStr">
        <is>
          <t>A 24913-2023</t>
        </is>
      </c>
      <c r="B2845" s="1" t="n">
        <v>45085.49424768519</v>
      </c>
      <c r="C2845" s="1" t="n">
        <v>46132</v>
      </c>
      <c r="D2845" t="inlineStr">
        <is>
          <t>ÖREBRO LÄN</t>
        </is>
      </c>
      <c r="E2845" t="inlineStr">
        <is>
          <t>LEKEBERG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37500-2025</t>
        </is>
      </c>
      <c r="B2846" s="1" t="n">
        <v>45877.64776620371</v>
      </c>
      <c r="C2846" s="1" t="n">
        <v>46132</v>
      </c>
      <c r="D2846" t="inlineStr">
        <is>
          <t>ÖREBRO LÄN</t>
        </is>
      </c>
      <c r="E2846" t="inlineStr">
        <is>
          <t>LINDESBERG</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37503-2025</t>
        </is>
      </c>
      <c r="B2847" s="1" t="n">
        <v>45877.65075231482</v>
      </c>
      <c r="C2847" s="1" t="n">
        <v>46132</v>
      </c>
      <c r="D2847" t="inlineStr">
        <is>
          <t>ÖREBRO LÄN</t>
        </is>
      </c>
      <c r="E2847" t="inlineStr">
        <is>
          <t>LINDESBERG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37501-2025</t>
        </is>
      </c>
      <c r="B2848" s="1" t="n">
        <v>45877.64847222222</v>
      </c>
      <c r="C2848" s="1" t="n">
        <v>46132</v>
      </c>
      <c r="D2848" t="inlineStr">
        <is>
          <t>ÖREBRO LÄN</t>
        </is>
      </c>
      <c r="E2848" t="inlineStr">
        <is>
          <t>LINDESBERG</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42804-2023</t>
        </is>
      </c>
      <c r="B2849" s="1" t="n">
        <v>45182</v>
      </c>
      <c r="C2849" s="1" t="n">
        <v>46132</v>
      </c>
      <c r="D2849" t="inlineStr">
        <is>
          <t>ÖREBRO LÄN</t>
        </is>
      </c>
      <c r="E2849" t="inlineStr">
        <is>
          <t>KARLSKOGA</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37552-2025</t>
        </is>
      </c>
      <c r="B2850" s="1" t="n">
        <v>45880.28673611111</v>
      </c>
      <c r="C2850" s="1" t="n">
        <v>46132</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16132-2023</t>
        </is>
      </c>
      <c r="B2851" s="1" t="n">
        <v>45027</v>
      </c>
      <c r="C2851" s="1" t="n">
        <v>46132</v>
      </c>
      <c r="D2851" t="inlineStr">
        <is>
          <t>ÖREBRO LÄN</t>
        </is>
      </c>
      <c r="E2851" t="inlineStr">
        <is>
          <t>KUMLA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58765-2025</t>
        </is>
      </c>
      <c r="B2852" s="1" t="n">
        <v>45986.66369212963</v>
      </c>
      <c r="C2852" s="1" t="n">
        <v>46132</v>
      </c>
      <c r="D2852" t="inlineStr">
        <is>
          <t>ÖREBRO LÄN</t>
        </is>
      </c>
      <c r="E2852" t="inlineStr">
        <is>
          <t>HALLSBERG</t>
        </is>
      </c>
      <c r="F2852" t="inlineStr">
        <is>
          <t>Allmännings- och besparingsskogar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36170-2021</t>
        </is>
      </c>
      <c r="B2853" s="1" t="n">
        <v>44389</v>
      </c>
      <c r="C2853" s="1" t="n">
        <v>46132</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58587-2025</t>
        </is>
      </c>
      <c r="B2854" s="1" t="n">
        <v>45986.40208333333</v>
      </c>
      <c r="C2854" s="1" t="n">
        <v>46132</v>
      </c>
      <c r="D2854" t="inlineStr">
        <is>
          <t>ÖREBRO LÄN</t>
        </is>
      </c>
      <c r="E2854" t="inlineStr">
        <is>
          <t>ÖREBRO</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58695-2025</t>
        </is>
      </c>
      <c r="B2855" s="1" t="n">
        <v>45986.58576388889</v>
      </c>
      <c r="C2855" s="1" t="n">
        <v>46132</v>
      </c>
      <c r="D2855" t="inlineStr">
        <is>
          <t>ÖREBRO LÄN</t>
        </is>
      </c>
      <c r="E2855" t="inlineStr">
        <is>
          <t>KARLSKOGA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37727-2025</t>
        </is>
      </c>
      <c r="B2856" s="1" t="n">
        <v>45880.62028935185</v>
      </c>
      <c r="C2856" s="1" t="n">
        <v>46132</v>
      </c>
      <c r="D2856" t="inlineStr">
        <is>
          <t>ÖREBRO LÄN</t>
        </is>
      </c>
      <c r="E2856" t="inlineStr">
        <is>
          <t>HALLSBERG</t>
        </is>
      </c>
      <c r="F2856" t="inlineStr">
        <is>
          <t>Sveaskog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39030-2022</t>
        </is>
      </c>
      <c r="B2857" s="1" t="n">
        <v>44817.34023148148</v>
      </c>
      <c r="C2857" s="1" t="n">
        <v>46132</v>
      </c>
      <c r="D2857" t="inlineStr">
        <is>
          <t>ÖREBRO LÄN</t>
        </is>
      </c>
      <c r="E2857" t="inlineStr">
        <is>
          <t>KARLSKOGA</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37277-2022</t>
        </is>
      </c>
      <c r="B2858" s="1" t="n">
        <v>44807.49150462963</v>
      </c>
      <c r="C2858" s="1" t="n">
        <v>46132</v>
      </c>
      <c r="D2858" t="inlineStr">
        <is>
          <t>ÖREBRO LÄN</t>
        </is>
      </c>
      <c r="E2858" t="inlineStr">
        <is>
          <t>ÖREBRO</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10816-2023</t>
        </is>
      </c>
      <c r="B2859" s="1" t="n">
        <v>44990.43501157407</v>
      </c>
      <c r="C2859" s="1" t="n">
        <v>46132</v>
      </c>
      <c r="D2859" t="inlineStr">
        <is>
          <t>ÖREBRO LÄN</t>
        </is>
      </c>
      <c r="E2859" t="inlineStr">
        <is>
          <t>KARLSKOGA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10822-2023</t>
        </is>
      </c>
      <c r="B2860" s="1" t="n">
        <v>44990</v>
      </c>
      <c r="C2860" s="1" t="n">
        <v>46132</v>
      </c>
      <c r="D2860" t="inlineStr">
        <is>
          <t>ÖREBRO LÄN</t>
        </is>
      </c>
      <c r="E2860" t="inlineStr">
        <is>
          <t>LINDESBERG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37714-2025</t>
        </is>
      </c>
      <c r="B2861" s="1" t="n">
        <v>45880.60302083333</v>
      </c>
      <c r="C2861" s="1" t="n">
        <v>46132</v>
      </c>
      <c r="D2861" t="inlineStr">
        <is>
          <t>ÖREBRO LÄN</t>
        </is>
      </c>
      <c r="E2861" t="inlineStr">
        <is>
          <t>HALLSBERG</t>
        </is>
      </c>
      <c r="F2861" t="inlineStr">
        <is>
          <t>Sveaskog</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37737-2025</t>
        </is>
      </c>
      <c r="B2862" s="1" t="n">
        <v>45880.63737268518</v>
      </c>
      <c r="C2862" s="1" t="n">
        <v>46132</v>
      </c>
      <c r="D2862" t="inlineStr">
        <is>
          <t>ÖREBRO LÄN</t>
        </is>
      </c>
      <c r="E2862" t="inlineStr">
        <is>
          <t>KARLSKOGA</t>
        </is>
      </c>
      <c r="F2862" t="inlineStr">
        <is>
          <t>Kyrkan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37601-2025</t>
        </is>
      </c>
      <c r="B2863" s="1" t="n">
        <v>45880.42255787037</v>
      </c>
      <c r="C2863" s="1" t="n">
        <v>46132</v>
      </c>
      <c r="D2863" t="inlineStr">
        <is>
          <t>ÖREBRO LÄN</t>
        </is>
      </c>
      <c r="E2863" t="inlineStr">
        <is>
          <t>HALLSBERG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58726-2025</t>
        </is>
      </c>
      <c r="B2864" s="1" t="n">
        <v>45986</v>
      </c>
      <c r="C2864" s="1" t="n">
        <v>46132</v>
      </c>
      <c r="D2864" t="inlineStr">
        <is>
          <t>ÖREBRO LÄN</t>
        </is>
      </c>
      <c r="E2864" t="inlineStr">
        <is>
          <t>ASKERSUND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40696-2022</t>
        </is>
      </c>
      <c r="B2865" s="1" t="n">
        <v>44824</v>
      </c>
      <c r="C2865" s="1" t="n">
        <v>46132</v>
      </c>
      <c r="D2865" t="inlineStr">
        <is>
          <t>ÖREBRO LÄN</t>
        </is>
      </c>
      <c r="E2865" t="inlineStr">
        <is>
          <t>LEKEBERG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37491-2025</t>
        </is>
      </c>
      <c r="B2866" s="1" t="n">
        <v>45877.64144675926</v>
      </c>
      <c r="C2866" s="1" t="n">
        <v>46132</v>
      </c>
      <c r="D2866" t="inlineStr">
        <is>
          <t>ÖREBRO LÄN</t>
        </is>
      </c>
      <c r="E2866" t="inlineStr">
        <is>
          <t>LINDESBERG</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37499-2025</t>
        </is>
      </c>
      <c r="B2867" s="1" t="n">
        <v>45877.64605324074</v>
      </c>
      <c r="C2867" s="1" t="n">
        <v>46132</v>
      </c>
      <c r="D2867" t="inlineStr">
        <is>
          <t>ÖREBRO LÄN</t>
        </is>
      </c>
      <c r="E2867" t="inlineStr">
        <is>
          <t>LINDESBERG</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37602-2025</t>
        </is>
      </c>
      <c r="B2868" s="1" t="n">
        <v>45880</v>
      </c>
      <c r="C2868" s="1" t="n">
        <v>46132</v>
      </c>
      <c r="D2868" t="inlineStr">
        <is>
          <t>ÖREBRO LÄN</t>
        </is>
      </c>
      <c r="E2868" t="inlineStr">
        <is>
          <t>LINDESBERG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37620-2025</t>
        </is>
      </c>
      <c r="B2869" s="1" t="n">
        <v>45880.44960648148</v>
      </c>
      <c r="C2869" s="1" t="n">
        <v>46132</v>
      </c>
      <c r="D2869" t="inlineStr">
        <is>
          <t>ÖREBRO LÄN</t>
        </is>
      </c>
      <c r="E2869" t="inlineStr">
        <is>
          <t>LAXÅ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37625-2025</t>
        </is>
      </c>
      <c r="B2870" s="1" t="n">
        <v>45880.46056712963</v>
      </c>
      <c r="C2870" s="1" t="n">
        <v>46132</v>
      </c>
      <c r="D2870" t="inlineStr">
        <is>
          <t>ÖREBRO LÄN</t>
        </is>
      </c>
      <c r="E2870" t="inlineStr">
        <is>
          <t>LINDESBERG</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37553-2025</t>
        </is>
      </c>
      <c r="B2871" s="1" t="n">
        <v>45880.3172337963</v>
      </c>
      <c r="C2871" s="1" t="n">
        <v>46132</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27956-2023</t>
        </is>
      </c>
      <c r="B2872" s="1" t="n">
        <v>45098</v>
      </c>
      <c r="C2872" s="1" t="n">
        <v>46132</v>
      </c>
      <c r="D2872" t="inlineStr">
        <is>
          <t>ÖREBRO LÄN</t>
        </is>
      </c>
      <c r="E2872" t="inlineStr">
        <is>
          <t>ÖREBRO</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37717-2025</t>
        </is>
      </c>
      <c r="B2873" s="1" t="n">
        <v>45880.61226851852</v>
      </c>
      <c r="C2873" s="1" t="n">
        <v>46132</v>
      </c>
      <c r="D2873" t="inlineStr">
        <is>
          <t>ÖREBRO LÄN</t>
        </is>
      </c>
      <c r="E2873" t="inlineStr">
        <is>
          <t>HALLSBERG</t>
        </is>
      </c>
      <c r="F2873" t="inlineStr">
        <is>
          <t>Sveaskog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37718-2025</t>
        </is>
      </c>
      <c r="B2874" s="1" t="n">
        <v>45880.61376157407</v>
      </c>
      <c r="C2874" s="1" t="n">
        <v>46132</v>
      </c>
      <c r="D2874" t="inlineStr">
        <is>
          <t>ÖREBRO LÄN</t>
        </is>
      </c>
      <c r="E2874" t="inlineStr">
        <is>
          <t>HALLSBERG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37497-2025</t>
        </is>
      </c>
      <c r="B2875" s="1" t="n">
        <v>45877.64431712963</v>
      </c>
      <c r="C2875" s="1" t="n">
        <v>46132</v>
      </c>
      <c r="D2875" t="inlineStr">
        <is>
          <t>ÖREBRO LÄN</t>
        </is>
      </c>
      <c r="E2875" t="inlineStr">
        <is>
          <t>LINDESBERG</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57521-2023</t>
        </is>
      </c>
      <c r="B2876" s="1" t="n">
        <v>45240</v>
      </c>
      <c r="C2876" s="1" t="n">
        <v>46132</v>
      </c>
      <c r="D2876" t="inlineStr">
        <is>
          <t>ÖREBRO LÄN</t>
        </is>
      </c>
      <c r="E2876" t="inlineStr">
        <is>
          <t>LAXÅ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57534-2023</t>
        </is>
      </c>
      <c r="B2877" s="1" t="n">
        <v>45240</v>
      </c>
      <c r="C2877" s="1" t="n">
        <v>46132</v>
      </c>
      <c r="D2877" t="inlineStr">
        <is>
          <t>ÖREBRO LÄN</t>
        </is>
      </c>
      <c r="E2877" t="inlineStr">
        <is>
          <t>LAXÅ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20170-2023</t>
        </is>
      </c>
      <c r="B2878" s="1" t="n">
        <v>45055</v>
      </c>
      <c r="C2878" s="1" t="n">
        <v>46132</v>
      </c>
      <c r="D2878" t="inlineStr">
        <is>
          <t>ÖREBRO LÄN</t>
        </is>
      </c>
      <c r="E2878" t="inlineStr">
        <is>
          <t>HÄLLEFORS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5268-2025</t>
        </is>
      </c>
      <c r="B2879" s="1" t="n">
        <v>45692.40298611111</v>
      </c>
      <c r="C2879" s="1" t="n">
        <v>46132</v>
      </c>
      <c r="D2879" t="inlineStr">
        <is>
          <t>ÖREBRO LÄN</t>
        </is>
      </c>
      <c r="E2879" t="inlineStr">
        <is>
          <t>HÄLLEFORS</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37591-2025</t>
        </is>
      </c>
      <c r="B2880" s="1" t="n">
        <v>45880.41182870371</v>
      </c>
      <c r="C2880" s="1" t="n">
        <v>46132</v>
      </c>
      <c r="D2880" t="inlineStr">
        <is>
          <t>ÖREBRO LÄN</t>
        </is>
      </c>
      <c r="E2880" t="inlineStr">
        <is>
          <t>HALLSBERG</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37492-2025</t>
        </is>
      </c>
      <c r="B2881" s="1" t="n">
        <v>45877.64230324074</v>
      </c>
      <c r="C2881" s="1" t="n">
        <v>46132</v>
      </c>
      <c r="D2881" t="inlineStr">
        <is>
          <t>ÖREBRO LÄN</t>
        </is>
      </c>
      <c r="E2881" t="inlineStr">
        <is>
          <t>LINDESBERG</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37550-2025</t>
        </is>
      </c>
      <c r="B2882" s="1" t="n">
        <v>45879.91046296297</v>
      </c>
      <c r="C2882" s="1" t="n">
        <v>46132</v>
      </c>
      <c r="D2882" t="inlineStr">
        <is>
          <t>ÖREBRO LÄN</t>
        </is>
      </c>
      <c r="E2882" t="inlineStr">
        <is>
          <t>NORA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30603-2021</t>
        </is>
      </c>
      <c r="B2883" s="1" t="n">
        <v>44365.28403935185</v>
      </c>
      <c r="C2883" s="1" t="n">
        <v>46132</v>
      </c>
      <c r="D2883" t="inlineStr">
        <is>
          <t>ÖREBRO LÄN</t>
        </is>
      </c>
      <c r="E2883" t="inlineStr">
        <is>
          <t>LEKEBERG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37490-2025</t>
        </is>
      </c>
      <c r="B2884" s="1" t="n">
        <v>45877.63989583333</v>
      </c>
      <c r="C2884" s="1" t="n">
        <v>46132</v>
      </c>
      <c r="D2884" t="inlineStr">
        <is>
          <t>ÖREBRO LÄN</t>
        </is>
      </c>
      <c r="E2884" t="inlineStr">
        <is>
          <t>LINDESBERG</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51331-2023</t>
        </is>
      </c>
      <c r="B2885" s="1" t="n">
        <v>45219</v>
      </c>
      <c r="C2885" s="1" t="n">
        <v>46132</v>
      </c>
      <c r="D2885" t="inlineStr">
        <is>
          <t>ÖREBRO LÄN</t>
        </is>
      </c>
      <c r="E2885" t="inlineStr">
        <is>
          <t>ÖREBRO</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58521-2025</t>
        </is>
      </c>
      <c r="B2886" s="1" t="n">
        <v>45985</v>
      </c>
      <c r="C2886" s="1" t="n">
        <v>46132</v>
      </c>
      <c r="D2886" t="inlineStr">
        <is>
          <t>ÖREBRO LÄN</t>
        </is>
      </c>
      <c r="E2886" t="inlineStr">
        <is>
          <t>NORA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58428-2025</t>
        </is>
      </c>
      <c r="B2887" s="1" t="n">
        <v>45985.60064814815</v>
      </c>
      <c r="C2887" s="1" t="n">
        <v>46132</v>
      </c>
      <c r="D2887" t="inlineStr">
        <is>
          <t>ÖREBRO LÄN</t>
        </is>
      </c>
      <c r="E2887" t="inlineStr">
        <is>
          <t>LEKEBERG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8244-2025</t>
        </is>
      </c>
      <c r="B2888" s="1" t="n">
        <v>45708.4852662037</v>
      </c>
      <c r="C2888" s="1" t="n">
        <v>46132</v>
      </c>
      <c r="D2888" t="inlineStr">
        <is>
          <t>ÖREBRO LÄN</t>
        </is>
      </c>
      <c r="E2888" t="inlineStr">
        <is>
          <t>KARLSKOGA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58690-2025</t>
        </is>
      </c>
      <c r="B2889" s="1" t="n">
        <v>45986.58210648148</v>
      </c>
      <c r="C2889" s="1" t="n">
        <v>46132</v>
      </c>
      <c r="D2889" t="inlineStr">
        <is>
          <t>ÖREBRO LÄN</t>
        </is>
      </c>
      <c r="E2889" t="inlineStr">
        <is>
          <t>LAXÅ</t>
        </is>
      </c>
      <c r="F2889" t="inlineStr">
        <is>
          <t>Sveaskog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38071-2025</t>
        </is>
      </c>
      <c r="B2890" s="1" t="n">
        <v>45882.4412037037</v>
      </c>
      <c r="C2890" s="1" t="n">
        <v>46132</v>
      </c>
      <c r="D2890" t="inlineStr">
        <is>
          <t>ÖREBRO LÄN</t>
        </is>
      </c>
      <c r="E2890" t="inlineStr">
        <is>
          <t>KARLSKOGA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28579-2022</t>
        </is>
      </c>
      <c r="B2891" s="1" t="n">
        <v>44748</v>
      </c>
      <c r="C2891" s="1" t="n">
        <v>46132</v>
      </c>
      <c r="D2891" t="inlineStr">
        <is>
          <t>ÖREBRO LÄN</t>
        </is>
      </c>
      <c r="E2891" t="inlineStr">
        <is>
          <t>LEKEBERG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40588-2021</t>
        </is>
      </c>
      <c r="B2892" s="1" t="n">
        <v>44420</v>
      </c>
      <c r="C2892" s="1" t="n">
        <v>46132</v>
      </c>
      <c r="D2892" t="inlineStr">
        <is>
          <t>ÖREBRO LÄN</t>
        </is>
      </c>
      <c r="E2892" t="inlineStr">
        <is>
          <t>ÖREBRO</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35230-2024</t>
        </is>
      </c>
      <c r="B2893" s="1" t="n">
        <v>45530</v>
      </c>
      <c r="C2893" s="1" t="n">
        <v>46132</v>
      </c>
      <c r="D2893" t="inlineStr">
        <is>
          <t>ÖREBRO LÄN</t>
        </is>
      </c>
      <c r="E2893" t="inlineStr">
        <is>
          <t>LINDESBERG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36276-2024</t>
        </is>
      </c>
      <c r="B2894" s="1" t="n">
        <v>45534.58140046296</v>
      </c>
      <c r="C2894" s="1" t="n">
        <v>46132</v>
      </c>
      <c r="D2894" t="inlineStr">
        <is>
          <t>ÖREBRO LÄN</t>
        </is>
      </c>
      <c r="E2894" t="inlineStr">
        <is>
          <t>HÄLLEFORS</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37942-2025</t>
        </is>
      </c>
      <c r="B2895" s="1" t="n">
        <v>45881.6027662037</v>
      </c>
      <c r="C2895" s="1" t="n">
        <v>46132</v>
      </c>
      <c r="D2895" t="inlineStr">
        <is>
          <t>ÖREBRO LÄN</t>
        </is>
      </c>
      <c r="E2895" t="inlineStr">
        <is>
          <t>LAXÅ</t>
        </is>
      </c>
      <c r="F2895" t="inlineStr">
        <is>
          <t>Sveaskog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12962-2025</t>
        </is>
      </c>
      <c r="B2896" s="1" t="n">
        <v>45734.42104166667</v>
      </c>
      <c r="C2896" s="1" t="n">
        <v>46132</v>
      </c>
      <c r="D2896" t="inlineStr">
        <is>
          <t>ÖREBRO LÄN</t>
        </is>
      </c>
      <c r="E2896" t="inlineStr">
        <is>
          <t>LAXÅ</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58230-2025</t>
        </is>
      </c>
      <c r="B2897" s="1" t="n">
        <v>45985.38037037037</v>
      </c>
      <c r="C2897" s="1" t="n">
        <v>46132</v>
      </c>
      <c r="D2897" t="inlineStr">
        <is>
          <t>ÖREBRO LÄN</t>
        </is>
      </c>
      <c r="E2897" t="inlineStr">
        <is>
          <t>ÖREBRO</t>
        </is>
      </c>
      <c r="F2897" t="inlineStr">
        <is>
          <t>Övriga Aktiebolag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58934-2025</t>
        </is>
      </c>
      <c r="B2898" s="1" t="n">
        <v>45987.56333333333</v>
      </c>
      <c r="C2898" s="1" t="n">
        <v>46132</v>
      </c>
      <c r="D2898" t="inlineStr">
        <is>
          <t>ÖREBRO LÄN</t>
        </is>
      </c>
      <c r="E2898" t="inlineStr">
        <is>
          <t>HÄLLEFORS</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58949-2025</t>
        </is>
      </c>
      <c r="B2899" s="1" t="n">
        <v>45987.58652777778</v>
      </c>
      <c r="C2899" s="1" t="n">
        <v>46132</v>
      </c>
      <c r="D2899" t="inlineStr">
        <is>
          <t>ÖREBRO LÄN</t>
        </is>
      </c>
      <c r="E2899" t="inlineStr">
        <is>
          <t>HÄLLEFORS</t>
        </is>
      </c>
      <c r="F2899" t="inlineStr">
        <is>
          <t>Bergvik skog väst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58963-2025</t>
        </is>
      </c>
      <c r="B2900" s="1" t="n">
        <v>45987.60012731481</v>
      </c>
      <c r="C2900" s="1" t="n">
        <v>46132</v>
      </c>
      <c r="D2900" t="inlineStr">
        <is>
          <t>ÖREBRO LÄN</t>
        </is>
      </c>
      <c r="E2900" t="inlineStr">
        <is>
          <t>LINDESBERG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59165-2025</t>
        </is>
      </c>
      <c r="B2901" s="1" t="n">
        <v>45988</v>
      </c>
      <c r="C2901" s="1" t="n">
        <v>46132</v>
      </c>
      <c r="D2901" t="inlineStr">
        <is>
          <t>ÖREBRO LÄN</t>
        </is>
      </c>
      <c r="E2901" t="inlineStr">
        <is>
          <t>HALLSBERG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59232-2025</t>
        </is>
      </c>
      <c r="B2902" s="1" t="n">
        <v>45988.62762731482</v>
      </c>
      <c r="C2902" s="1" t="n">
        <v>46132</v>
      </c>
      <c r="D2902" t="inlineStr">
        <is>
          <t>ÖREBRO LÄN</t>
        </is>
      </c>
      <c r="E2902" t="inlineStr">
        <is>
          <t>ASKERSUND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59049-2025</t>
        </is>
      </c>
      <c r="B2903" s="1" t="n">
        <v>45988.38333333333</v>
      </c>
      <c r="C2903" s="1" t="n">
        <v>46132</v>
      </c>
      <c r="D2903" t="inlineStr">
        <is>
          <t>ÖREBRO LÄN</t>
        </is>
      </c>
      <c r="E2903" t="inlineStr">
        <is>
          <t>HALLSBERG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58806-2025</t>
        </is>
      </c>
      <c r="B2904" s="1" t="n">
        <v>45987</v>
      </c>
      <c r="C2904" s="1" t="n">
        <v>46132</v>
      </c>
      <c r="D2904" t="inlineStr">
        <is>
          <t>ÖREBRO LÄN</t>
        </is>
      </c>
      <c r="E2904" t="inlineStr">
        <is>
          <t>ASKERSUND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59235-2025</t>
        </is>
      </c>
      <c r="B2905" s="1" t="n">
        <v>45988.62976851852</v>
      </c>
      <c r="C2905" s="1" t="n">
        <v>46132</v>
      </c>
      <c r="D2905" t="inlineStr">
        <is>
          <t>ÖREBRO LÄN</t>
        </is>
      </c>
      <c r="E2905" t="inlineStr">
        <is>
          <t>ASKERSUND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59236-2025</t>
        </is>
      </c>
      <c r="B2906" s="1" t="n">
        <v>45988.63138888889</v>
      </c>
      <c r="C2906" s="1" t="n">
        <v>46132</v>
      </c>
      <c r="D2906" t="inlineStr">
        <is>
          <t>ÖREBRO LÄN</t>
        </is>
      </c>
      <c r="E2906" t="inlineStr">
        <is>
          <t>ASKERSUND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59238-2025</t>
        </is>
      </c>
      <c r="B2907" s="1" t="n">
        <v>45988.63296296296</v>
      </c>
      <c r="C2907" s="1" t="n">
        <v>46132</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28100-2024</t>
        </is>
      </c>
      <c r="B2908" s="1" t="n">
        <v>45476.61674768518</v>
      </c>
      <c r="C2908" s="1" t="n">
        <v>46132</v>
      </c>
      <c r="D2908" t="inlineStr">
        <is>
          <t>ÖREBRO LÄN</t>
        </is>
      </c>
      <c r="E2908" t="inlineStr">
        <is>
          <t>KARLSKOGA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59145-2025</t>
        </is>
      </c>
      <c r="B2909" s="1" t="n">
        <v>45988.52015046297</v>
      </c>
      <c r="C2909" s="1" t="n">
        <v>46132</v>
      </c>
      <c r="D2909" t="inlineStr">
        <is>
          <t>ÖREBRO LÄN</t>
        </is>
      </c>
      <c r="E2909" t="inlineStr">
        <is>
          <t>ÖREBRO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26022-2023</t>
        </is>
      </c>
      <c r="B2910" s="1" t="n">
        <v>45091.29174768519</v>
      </c>
      <c r="C2910" s="1" t="n">
        <v>46132</v>
      </c>
      <c r="D2910" t="inlineStr">
        <is>
          <t>ÖREBRO LÄN</t>
        </is>
      </c>
      <c r="E2910" t="inlineStr">
        <is>
          <t>NORA</t>
        </is>
      </c>
      <c r="F2910" t="inlineStr">
        <is>
          <t>Kyrkan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58940-2025</t>
        </is>
      </c>
      <c r="B2911" s="1" t="n">
        <v>45987.57128472222</v>
      </c>
      <c r="C2911" s="1" t="n">
        <v>46132</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58930-2025</t>
        </is>
      </c>
      <c r="B2912" s="1" t="n">
        <v>45987.55640046296</v>
      </c>
      <c r="C2912" s="1" t="n">
        <v>46132</v>
      </c>
      <c r="D2912" t="inlineStr">
        <is>
          <t>ÖREBRO LÄN</t>
        </is>
      </c>
      <c r="E2912" t="inlineStr">
        <is>
          <t>HÄLLEFORS</t>
        </is>
      </c>
      <c r="F2912" t="inlineStr">
        <is>
          <t>Bergvik skog väst AB</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58941-2025</t>
        </is>
      </c>
      <c r="B2913" s="1" t="n">
        <v>45987.57491898148</v>
      </c>
      <c r="C2913" s="1" t="n">
        <v>46132</v>
      </c>
      <c r="D2913" t="inlineStr">
        <is>
          <t>ÖREBRO LÄN</t>
        </is>
      </c>
      <c r="E2913" t="inlineStr">
        <is>
          <t>HÄLLEFORS</t>
        </is>
      </c>
      <c r="F2913" t="inlineStr">
        <is>
          <t>Bergvik skog väst AB</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58942-2025</t>
        </is>
      </c>
      <c r="B2914" s="1" t="n">
        <v>45987.57672453704</v>
      </c>
      <c r="C2914" s="1" t="n">
        <v>46132</v>
      </c>
      <c r="D2914" t="inlineStr">
        <is>
          <t>ÖREBRO LÄN</t>
        </is>
      </c>
      <c r="E2914" t="inlineStr">
        <is>
          <t>HÄLLEFORS</t>
        </is>
      </c>
      <c r="F2914" t="inlineStr">
        <is>
          <t>Bergvik skog väst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58947-2025</t>
        </is>
      </c>
      <c r="B2915" s="1" t="n">
        <v>45987.58177083333</v>
      </c>
      <c r="C2915" s="1" t="n">
        <v>46132</v>
      </c>
      <c r="D2915" t="inlineStr">
        <is>
          <t>ÖREBRO LÄN</t>
        </is>
      </c>
      <c r="E2915" t="inlineStr">
        <is>
          <t>HÄLLEFORS</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15650-2023</t>
        </is>
      </c>
      <c r="B2916" s="1" t="n">
        <v>45021.38399305556</v>
      </c>
      <c r="C2916" s="1" t="n">
        <v>46132</v>
      </c>
      <c r="D2916" t="inlineStr">
        <is>
          <t>ÖREBRO LÄN</t>
        </is>
      </c>
      <c r="E2916" t="inlineStr">
        <is>
          <t>LAXÅ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6761-2025</t>
        </is>
      </c>
      <c r="B2917" s="1" t="n">
        <v>45700.62762731482</v>
      </c>
      <c r="C2917" s="1" t="n">
        <v>46132</v>
      </c>
      <c r="D2917" t="inlineStr">
        <is>
          <t>ÖREBRO LÄN</t>
        </is>
      </c>
      <c r="E2917" t="inlineStr">
        <is>
          <t>HÄLLEFORS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38010-2025</t>
        </is>
      </c>
      <c r="B2918" s="1" t="n">
        <v>45882.3046412037</v>
      </c>
      <c r="C2918" s="1" t="n">
        <v>46132</v>
      </c>
      <c r="D2918" t="inlineStr">
        <is>
          <t>ÖREBRO LÄN</t>
        </is>
      </c>
      <c r="E2918" t="inlineStr">
        <is>
          <t>HALLSBERG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20470-2025</t>
        </is>
      </c>
      <c r="B2919" s="1" t="n">
        <v>45775.54530092593</v>
      </c>
      <c r="C2919" s="1" t="n">
        <v>46132</v>
      </c>
      <c r="D2919" t="inlineStr">
        <is>
          <t>ÖREBRO LÄN</t>
        </is>
      </c>
      <c r="E2919" t="inlineStr">
        <is>
          <t>KARLSKOGA</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37898-2025</t>
        </is>
      </c>
      <c r="B2920" s="1" t="n">
        <v>45881.55846064815</v>
      </c>
      <c r="C2920" s="1" t="n">
        <v>46132</v>
      </c>
      <c r="D2920" t="inlineStr">
        <is>
          <t>ÖREBRO LÄN</t>
        </is>
      </c>
      <c r="E2920" t="inlineStr">
        <is>
          <t>LEKEBERG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37930-2025</t>
        </is>
      </c>
      <c r="B2921" s="1" t="n">
        <v>45881.58667824074</v>
      </c>
      <c r="C2921" s="1" t="n">
        <v>46132</v>
      </c>
      <c r="D2921" t="inlineStr">
        <is>
          <t>ÖREBRO LÄN</t>
        </is>
      </c>
      <c r="E2921" t="inlineStr">
        <is>
          <t>ASKERSUND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58835-2025</t>
        </is>
      </c>
      <c r="B2922" s="1" t="n">
        <v>45987.35519675926</v>
      </c>
      <c r="C2922" s="1" t="n">
        <v>46132</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38008-2025</t>
        </is>
      </c>
      <c r="B2923" s="1" t="n">
        <v>45882.29001157408</v>
      </c>
      <c r="C2923" s="1" t="n">
        <v>46132</v>
      </c>
      <c r="D2923" t="inlineStr">
        <is>
          <t>ÖREBRO LÄN</t>
        </is>
      </c>
      <c r="E2923" t="inlineStr">
        <is>
          <t>HALLSBERG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37797-2025</t>
        </is>
      </c>
      <c r="B2924" s="1" t="n">
        <v>45881.34215277778</v>
      </c>
      <c r="C2924" s="1" t="n">
        <v>46132</v>
      </c>
      <c r="D2924" t="inlineStr">
        <is>
          <t>ÖREBRO LÄN</t>
        </is>
      </c>
      <c r="E2924" t="inlineStr">
        <is>
          <t>HALLSBERG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37935-2025</t>
        </is>
      </c>
      <c r="B2925" s="1" t="n">
        <v>45881.59550925926</v>
      </c>
      <c r="C2925" s="1" t="n">
        <v>46132</v>
      </c>
      <c r="D2925" t="inlineStr">
        <is>
          <t>ÖREBRO LÄN</t>
        </is>
      </c>
      <c r="E2925" t="inlineStr">
        <is>
          <t>LINDESBERG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6905-2025</t>
        </is>
      </c>
      <c r="B2926" s="1" t="n">
        <v>45701</v>
      </c>
      <c r="C2926" s="1" t="n">
        <v>46132</v>
      </c>
      <c r="D2926" t="inlineStr">
        <is>
          <t>ÖREBRO LÄN</t>
        </is>
      </c>
      <c r="E2926" t="inlineStr">
        <is>
          <t>LAXÅ</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15594-2025</t>
        </is>
      </c>
      <c r="B2927" s="1" t="n">
        <v>45747.88466435186</v>
      </c>
      <c r="C2927" s="1" t="n">
        <v>46132</v>
      </c>
      <c r="D2927" t="inlineStr">
        <is>
          <t>ÖREBRO LÄN</t>
        </is>
      </c>
      <c r="E2927" t="inlineStr">
        <is>
          <t>DEGERFORS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38148-2025</t>
        </is>
      </c>
      <c r="B2928" s="1" t="n">
        <v>45882.58855324074</v>
      </c>
      <c r="C2928" s="1" t="n">
        <v>46132</v>
      </c>
      <c r="D2928" t="inlineStr">
        <is>
          <t>ÖREBRO LÄN</t>
        </is>
      </c>
      <c r="E2928" t="inlineStr">
        <is>
          <t>HÄLLEFORS</t>
        </is>
      </c>
      <c r="F2928" t="inlineStr">
        <is>
          <t>Bergvik skog väst AB</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38179-2025</t>
        </is>
      </c>
      <c r="B2929" s="1" t="n">
        <v>45882.64409722222</v>
      </c>
      <c r="C2929" s="1" t="n">
        <v>46132</v>
      </c>
      <c r="D2929" t="inlineStr">
        <is>
          <t>ÖREBRO LÄN</t>
        </is>
      </c>
      <c r="E2929" t="inlineStr">
        <is>
          <t>HALLSBERG</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37837-2025</t>
        </is>
      </c>
      <c r="B2930" s="1" t="n">
        <v>45881.42791666667</v>
      </c>
      <c r="C2930" s="1" t="n">
        <v>46132</v>
      </c>
      <c r="D2930" t="inlineStr">
        <is>
          <t>ÖREBRO LÄN</t>
        </is>
      </c>
      <c r="E2930" t="inlineStr">
        <is>
          <t>LINDESBERG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58938-2025</t>
        </is>
      </c>
      <c r="B2931" s="1" t="n">
        <v>45987.56550925926</v>
      </c>
      <c r="C2931" s="1" t="n">
        <v>46132</v>
      </c>
      <c r="D2931" t="inlineStr">
        <is>
          <t>ÖREBRO LÄN</t>
        </is>
      </c>
      <c r="E2931" t="inlineStr">
        <is>
          <t>HÄLLEFORS</t>
        </is>
      </c>
      <c r="F2931" t="inlineStr">
        <is>
          <t>Bergvik skog väst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9198-2025</t>
        </is>
      </c>
      <c r="B2932" s="1" t="n">
        <v>45714</v>
      </c>
      <c r="C2932" s="1" t="n">
        <v>46132</v>
      </c>
      <c r="D2932" t="inlineStr">
        <is>
          <t>ÖREBRO LÄN</t>
        </is>
      </c>
      <c r="E2932" t="inlineStr">
        <is>
          <t>LINDESBERG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59522-2025</t>
        </is>
      </c>
      <c r="B2933" s="1" t="n">
        <v>45989.6597800926</v>
      </c>
      <c r="C2933" s="1" t="n">
        <v>46132</v>
      </c>
      <c r="D2933" t="inlineStr">
        <is>
          <t>ÖREBRO LÄN</t>
        </is>
      </c>
      <c r="E2933" t="inlineStr">
        <is>
          <t>KARLSKOGA</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16618-2023</t>
        </is>
      </c>
      <c r="B2934" s="1" t="n">
        <v>45030</v>
      </c>
      <c r="C2934" s="1" t="n">
        <v>46132</v>
      </c>
      <c r="D2934" t="inlineStr">
        <is>
          <t>ÖREBRO LÄN</t>
        </is>
      </c>
      <c r="E2934" t="inlineStr">
        <is>
          <t>LINDESBERG</t>
        </is>
      </c>
      <c r="F2934" t="inlineStr">
        <is>
          <t>Kommuner</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11139-2023</t>
        </is>
      </c>
      <c r="B2935" s="1" t="n">
        <v>44987</v>
      </c>
      <c r="C2935" s="1" t="n">
        <v>46132</v>
      </c>
      <c r="D2935" t="inlineStr">
        <is>
          <t>ÖREBRO LÄN</t>
        </is>
      </c>
      <c r="E2935" t="inlineStr">
        <is>
          <t>LAXÅ</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59312-2025</t>
        </is>
      </c>
      <c r="B2936" s="1" t="n">
        <v>45989.30467592592</v>
      </c>
      <c r="C2936" s="1" t="n">
        <v>46132</v>
      </c>
      <c r="D2936" t="inlineStr">
        <is>
          <t>ÖREBRO LÄN</t>
        </is>
      </c>
      <c r="E2936" t="inlineStr">
        <is>
          <t>ÖREBRO</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10467-2025</t>
        </is>
      </c>
      <c r="B2937" s="1" t="n">
        <v>45720.83359953704</v>
      </c>
      <c r="C2937" s="1" t="n">
        <v>46132</v>
      </c>
      <c r="D2937" t="inlineStr">
        <is>
          <t>ÖREBRO LÄN</t>
        </is>
      </c>
      <c r="E2937" t="inlineStr">
        <is>
          <t>LEKEBERG</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38179-2023</t>
        </is>
      </c>
      <c r="B2938" s="1" t="n">
        <v>45161.45337962963</v>
      </c>
      <c r="C2938" s="1" t="n">
        <v>46132</v>
      </c>
      <c r="D2938" t="inlineStr">
        <is>
          <t>ÖREBRO LÄN</t>
        </is>
      </c>
      <c r="E2938" t="inlineStr">
        <is>
          <t>NORA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2910-2025</t>
        </is>
      </c>
      <c r="B2939" s="1" t="n">
        <v>45677</v>
      </c>
      <c r="C2939" s="1" t="n">
        <v>46132</v>
      </c>
      <c r="D2939" t="inlineStr">
        <is>
          <t>ÖREBRO LÄN</t>
        </is>
      </c>
      <c r="E2939" t="inlineStr">
        <is>
          <t>HALLSBERG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59313-2025</t>
        </is>
      </c>
      <c r="B2940" s="1" t="n">
        <v>45989.30920138889</v>
      </c>
      <c r="C2940" s="1" t="n">
        <v>46132</v>
      </c>
      <c r="D2940" t="inlineStr">
        <is>
          <t>ÖREBRO LÄN</t>
        </is>
      </c>
      <c r="E2940" t="inlineStr">
        <is>
          <t>ÖREBRO</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44972-2021</t>
        </is>
      </c>
      <c r="B2941" s="1" t="n">
        <v>44438</v>
      </c>
      <c r="C2941" s="1" t="n">
        <v>46132</v>
      </c>
      <c r="D2941" t="inlineStr">
        <is>
          <t>ÖREBRO LÄN</t>
        </is>
      </c>
      <c r="E2941" t="inlineStr">
        <is>
          <t>ASKERSUND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38509-2025</t>
        </is>
      </c>
      <c r="B2942" s="1" t="n">
        <v>45884.38858796296</v>
      </c>
      <c r="C2942" s="1" t="n">
        <v>46132</v>
      </c>
      <c r="D2942" t="inlineStr">
        <is>
          <t>ÖREBRO LÄN</t>
        </is>
      </c>
      <c r="E2942" t="inlineStr">
        <is>
          <t>LINDESBERG</t>
        </is>
      </c>
      <c r="G2942" t="n">
        <v>14.9</v>
      </c>
      <c r="H2942" t="n">
        <v>0</v>
      </c>
      <c r="I2942" t="n">
        <v>0</v>
      </c>
      <c r="J2942" t="n">
        <v>0</v>
      </c>
      <c r="K2942" t="n">
        <v>0</v>
      </c>
      <c r="L2942" t="n">
        <v>0</v>
      </c>
      <c r="M2942" t="n">
        <v>0</v>
      </c>
      <c r="N2942" t="n">
        <v>0</v>
      </c>
      <c r="O2942" t="n">
        <v>0</v>
      </c>
      <c r="P2942" t="n">
        <v>0</v>
      </c>
      <c r="Q2942" t="n">
        <v>0</v>
      </c>
      <c r="R2942" s="2" t="inlineStr"/>
    </row>
    <row r="2943" ht="15" customHeight="1">
      <c r="A2943" t="inlineStr">
        <is>
          <t>A 38532-2025</t>
        </is>
      </c>
      <c r="B2943" s="1" t="n">
        <v>45884</v>
      </c>
      <c r="C2943" s="1" t="n">
        <v>46132</v>
      </c>
      <c r="D2943" t="inlineStr">
        <is>
          <t>ÖREBRO LÄN</t>
        </is>
      </c>
      <c r="E2943" t="inlineStr">
        <is>
          <t>HÄLLEFORS</t>
        </is>
      </c>
      <c r="F2943" t="inlineStr">
        <is>
          <t>Bergvik skog väst AB</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34898-2021</t>
        </is>
      </c>
      <c r="B2944" s="1" t="n">
        <v>44383</v>
      </c>
      <c r="C2944" s="1" t="n">
        <v>46132</v>
      </c>
      <c r="D2944" t="inlineStr">
        <is>
          <t>ÖREBRO LÄN</t>
        </is>
      </c>
      <c r="E2944" t="inlineStr">
        <is>
          <t>HÄLLEFORS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40231-2022</t>
        </is>
      </c>
      <c r="B2945" s="1" t="n">
        <v>44820</v>
      </c>
      <c r="C2945" s="1" t="n">
        <v>46132</v>
      </c>
      <c r="D2945" t="inlineStr">
        <is>
          <t>ÖREBRO LÄN</t>
        </is>
      </c>
      <c r="E2945" t="inlineStr">
        <is>
          <t>ÖREBRO</t>
        </is>
      </c>
      <c r="F2945" t="inlineStr">
        <is>
          <t>Allmännings- och besparingsskogar</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59856-2025</t>
        </is>
      </c>
      <c r="B2946" s="1" t="n">
        <v>45992.74891203704</v>
      </c>
      <c r="C2946" s="1" t="n">
        <v>46132</v>
      </c>
      <c r="D2946" t="inlineStr">
        <is>
          <t>ÖREBRO LÄN</t>
        </is>
      </c>
      <c r="E2946" t="inlineStr">
        <is>
          <t>ÖREBRO</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4284-2025</t>
        </is>
      </c>
      <c r="B2947" s="1" t="n">
        <v>45685</v>
      </c>
      <c r="C2947" s="1" t="n">
        <v>46132</v>
      </c>
      <c r="D2947" t="inlineStr">
        <is>
          <t>ÖREBRO LÄN</t>
        </is>
      </c>
      <c r="E2947" t="inlineStr">
        <is>
          <t>ÖREBRO</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4298-2025</t>
        </is>
      </c>
      <c r="B2948" s="1" t="n">
        <v>45685</v>
      </c>
      <c r="C2948" s="1" t="n">
        <v>46132</v>
      </c>
      <c r="D2948" t="inlineStr">
        <is>
          <t>ÖREBRO LÄN</t>
        </is>
      </c>
      <c r="E2948" t="inlineStr">
        <is>
          <t>LINDESBERG</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51344-2023</t>
        </is>
      </c>
      <c r="B2949" s="1" t="n">
        <v>45219.59462962963</v>
      </c>
      <c r="C2949" s="1" t="n">
        <v>46132</v>
      </c>
      <c r="D2949" t="inlineStr">
        <is>
          <t>ÖREBRO LÄN</t>
        </is>
      </c>
      <c r="E2949" t="inlineStr">
        <is>
          <t>KARLSKOGA</t>
        </is>
      </c>
      <c r="F2949" t="inlineStr">
        <is>
          <t>Övriga Aktiebolag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63905-2021</t>
        </is>
      </c>
      <c r="B2950" s="1" t="n">
        <v>44509.65712962963</v>
      </c>
      <c r="C2950" s="1" t="n">
        <v>46132</v>
      </c>
      <c r="D2950" t="inlineStr">
        <is>
          <t>ÖREBRO LÄN</t>
        </is>
      </c>
      <c r="E2950" t="inlineStr">
        <is>
          <t>DEGERFORS</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4999-2025</t>
        </is>
      </c>
      <c r="B2951" s="1" t="n">
        <v>45691.36253472222</v>
      </c>
      <c r="C2951" s="1" t="n">
        <v>46132</v>
      </c>
      <c r="D2951" t="inlineStr">
        <is>
          <t>ÖREBRO LÄN</t>
        </is>
      </c>
      <c r="E2951" t="inlineStr">
        <is>
          <t>LINDESBERG</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25443-2021</t>
        </is>
      </c>
      <c r="B2952" s="1" t="n">
        <v>44342</v>
      </c>
      <c r="C2952" s="1" t="n">
        <v>46132</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29104-2021</t>
        </is>
      </c>
      <c r="B2953" s="1" t="n">
        <v>44358.58163194444</v>
      </c>
      <c r="C2953" s="1" t="n">
        <v>46132</v>
      </c>
      <c r="D2953" t="inlineStr">
        <is>
          <t>ÖREBRO LÄN</t>
        </is>
      </c>
      <c r="E2953" t="inlineStr">
        <is>
          <t>ASKERSUND</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59770-2025</t>
        </is>
      </c>
      <c r="B2954" s="1" t="n">
        <v>45992.60303240741</v>
      </c>
      <c r="C2954" s="1" t="n">
        <v>46132</v>
      </c>
      <c r="D2954" t="inlineStr">
        <is>
          <t>ÖREBRO LÄN</t>
        </is>
      </c>
      <c r="E2954" t="inlineStr">
        <is>
          <t>LAXÅ</t>
        </is>
      </c>
      <c r="F2954" t="inlineStr">
        <is>
          <t>Sveaskog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28692-2022</t>
        </is>
      </c>
      <c r="B2955" s="1" t="n">
        <v>44748.73148148148</v>
      </c>
      <c r="C2955" s="1" t="n">
        <v>46132</v>
      </c>
      <c r="D2955" t="inlineStr">
        <is>
          <t>ÖREBRO LÄN</t>
        </is>
      </c>
      <c r="E2955" t="inlineStr">
        <is>
          <t>ASKERSUND</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51239-2023</t>
        </is>
      </c>
      <c r="B2956" s="1" t="n">
        <v>45219</v>
      </c>
      <c r="C2956" s="1" t="n">
        <v>46132</v>
      </c>
      <c r="D2956" t="inlineStr">
        <is>
          <t>ÖREBRO LÄN</t>
        </is>
      </c>
      <c r="E2956" t="inlineStr">
        <is>
          <t>KUMLA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45645-2022</t>
        </is>
      </c>
      <c r="B2957" s="1" t="n">
        <v>44845.65557870371</v>
      </c>
      <c r="C2957" s="1" t="n">
        <v>46132</v>
      </c>
      <c r="D2957" t="inlineStr">
        <is>
          <t>ÖREBRO LÄN</t>
        </is>
      </c>
      <c r="E2957" t="inlineStr">
        <is>
          <t>NORA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18657-2025</t>
        </is>
      </c>
      <c r="B2958" s="1" t="n">
        <v>45763.57651620371</v>
      </c>
      <c r="C2958" s="1" t="n">
        <v>46132</v>
      </c>
      <c r="D2958" t="inlineStr">
        <is>
          <t>ÖREBRO LÄN</t>
        </is>
      </c>
      <c r="E2958" t="inlineStr">
        <is>
          <t>HÄLLEFORS</t>
        </is>
      </c>
      <c r="F2958" t="inlineStr">
        <is>
          <t>Bergvik skog väst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15892-2025</t>
        </is>
      </c>
      <c r="B2959" s="1" t="n">
        <v>45749</v>
      </c>
      <c r="C2959" s="1" t="n">
        <v>46132</v>
      </c>
      <c r="D2959" t="inlineStr">
        <is>
          <t>ÖREBRO LÄN</t>
        </is>
      </c>
      <c r="E2959" t="inlineStr">
        <is>
          <t>LINDESBERG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41886-2023</t>
        </is>
      </c>
      <c r="B2960" s="1" t="n">
        <v>45176.68957175926</v>
      </c>
      <c r="C2960" s="1" t="n">
        <v>46132</v>
      </c>
      <c r="D2960" t="inlineStr">
        <is>
          <t>ÖREBRO LÄN</t>
        </is>
      </c>
      <c r="E2960" t="inlineStr">
        <is>
          <t>HALLSBERG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24624-2023</t>
        </is>
      </c>
      <c r="B2961" s="1" t="n">
        <v>45084</v>
      </c>
      <c r="C2961" s="1" t="n">
        <v>46132</v>
      </c>
      <c r="D2961" t="inlineStr">
        <is>
          <t>ÖREBRO LÄN</t>
        </is>
      </c>
      <c r="E2961" t="inlineStr">
        <is>
          <t>HALLSBERG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10204-2025</t>
        </is>
      </c>
      <c r="B2962" s="1" t="n">
        <v>45719.76690972222</v>
      </c>
      <c r="C2962" s="1" t="n">
        <v>46132</v>
      </c>
      <c r="D2962" t="inlineStr">
        <is>
          <t>ÖREBRO LÄN</t>
        </is>
      </c>
      <c r="E2962" t="inlineStr">
        <is>
          <t>ASKERSUND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60152-2025</t>
        </is>
      </c>
      <c r="B2963" s="1" t="n">
        <v>45994</v>
      </c>
      <c r="C2963" s="1" t="n">
        <v>46132</v>
      </c>
      <c r="D2963" t="inlineStr">
        <is>
          <t>ÖREBRO LÄN</t>
        </is>
      </c>
      <c r="E2963" t="inlineStr">
        <is>
          <t>NORA</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60166-2025</t>
        </is>
      </c>
      <c r="B2964" s="1" t="n">
        <v>45994</v>
      </c>
      <c r="C2964" s="1" t="n">
        <v>46132</v>
      </c>
      <c r="D2964" t="inlineStr">
        <is>
          <t>ÖREBRO LÄN</t>
        </is>
      </c>
      <c r="E2964" t="inlineStr">
        <is>
          <t>NORA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60169-2025</t>
        </is>
      </c>
      <c r="B2965" s="1" t="n">
        <v>45994</v>
      </c>
      <c r="C2965" s="1" t="n">
        <v>46132</v>
      </c>
      <c r="D2965" t="inlineStr">
        <is>
          <t>ÖREBRO LÄN</t>
        </is>
      </c>
      <c r="E2965" t="inlineStr">
        <is>
          <t>NORA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14677-2025</t>
        </is>
      </c>
      <c r="B2966" s="1" t="n">
        <v>45742.56465277778</v>
      </c>
      <c r="C2966" s="1" t="n">
        <v>46132</v>
      </c>
      <c r="D2966" t="inlineStr">
        <is>
          <t>ÖREBRO LÄN</t>
        </is>
      </c>
      <c r="E2966" t="inlineStr">
        <is>
          <t>DEGERFORS</t>
        </is>
      </c>
      <c r="F2966" t="inlineStr">
        <is>
          <t>Sveaskog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59857-2025</t>
        </is>
      </c>
      <c r="B2967" s="1" t="n">
        <v>45992.75820601852</v>
      </c>
      <c r="C2967" s="1" t="n">
        <v>46132</v>
      </c>
      <c r="D2967" t="inlineStr">
        <is>
          <t>ÖREBRO LÄN</t>
        </is>
      </c>
      <c r="E2967" t="inlineStr">
        <is>
          <t>ÖREBRO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18146-2023</t>
        </is>
      </c>
      <c r="B2968" s="1" t="n">
        <v>45040</v>
      </c>
      <c r="C2968" s="1" t="n">
        <v>46132</v>
      </c>
      <c r="D2968" t="inlineStr">
        <is>
          <t>ÖREBRO LÄN</t>
        </is>
      </c>
      <c r="E2968" t="inlineStr">
        <is>
          <t>HALLSBERG</t>
        </is>
      </c>
      <c r="G2968" t="n">
        <v>31.3</v>
      </c>
      <c r="H2968" t="n">
        <v>0</v>
      </c>
      <c r="I2968" t="n">
        <v>0</v>
      </c>
      <c r="J2968" t="n">
        <v>0</v>
      </c>
      <c r="K2968" t="n">
        <v>0</v>
      </c>
      <c r="L2968" t="n">
        <v>0</v>
      </c>
      <c r="M2968" t="n">
        <v>0</v>
      </c>
      <c r="N2968" t="n">
        <v>0</v>
      </c>
      <c r="O2968" t="n">
        <v>0</v>
      </c>
      <c r="P2968" t="n">
        <v>0</v>
      </c>
      <c r="Q2968" t="n">
        <v>0</v>
      </c>
      <c r="R2968" s="2" t="inlineStr"/>
    </row>
    <row r="2969" ht="15" customHeight="1">
      <c r="A2969" t="inlineStr">
        <is>
          <t>A 45428-2023</t>
        </is>
      </c>
      <c r="B2969" s="1" t="n">
        <v>45194</v>
      </c>
      <c r="C2969" s="1" t="n">
        <v>46132</v>
      </c>
      <c r="D2969" t="inlineStr">
        <is>
          <t>ÖREBRO LÄN</t>
        </is>
      </c>
      <c r="E2969" t="inlineStr">
        <is>
          <t>LINDESBERG</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38297-2025</t>
        </is>
      </c>
      <c r="B2970" s="1" t="n">
        <v>45883.45506944445</v>
      </c>
      <c r="C2970" s="1" t="n">
        <v>46132</v>
      </c>
      <c r="D2970" t="inlineStr">
        <is>
          <t>ÖREBRO LÄN</t>
        </is>
      </c>
      <c r="E2970" t="inlineStr">
        <is>
          <t>LEKEBERG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59858-2025</t>
        </is>
      </c>
      <c r="B2971" s="1" t="n">
        <v>45992.76758101852</v>
      </c>
      <c r="C2971" s="1" t="n">
        <v>46132</v>
      </c>
      <c r="D2971" t="inlineStr">
        <is>
          <t>ÖREBRO LÄN</t>
        </is>
      </c>
      <c r="E2971" t="inlineStr">
        <is>
          <t>ÖREBRO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59859-2025</t>
        </is>
      </c>
      <c r="B2972" s="1" t="n">
        <v>45992.7803125</v>
      </c>
      <c r="C2972" s="1" t="n">
        <v>46132</v>
      </c>
      <c r="D2972" t="inlineStr">
        <is>
          <t>ÖREBRO LÄN</t>
        </is>
      </c>
      <c r="E2972" t="inlineStr">
        <is>
          <t>ÖREBRO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59861-2025</t>
        </is>
      </c>
      <c r="B2973" s="1" t="n">
        <v>45992.80664351852</v>
      </c>
      <c r="C2973" s="1" t="n">
        <v>46132</v>
      </c>
      <c r="D2973" t="inlineStr">
        <is>
          <t>ÖREBRO LÄN</t>
        </is>
      </c>
      <c r="E2973" t="inlineStr">
        <is>
          <t>HALLSBERG</t>
        </is>
      </c>
      <c r="F2973" t="inlineStr">
        <is>
          <t>Kommuner</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46174-2021</t>
        </is>
      </c>
      <c r="B2974" s="1" t="n">
        <v>44442</v>
      </c>
      <c r="C2974" s="1" t="n">
        <v>46132</v>
      </c>
      <c r="D2974" t="inlineStr">
        <is>
          <t>ÖREBRO LÄN</t>
        </is>
      </c>
      <c r="E2974" t="inlineStr">
        <is>
          <t>ASKERSUND</t>
        </is>
      </c>
      <c r="G2974" t="n">
        <v>15.7</v>
      </c>
      <c r="H2974" t="n">
        <v>0</v>
      </c>
      <c r="I2974" t="n">
        <v>0</v>
      </c>
      <c r="J2974" t="n">
        <v>0</v>
      </c>
      <c r="K2974" t="n">
        <v>0</v>
      </c>
      <c r="L2974" t="n">
        <v>0</v>
      </c>
      <c r="M2974" t="n">
        <v>0</v>
      </c>
      <c r="N2974" t="n">
        <v>0</v>
      </c>
      <c r="O2974" t="n">
        <v>0</v>
      </c>
      <c r="P2974" t="n">
        <v>0</v>
      </c>
      <c r="Q2974" t="n">
        <v>0</v>
      </c>
      <c r="R2974" s="2" t="inlineStr"/>
    </row>
    <row r="2975" ht="15" customHeight="1">
      <c r="A2975" t="inlineStr">
        <is>
          <t>A 20352-2025</t>
        </is>
      </c>
      <c r="B2975" s="1" t="n">
        <v>45775.39032407408</v>
      </c>
      <c r="C2975" s="1" t="n">
        <v>46132</v>
      </c>
      <c r="D2975" t="inlineStr">
        <is>
          <t>ÖREBRO LÄN</t>
        </is>
      </c>
      <c r="E2975" t="inlineStr">
        <is>
          <t>HALLSBERG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18837-2025</t>
        </is>
      </c>
      <c r="B2976" s="1" t="n">
        <v>45764.4008912037</v>
      </c>
      <c r="C2976" s="1" t="n">
        <v>46132</v>
      </c>
      <c r="D2976" t="inlineStr">
        <is>
          <t>ÖREBRO LÄN</t>
        </is>
      </c>
      <c r="E2976" t="inlineStr">
        <is>
          <t>LAXÅ</t>
        </is>
      </c>
      <c r="F2976" t="inlineStr">
        <is>
          <t>Sveaskog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25749-2021</t>
        </is>
      </c>
      <c r="B2977" s="1" t="n">
        <v>44343</v>
      </c>
      <c r="C2977" s="1" t="n">
        <v>46132</v>
      </c>
      <c r="D2977" t="inlineStr">
        <is>
          <t>ÖREBRO LÄN</t>
        </is>
      </c>
      <c r="E2977" t="inlineStr">
        <is>
          <t>ASKERSUND</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18468-2025</t>
        </is>
      </c>
      <c r="B2978" s="1" t="n">
        <v>45762.73166666667</v>
      </c>
      <c r="C2978" s="1" t="n">
        <v>46132</v>
      </c>
      <c r="D2978" t="inlineStr">
        <is>
          <t>ÖREBRO LÄN</t>
        </is>
      </c>
      <c r="E2978" t="inlineStr">
        <is>
          <t>KARLSKOGA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38057-2025</t>
        </is>
      </c>
      <c r="B2979" s="1" t="n">
        <v>45882.42570601852</v>
      </c>
      <c r="C2979" s="1" t="n">
        <v>46132</v>
      </c>
      <c r="D2979" t="inlineStr">
        <is>
          <t>ÖREBRO LÄN</t>
        </is>
      </c>
      <c r="E2979" t="inlineStr">
        <is>
          <t>ÖREBRO</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59937-2025</t>
        </is>
      </c>
      <c r="B2980" s="1" t="n">
        <v>45993.41934027777</v>
      </c>
      <c r="C2980" s="1" t="n">
        <v>46132</v>
      </c>
      <c r="D2980" t="inlineStr">
        <is>
          <t>ÖREBRO LÄN</t>
        </is>
      </c>
      <c r="E2980" t="inlineStr">
        <is>
          <t>ÖREBRO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36503-2021</t>
        </is>
      </c>
      <c r="B2981" s="1" t="n">
        <v>44391.40619212963</v>
      </c>
      <c r="C2981" s="1" t="n">
        <v>46132</v>
      </c>
      <c r="D2981" t="inlineStr">
        <is>
          <t>ÖREBRO LÄN</t>
        </is>
      </c>
      <c r="E2981" t="inlineStr">
        <is>
          <t>ASKERSUND</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60224-2025</t>
        </is>
      </c>
      <c r="B2982" s="1" t="n">
        <v>45994.54824074074</v>
      </c>
      <c r="C2982" s="1" t="n">
        <v>46132</v>
      </c>
      <c r="D2982" t="inlineStr">
        <is>
          <t>ÖREBRO LÄN</t>
        </is>
      </c>
      <c r="E2982" t="inlineStr">
        <is>
          <t>ASKERSUND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39327-2022</t>
        </is>
      </c>
      <c r="B2983" s="1" t="n">
        <v>44817</v>
      </c>
      <c r="C2983" s="1" t="n">
        <v>46132</v>
      </c>
      <c r="D2983" t="inlineStr">
        <is>
          <t>ÖREBRO LÄN</t>
        </is>
      </c>
      <c r="E2983" t="inlineStr">
        <is>
          <t>HÄLLEFORS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41822-2023</t>
        </is>
      </c>
      <c r="B2984" s="1" t="n">
        <v>45176.56863425926</v>
      </c>
      <c r="C2984" s="1" t="n">
        <v>46132</v>
      </c>
      <c r="D2984" t="inlineStr">
        <is>
          <t>ÖREBRO LÄN</t>
        </is>
      </c>
      <c r="E2984" t="inlineStr">
        <is>
          <t>HÄLLEFORS</t>
        </is>
      </c>
      <c r="F2984" t="inlineStr">
        <is>
          <t>Bergvik skog väst AB</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65076-2023</t>
        </is>
      </c>
      <c r="B2985" s="1" t="n">
        <v>45287</v>
      </c>
      <c r="C2985" s="1" t="n">
        <v>46132</v>
      </c>
      <c r="D2985" t="inlineStr">
        <is>
          <t>ÖREBRO LÄN</t>
        </is>
      </c>
      <c r="E2985" t="inlineStr">
        <is>
          <t>KUMLA</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42623-2022</t>
        </is>
      </c>
      <c r="B2986" s="1" t="n">
        <v>44831</v>
      </c>
      <c r="C2986" s="1" t="n">
        <v>46132</v>
      </c>
      <c r="D2986" t="inlineStr">
        <is>
          <t>ÖREBRO LÄN</t>
        </is>
      </c>
      <c r="E2986" t="inlineStr">
        <is>
          <t>ÖREBRO</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59965-2025</t>
        </is>
      </c>
      <c r="B2987" s="1" t="n">
        <v>45993.48270833334</v>
      </c>
      <c r="C2987" s="1" t="n">
        <v>46132</v>
      </c>
      <c r="D2987" t="inlineStr">
        <is>
          <t>ÖREBRO LÄN</t>
        </is>
      </c>
      <c r="E2987" t="inlineStr">
        <is>
          <t>HALLSBERG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59938-2025</t>
        </is>
      </c>
      <c r="B2988" s="1" t="n">
        <v>45993.42108796296</v>
      </c>
      <c r="C2988" s="1" t="n">
        <v>46132</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59860-2025</t>
        </is>
      </c>
      <c r="B2989" s="1" t="n">
        <v>45992.78351851852</v>
      </c>
      <c r="C2989" s="1" t="n">
        <v>46132</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3763-2025</t>
        </is>
      </c>
      <c r="B2990" s="1" t="n">
        <v>45681</v>
      </c>
      <c r="C2990" s="1" t="n">
        <v>46132</v>
      </c>
      <c r="D2990" t="inlineStr">
        <is>
          <t>ÖREBRO LÄN</t>
        </is>
      </c>
      <c r="E2990" t="inlineStr">
        <is>
          <t>ÖREBRO</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16169-2025</t>
        </is>
      </c>
      <c r="B2991" s="1" t="n">
        <v>45750</v>
      </c>
      <c r="C2991" s="1" t="n">
        <v>46132</v>
      </c>
      <c r="D2991" t="inlineStr">
        <is>
          <t>ÖREBRO LÄN</t>
        </is>
      </c>
      <c r="E2991" t="inlineStr">
        <is>
          <t>HÄLLEFORS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60470-2025</t>
        </is>
      </c>
      <c r="B2992" s="1" t="n">
        <v>45995.565625</v>
      </c>
      <c r="C2992" s="1" t="n">
        <v>46132</v>
      </c>
      <c r="D2992" t="inlineStr">
        <is>
          <t>ÖREBRO LÄN</t>
        </is>
      </c>
      <c r="E2992" t="inlineStr">
        <is>
          <t>KARLSKOGA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29503-2021</t>
        </is>
      </c>
      <c r="B2993" s="1" t="n">
        <v>44361</v>
      </c>
      <c r="C2993" s="1" t="n">
        <v>46132</v>
      </c>
      <c r="D2993" t="inlineStr">
        <is>
          <t>ÖREBRO LÄN</t>
        </is>
      </c>
      <c r="E2993" t="inlineStr">
        <is>
          <t>HALLSBERG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54411-2022</t>
        </is>
      </c>
      <c r="B2994" s="1" t="n">
        <v>44879</v>
      </c>
      <c r="C2994" s="1" t="n">
        <v>46132</v>
      </c>
      <c r="D2994" t="inlineStr">
        <is>
          <t>ÖREBRO LÄN</t>
        </is>
      </c>
      <c r="E2994" t="inlineStr">
        <is>
          <t>LAXÅ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28082-2021</t>
        </is>
      </c>
      <c r="B2995" s="1" t="n">
        <v>44355</v>
      </c>
      <c r="C2995" s="1" t="n">
        <v>46132</v>
      </c>
      <c r="D2995" t="inlineStr">
        <is>
          <t>ÖREBRO LÄN</t>
        </is>
      </c>
      <c r="E2995" t="inlineStr">
        <is>
          <t>LINDESBERG</t>
        </is>
      </c>
      <c r="F2995" t="inlineStr">
        <is>
          <t>Sveaskog</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57911-2022</t>
        </is>
      </c>
      <c r="B2996" s="1" t="n">
        <v>44900.36149305556</v>
      </c>
      <c r="C2996" s="1" t="n">
        <v>46132</v>
      </c>
      <c r="D2996" t="inlineStr">
        <is>
          <t>ÖREBRO LÄN</t>
        </is>
      </c>
      <c r="E2996" t="inlineStr">
        <is>
          <t>LINDESBERG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60685-2025</t>
        </is>
      </c>
      <c r="B2997" s="1" t="n">
        <v>45996.58229166667</v>
      </c>
      <c r="C2997" s="1" t="n">
        <v>46132</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60686-2025</t>
        </is>
      </c>
      <c r="B2998" s="1" t="n">
        <v>45996.58486111111</v>
      </c>
      <c r="C2998" s="1" t="n">
        <v>46132</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60717-2025</t>
        </is>
      </c>
      <c r="B2999" s="1" t="n">
        <v>45996.63673611111</v>
      </c>
      <c r="C2999" s="1" t="n">
        <v>46132</v>
      </c>
      <c r="D2999" t="inlineStr">
        <is>
          <t>ÖREBRO LÄN</t>
        </is>
      </c>
      <c r="E2999" t="inlineStr">
        <is>
          <t>ÖREBRO</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60718-2025</t>
        </is>
      </c>
      <c r="B3000" s="1" t="n">
        <v>45996.6384375</v>
      </c>
      <c r="C3000" s="1" t="n">
        <v>46132</v>
      </c>
      <c r="D3000" t="inlineStr">
        <is>
          <t>ÖREBRO LÄN</t>
        </is>
      </c>
      <c r="E3000" t="inlineStr">
        <is>
          <t>ÖREBRO</t>
        </is>
      </c>
      <c r="F3000" t="inlineStr">
        <is>
          <t>Sveaskog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60721-2025</t>
        </is>
      </c>
      <c r="B3001" s="1" t="n">
        <v>45996</v>
      </c>
      <c r="C3001" s="1" t="n">
        <v>46132</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60503-2025</t>
        </is>
      </c>
      <c r="B3002" s="1" t="n">
        <v>45995.62199074074</v>
      </c>
      <c r="C3002" s="1" t="n">
        <v>46132</v>
      </c>
      <c r="D3002" t="inlineStr">
        <is>
          <t>ÖREBRO LÄN</t>
        </is>
      </c>
      <c r="E3002" t="inlineStr">
        <is>
          <t>KARLSKOGA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60524-2025</t>
        </is>
      </c>
      <c r="B3003" s="1" t="n">
        <v>45995.64032407408</v>
      </c>
      <c r="C3003" s="1" t="n">
        <v>46132</v>
      </c>
      <c r="D3003" t="inlineStr">
        <is>
          <t>ÖREBRO LÄN</t>
        </is>
      </c>
      <c r="E3003" t="inlineStr">
        <is>
          <t>DEGERFORS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60566-2025</t>
        </is>
      </c>
      <c r="B3004" s="1" t="n">
        <v>45995.83008101852</v>
      </c>
      <c r="C3004" s="1" t="n">
        <v>46132</v>
      </c>
      <c r="D3004" t="inlineStr">
        <is>
          <t>ÖREBRO LÄN</t>
        </is>
      </c>
      <c r="E3004" t="inlineStr">
        <is>
          <t>LAXÅ</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60570-2025</t>
        </is>
      </c>
      <c r="B3005" s="1" t="n">
        <v>45995.89465277778</v>
      </c>
      <c r="C3005" s="1" t="n">
        <v>46132</v>
      </c>
      <c r="D3005" t="inlineStr">
        <is>
          <t>ÖREBRO LÄN</t>
        </is>
      </c>
      <c r="E3005" t="inlineStr">
        <is>
          <t>LAXÅ</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11294-2025</t>
        </is>
      </c>
      <c r="B3006" s="1" t="n">
        <v>45726.4325462963</v>
      </c>
      <c r="C3006" s="1" t="n">
        <v>46132</v>
      </c>
      <c r="D3006" t="inlineStr">
        <is>
          <t>ÖREBRO LÄN</t>
        </is>
      </c>
      <c r="E3006" t="inlineStr">
        <is>
          <t>LJUSNARSBERG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37003-2023</t>
        </is>
      </c>
      <c r="B3007" s="1" t="n">
        <v>45155</v>
      </c>
      <c r="C3007" s="1" t="n">
        <v>46132</v>
      </c>
      <c r="D3007" t="inlineStr">
        <is>
          <t>ÖREBRO LÄN</t>
        </is>
      </c>
      <c r="E3007" t="inlineStr">
        <is>
          <t>LAXÅ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60400-2025</t>
        </is>
      </c>
      <c r="B3008" s="1" t="n">
        <v>45995</v>
      </c>
      <c r="C3008" s="1" t="n">
        <v>46132</v>
      </c>
      <c r="D3008" t="inlineStr">
        <is>
          <t>ÖREBRO LÄN</t>
        </is>
      </c>
      <c r="E3008" t="inlineStr">
        <is>
          <t>LINDESBERG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60450-2025</t>
        </is>
      </c>
      <c r="B3009" s="1" t="n">
        <v>45995</v>
      </c>
      <c r="C3009" s="1" t="n">
        <v>46132</v>
      </c>
      <c r="D3009" t="inlineStr">
        <is>
          <t>ÖREBRO LÄN</t>
        </is>
      </c>
      <c r="E3009" t="inlineStr">
        <is>
          <t>LINDESBERG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60466-2025</t>
        </is>
      </c>
      <c r="B3010" s="1" t="n">
        <v>45995.55927083334</v>
      </c>
      <c r="C3010" s="1" t="n">
        <v>46132</v>
      </c>
      <c r="D3010" t="inlineStr">
        <is>
          <t>ÖREBRO LÄN</t>
        </is>
      </c>
      <c r="E3010" t="inlineStr">
        <is>
          <t>ÖREBRO</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60508-2025</t>
        </is>
      </c>
      <c r="B3011" s="1" t="n">
        <v>45995.63013888889</v>
      </c>
      <c r="C3011" s="1" t="n">
        <v>46132</v>
      </c>
      <c r="D3011" t="inlineStr">
        <is>
          <t>ÖREBRO LÄN</t>
        </is>
      </c>
      <c r="E3011" t="inlineStr">
        <is>
          <t>KARLSKOGA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60555-2025</t>
        </is>
      </c>
      <c r="B3012" s="1" t="n">
        <v>45995.73722222223</v>
      </c>
      <c r="C3012" s="1" t="n">
        <v>46132</v>
      </c>
      <c r="D3012" t="inlineStr">
        <is>
          <t>ÖREBRO LÄN</t>
        </is>
      </c>
      <c r="E3012" t="inlineStr">
        <is>
          <t>ÖREBRO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40497-2024</t>
        </is>
      </c>
      <c r="B3013" s="1" t="n">
        <v>45555.57101851852</v>
      </c>
      <c r="C3013" s="1" t="n">
        <v>46132</v>
      </c>
      <c r="D3013" t="inlineStr">
        <is>
          <t>ÖREBRO LÄN</t>
        </is>
      </c>
      <c r="E3013" t="inlineStr">
        <is>
          <t>NORA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64427-2021</t>
        </is>
      </c>
      <c r="B3014" s="1" t="n">
        <v>44511</v>
      </c>
      <c r="C3014" s="1" t="n">
        <v>46132</v>
      </c>
      <c r="D3014" t="inlineStr">
        <is>
          <t>ÖREBRO LÄN</t>
        </is>
      </c>
      <c r="E3014" t="inlineStr">
        <is>
          <t>LINDESBERG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33186-2023</t>
        </is>
      </c>
      <c r="B3015" s="1" t="n">
        <v>45127.38172453704</v>
      </c>
      <c r="C3015" s="1" t="n">
        <v>46132</v>
      </c>
      <c r="D3015" t="inlineStr">
        <is>
          <t>ÖREBRO LÄN</t>
        </is>
      </c>
      <c r="E3015" t="inlineStr">
        <is>
          <t>LAXÅ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34161-2021</t>
        </is>
      </c>
      <c r="B3016" s="1" t="n">
        <v>44379.489375</v>
      </c>
      <c r="C3016" s="1" t="n">
        <v>46132</v>
      </c>
      <c r="D3016" t="inlineStr">
        <is>
          <t>ÖREBRO LÄN</t>
        </is>
      </c>
      <c r="E3016" t="inlineStr">
        <is>
          <t>LAXÅ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33262-2023</t>
        </is>
      </c>
      <c r="B3017" s="1" t="n">
        <v>45127.56380787037</v>
      </c>
      <c r="C3017" s="1" t="n">
        <v>46132</v>
      </c>
      <c r="D3017" t="inlineStr">
        <is>
          <t>ÖREBRO LÄN</t>
        </is>
      </c>
      <c r="E3017" t="inlineStr">
        <is>
          <t>LEKEBERG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60548-2025</t>
        </is>
      </c>
      <c r="B3018" s="1" t="n">
        <v>45995.71252314815</v>
      </c>
      <c r="C3018" s="1" t="n">
        <v>46132</v>
      </c>
      <c r="D3018" t="inlineStr">
        <is>
          <t>ÖREBRO LÄN</t>
        </is>
      </c>
      <c r="E3018" t="inlineStr">
        <is>
          <t>NORA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12082-2025</t>
        </is>
      </c>
      <c r="B3019" s="1" t="n">
        <v>45728</v>
      </c>
      <c r="C3019" s="1" t="n">
        <v>46132</v>
      </c>
      <c r="D3019" t="inlineStr">
        <is>
          <t>ÖREBRO LÄN</t>
        </is>
      </c>
      <c r="E3019" t="inlineStr">
        <is>
          <t>HÄLLEFORS</t>
        </is>
      </c>
      <c r="F3019" t="inlineStr">
        <is>
          <t>Bergvik skog väst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12148-2025</t>
        </is>
      </c>
      <c r="B3020" s="1" t="n">
        <v>45729</v>
      </c>
      <c r="C3020" s="1" t="n">
        <v>46132</v>
      </c>
      <c r="D3020" t="inlineStr">
        <is>
          <t>ÖREBRO LÄN</t>
        </is>
      </c>
      <c r="E3020" t="inlineStr">
        <is>
          <t>DEGERFORS</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12183-2025</t>
        </is>
      </c>
      <c r="B3021" s="1" t="n">
        <v>45729.46353009259</v>
      </c>
      <c r="C3021" s="1" t="n">
        <v>46132</v>
      </c>
      <c r="D3021" t="inlineStr">
        <is>
          <t>ÖREBRO LÄN</t>
        </is>
      </c>
      <c r="E3021" t="inlineStr">
        <is>
          <t>NORA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14209-2025</t>
        </is>
      </c>
      <c r="B3022" s="1" t="n">
        <v>45740.57917824074</v>
      </c>
      <c r="C3022" s="1" t="n">
        <v>46132</v>
      </c>
      <c r="D3022" t="inlineStr">
        <is>
          <t>ÖREBRO LÄN</t>
        </is>
      </c>
      <c r="E3022" t="inlineStr">
        <is>
          <t>LAXÅ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60551-2025</t>
        </is>
      </c>
      <c r="B3023" s="1" t="n">
        <v>45995</v>
      </c>
      <c r="C3023" s="1" t="n">
        <v>46132</v>
      </c>
      <c r="D3023" t="inlineStr">
        <is>
          <t>ÖREBRO LÄN</t>
        </is>
      </c>
      <c r="E3023" t="inlineStr">
        <is>
          <t>ÖREBRO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60558-2025</t>
        </is>
      </c>
      <c r="B3024" s="1" t="n">
        <v>45995.74844907408</v>
      </c>
      <c r="C3024" s="1" t="n">
        <v>46132</v>
      </c>
      <c r="D3024" t="inlineStr">
        <is>
          <t>ÖREBRO LÄN</t>
        </is>
      </c>
      <c r="E3024" t="inlineStr">
        <is>
          <t>HALLSBERG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60506-2025</t>
        </is>
      </c>
      <c r="B3025" s="1" t="n">
        <v>45995.62744212963</v>
      </c>
      <c r="C3025" s="1" t="n">
        <v>46132</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55340-2024</t>
        </is>
      </c>
      <c r="B3026" s="1" t="n">
        <v>45621.70486111111</v>
      </c>
      <c r="C3026" s="1" t="n">
        <v>46132</v>
      </c>
      <c r="D3026" t="inlineStr">
        <is>
          <t>ÖREBRO LÄN</t>
        </is>
      </c>
      <c r="E3026" t="inlineStr">
        <is>
          <t>KUMLA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60720-2025</t>
        </is>
      </c>
      <c r="B3027" s="1" t="n">
        <v>45996.64050925926</v>
      </c>
      <c r="C3027" s="1" t="n">
        <v>46132</v>
      </c>
      <c r="D3027" t="inlineStr">
        <is>
          <t>ÖREBRO LÄN</t>
        </is>
      </c>
      <c r="E3027" t="inlineStr">
        <is>
          <t>ÖREBRO</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60465-2025</t>
        </is>
      </c>
      <c r="B3028" s="1" t="n">
        <v>45995.55730324074</v>
      </c>
      <c r="C3028" s="1" t="n">
        <v>46132</v>
      </c>
      <c r="D3028" t="inlineStr">
        <is>
          <t>ÖREBRO LÄN</t>
        </is>
      </c>
      <c r="E3028" t="inlineStr">
        <is>
          <t>KARLSKOGA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10829-2023</t>
        </is>
      </c>
      <c r="B3029" s="1" t="n">
        <v>44990.88512731482</v>
      </c>
      <c r="C3029" s="1" t="n">
        <v>46132</v>
      </c>
      <c r="D3029" t="inlineStr">
        <is>
          <t>ÖREBRO LÄN</t>
        </is>
      </c>
      <c r="E3029" t="inlineStr">
        <is>
          <t>ÖREBRO</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10831-2023</t>
        </is>
      </c>
      <c r="B3030" s="1" t="n">
        <v>44990.90357638889</v>
      </c>
      <c r="C3030" s="1" t="n">
        <v>46132</v>
      </c>
      <c r="D3030" t="inlineStr">
        <is>
          <t>ÖREBRO LÄN</t>
        </is>
      </c>
      <c r="E3030" t="inlineStr">
        <is>
          <t>ÖREBRO</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60708-2025</t>
        </is>
      </c>
      <c r="B3031" s="1" t="n">
        <v>45996.6211574074</v>
      </c>
      <c r="C3031" s="1" t="n">
        <v>46132</v>
      </c>
      <c r="D3031" t="inlineStr">
        <is>
          <t>ÖREBRO LÄN</t>
        </is>
      </c>
      <c r="E3031" t="inlineStr">
        <is>
          <t>DEGERFORS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14633-2025</t>
        </is>
      </c>
      <c r="B3032" s="1" t="n">
        <v>45742</v>
      </c>
      <c r="C3032" s="1" t="n">
        <v>46132</v>
      </c>
      <c r="D3032" t="inlineStr">
        <is>
          <t>ÖREBRO LÄN</t>
        </is>
      </c>
      <c r="E3032" t="inlineStr">
        <is>
          <t>DEGERFORS</t>
        </is>
      </c>
      <c r="F3032" t="inlineStr">
        <is>
          <t>Sveaskog</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14634-2025</t>
        </is>
      </c>
      <c r="B3033" s="1" t="n">
        <v>45742</v>
      </c>
      <c r="C3033" s="1" t="n">
        <v>46132</v>
      </c>
      <c r="D3033" t="inlineStr">
        <is>
          <t>ÖREBRO LÄN</t>
        </is>
      </c>
      <c r="E3033" t="inlineStr">
        <is>
          <t>DEGERFORS</t>
        </is>
      </c>
      <c r="F3033" t="inlineStr">
        <is>
          <t>Sveaskog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27513-2021</t>
        </is>
      </c>
      <c r="B3034" s="1" t="n">
        <v>44351</v>
      </c>
      <c r="C3034" s="1" t="n">
        <v>46132</v>
      </c>
      <c r="D3034" t="inlineStr">
        <is>
          <t>ÖREBRO LÄN</t>
        </is>
      </c>
      <c r="E3034" t="inlineStr">
        <is>
          <t>HÄLLEFORS</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61084-2025</t>
        </is>
      </c>
      <c r="B3035" s="1" t="n">
        <v>46000.41092592593</v>
      </c>
      <c r="C3035" s="1" t="n">
        <v>46132</v>
      </c>
      <c r="D3035" t="inlineStr">
        <is>
          <t>ÖREBRO LÄN</t>
        </is>
      </c>
      <c r="E3035" t="inlineStr">
        <is>
          <t>HÄLLEFORS</t>
        </is>
      </c>
      <c r="F3035" t="inlineStr">
        <is>
          <t>Bergvik skog väst AB</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12697-2025</t>
        </is>
      </c>
      <c r="B3036" s="1" t="n">
        <v>45733.46217592592</v>
      </c>
      <c r="C3036" s="1" t="n">
        <v>46132</v>
      </c>
      <c r="D3036" t="inlineStr">
        <is>
          <t>ÖREBRO LÄN</t>
        </is>
      </c>
      <c r="E3036" t="inlineStr">
        <is>
          <t>ASKERSUND</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60873-2025</t>
        </is>
      </c>
      <c r="B3037" s="1" t="n">
        <v>45999.55505787037</v>
      </c>
      <c r="C3037" s="1" t="n">
        <v>46132</v>
      </c>
      <c r="D3037" t="inlineStr">
        <is>
          <t>ÖREBRO LÄN</t>
        </is>
      </c>
      <c r="E3037" t="inlineStr">
        <is>
          <t>NORA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19077-2025</t>
        </is>
      </c>
      <c r="B3038" s="1" t="n">
        <v>45766.33309027777</v>
      </c>
      <c r="C3038" s="1" t="n">
        <v>46132</v>
      </c>
      <c r="D3038" t="inlineStr">
        <is>
          <t>ÖREBRO LÄN</t>
        </is>
      </c>
      <c r="E3038" t="inlineStr">
        <is>
          <t>LINDESBERG</t>
        </is>
      </c>
      <c r="G3038" t="n">
        <v>0</v>
      </c>
      <c r="H3038" t="n">
        <v>0</v>
      </c>
      <c r="I3038" t="n">
        <v>0</v>
      </c>
      <c r="J3038" t="n">
        <v>0</v>
      </c>
      <c r="K3038" t="n">
        <v>0</v>
      </c>
      <c r="L3038" t="n">
        <v>0</v>
      </c>
      <c r="M3038" t="n">
        <v>0</v>
      </c>
      <c r="N3038" t="n">
        <v>0</v>
      </c>
      <c r="O3038" t="n">
        <v>0</v>
      </c>
      <c r="P3038" t="n">
        <v>0</v>
      </c>
      <c r="Q3038" t="n">
        <v>0</v>
      </c>
      <c r="R3038" s="2" t="inlineStr"/>
    </row>
    <row r="3039" ht="15" customHeight="1">
      <c r="A3039" t="inlineStr">
        <is>
          <t>A 60843-2025</t>
        </is>
      </c>
      <c r="B3039" s="1" t="n">
        <v>45999.48747685185</v>
      </c>
      <c r="C3039" s="1" t="n">
        <v>46132</v>
      </c>
      <c r="D3039" t="inlineStr">
        <is>
          <t>ÖREBRO LÄN</t>
        </is>
      </c>
      <c r="E3039" t="inlineStr">
        <is>
          <t>NORA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17810-2025</t>
        </is>
      </c>
      <c r="B3040" s="1" t="n">
        <v>45758.55883101852</v>
      </c>
      <c r="C3040" s="1" t="n">
        <v>46132</v>
      </c>
      <c r="D3040" t="inlineStr">
        <is>
          <t>ÖREBRO LÄN</t>
        </is>
      </c>
      <c r="E3040" t="inlineStr">
        <is>
          <t>HÄLLEFORS</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17811-2025</t>
        </is>
      </c>
      <c r="B3041" s="1" t="n">
        <v>45758.5594212963</v>
      </c>
      <c r="C3041" s="1" t="n">
        <v>46132</v>
      </c>
      <c r="D3041" t="inlineStr">
        <is>
          <t>ÖREBRO LÄN</t>
        </is>
      </c>
      <c r="E3041" t="inlineStr">
        <is>
          <t>HÄLLEFORS</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61082-2025</t>
        </is>
      </c>
      <c r="B3042" s="1" t="n">
        <v>46000.40797453704</v>
      </c>
      <c r="C3042" s="1" t="n">
        <v>46132</v>
      </c>
      <c r="D3042" t="inlineStr">
        <is>
          <t>ÖREBRO LÄN</t>
        </is>
      </c>
      <c r="E3042" t="inlineStr">
        <is>
          <t>HÄLLEFORS</t>
        </is>
      </c>
      <c r="F3042" t="inlineStr">
        <is>
          <t>Bergvik skog väst AB</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16165-2023</t>
        </is>
      </c>
      <c r="B3043" s="1" t="n">
        <v>45027</v>
      </c>
      <c r="C3043" s="1" t="n">
        <v>46132</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49544-2023</t>
        </is>
      </c>
      <c r="B3044" s="1" t="n">
        <v>45211</v>
      </c>
      <c r="C3044" s="1" t="n">
        <v>46132</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60892-2025</t>
        </is>
      </c>
      <c r="B3045" s="1" t="n">
        <v>45999.57278935185</v>
      </c>
      <c r="C3045" s="1" t="n">
        <v>46132</v>
      </c>
      <c r="D3045" t="inlineStr">
        <is>
          <t>ÖREBRO LÄN</t>
        </is>
      </c>
      <c r="E3045" t="inlineStr">
        <is>
          <t>NORA</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4443-2025</t>
        </is>
      </c>
      <c r="B3046" s="1" t="n">
        <v>45686.56048611111</v>
      </c>
      <c r="C3046" s="1" t="n">
        <v>46132</v>
      </c>
      <c r="D3046" t="inlineStr">
        <is>
          <t>ÖREBRO LÄN</t>
        </is>
      </c>
      <c r="E3046" t="inlineStr">
        <is>
          <t>HALLSBERG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60867-2025</t>
        </is>
      </c>
      <c r="B3047" s="1" t="n">
        <v>45999.54109953704</v>
      </c>
      <c r="C3047" s="1" t="n">
        <v>46132</v>
      </c>
      <c r="D3047" t="inlineStr">
        <is>
          <t>ÖREBRO LÄN</t>
        </is>
      </c>
      <c r="E3047" t="inlineStr">
        <is>
          <t>ASKERSUND</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60870-2025</t>
        </is>
      </c>
      <c r="B3048" s="1" t="n">
        <v>45999.54637731481</v>
      </c>
      <c r="C3048" s="1" t="n">
        <v>46132</v>
      </c>
      <c r="D3048" t="inlineStr">
        <is>
          <t>ÖREBRO LÄN</t>
        </is>
      </c>
      <c r="E3048" t="inlineStr">
        <is>
          <t>LAXÅ</t>
        </is>
      </c>
      <c r="F3048" t="inlineStr">
        <is>
          <t>Sveaskog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4587-2025</t>
        </is>
      </c>
      <c r="B3049" s="1" t="n">
        <v>45687.51668981482</v>
      </c>
      <c r="C3049" s="1" t="n">
        <v>46132</v>
      </c>
      <c r="D3049" t="inlineStr">
        <is>
          <t>ÖREBRO LÄN</t>
        </is>
      </c>
      <c r="E3049" t="inlineStr">
        <is>
          <t>KARLSKOGA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57247-2022</t>
        </is>
      </c>
      <c r="B3050" s="1" t="n">
        <v>44895.73065972222</v>
      </c>
      <c r="C3050" s="1" t="n">
        <v>46132</v>
      </c>
      <c r="D3050" t="inlineStr">
        <is>
          <t>ÖREBRO LÄN</t>
        </is>
      </c>
      <c r="E3050" t="inlineStr">
        <is>
          <t>ÖREBRO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32994-2024</t>
        </is>
      </c>
      <c r="B3051" s="1" t="n">
        <v>45517.47724537037</v>
      </c>
      <c r="C3051" s="1" t="n">
        <v>46132</v>
      </c>
      <c r="D3051" t="inlineStr">
        <is>
          <t>ÖREBRO LÄN</t>
        </is>
      </c>
      <c r="E3051" t="inlineStr">
        <is>
          <t>ASKERSUND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61164-2025</t>
        </is>
      </c>
      <c r="B3052" s="1" t="n">
        <v>46000.56178240741</v>
      </c>
      <c r="C3052" s="1" t="n">
        <v>46132</v>
      </c>
      <c r="D3052" t="inlineStr">
        <is>
          <t>ÖREBRO LÄN</t>
        </is>
      </c>
      <c r="E3052" t="inlineStr">
        <is>
          <t>HÄLLEFORS</t>
        </is>
      </c>
      <c r="F3052" t="inlineStr">
        <is>
          <t>Bergvik skog väst AB</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41777-2021</t>
        </is>
      </c>
      <c r="B3053" s="1" t="n">
        <v>44425.65414351852</v>
      </c>
      <c r="C3053" s="1" t="n">
        <v>46132</v>
      </c>
      <c r="D3053" t="inlineStr">
        <is>
          <t>ÖREBRO LÄN</t>
        </is>
      </c>
      <c r="E3053" t="inlineStr">
        <is>
          <t>KARLSKOGA</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41779-2021</t>
        </is>
      </c>
      <c r="B3054" s="1" t="n">
        <v>44425.655625</v>
      </c>
      <c r="C3054" s="1" t="n">
        <v>46132</v>
      </c>
      <c r="D3054" t="inlineStr">
        <is>
          <t>ÖREBRO LÄN</t>
        </is>
      </c>
      <c r="E3054" t="inlineStr">
        <is>
          <t>KARLSKOGA</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62841-2023</t>
        </is>
      </c>
      <c r="B3055" s="1" t="n">
        <v>45270</v>
      </c>
      <c r="C3055" s="1" t="n">
        <v>46132</v>
      </c>
      <c r="D3055" t="inlineStr">
        <is>
          <t>ÖREBRO LÄN</t>
        </is>
      </c>
      <c r="E3055" t="inlineStr">
        <is>
          <t>LEKEBERG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15094-2025</t>
        </is>
      </c>
      <c r="B3056" s="1" t="n">
        <v>45744.32981481482</v>
      </c>
      <c r="C3056" s="1" t="n">
        <v>46132</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60868-2025</t>
        </is>
      </c>
      <c r="B3057" s="1" t="n">
        <v>45999.54153935185</v>
      </c>
      <c r="C3057" s="1" t="n">
        <v>46132</v>
      </c>
      <c r="D3057" t="inlineStr">
        <is>
          <t>ÖREBRO LÄN</t>
        </is>
      </c>
      <c r="E3057" t="inlineStr">
        <is>
          <t>ASKERSUND</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60806-2025</t>
        </is>
      </c>
      <c r="B3058" s="1" t="n">
        <v>45999.43730324074</v>
      </c>
      <c r="C3058" s="1" t="n">
        <v>46132</v>
      </c>
      <c r="D3058" t="inlineStr">
        <is>
          <t>ÖREBRO LÄN</t>
        </is>
      </c>
      <c r="E3058" t="inlineStr">
        <is>
          <t>LINDESBERG</t>
        </is>
      </c>
      <c r="G3058" t="n">
        <v>7.9</v>
      </c>
      <c r="H3058" t="n">
        <v>0</v>
      </c>
      <c r="I3058" t="n">
        <v>0</v>
      </c>
      <c r="J3058" t="n">
        <v>0</v>
      </c>
      <c r="K3058" t="n">
        <v>0</v>
      </c>
      <c r="L3058" t="n">
        <v>0</v>
      </c>
      <c r="M3058" t="n">
        <v>0</v>
      </c>
      <c r="N3058" t="n">
        <v>0</v>
      </c>
      <c r="O3058" t="n">
        <v>0</v>
      </c>
      <c r="P3058" t="n">
        <v>0</v>
      </c>
      <c r="Q3058" t="n">
        <v>0</v>
      </c>
      <c r="R3058" s="2" t="inlineStr"/>
    </row>
    <row r="3059" ht="15" customHeight="1">
      <c r="A3059" t="inlineStr">
        <is>
          <t>A 15380-2025</t>
        </is>
      </c>
      <c r="B3059" s="1" t="n">
        <v>45747.40925925926</v>
      </c>
      <c r="C3059" s="1" t="n">
        <v>46132</v>
      </c>
      <c r="D3059" t="inlineStr">
        <is>
          <t>ÖREBRO LÄN</t>
        </is>
      </c>
      <c r="E3059" t="inlineStr">
        <is>
          <t>LAXÅ</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60840-2025</t>
        </is>
      </c>
      <c r="B3060" s="1" t="n">
        <v>45999.48547453704</v>
      </c>
      <c r="C3060" s="1" t="n">
        <v>46132</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60852-2025</t>
        </is>
      </c>
      <c r="B3061" s="1" t="n">
        <v>45999.50795138889</v>
      </c>
      <c r="C3061" s="1" t="n">
        <v>46132</v>
      </c>
      <c r="D3061" t="inlineStr">
        <is>
          <t>ÖREBRO LÄN</t>
        </is>
      </c>
      <c r="E3061" t="inlineStr">
        <is>
          <t>HÄLLEFORS</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23561-2023</t>
        </is>
      </c>
      <c r="B3062" s="1" t="n">
        <v>45077.39368055556</v>
      </c>
      <c r="C3062" s="1" t="n">
        <v>46132</v>
      </c>
      <c r="D3062" t="inlineStr">
        <is>
          <t>ÖREBRO LÄN</t>
        </is>
      </c>
      <c r="E3062" t="inlineStr">
        <is>
          <t>HÄLLEFORS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67953-2021</t>
        </is>
      </c>
      <c r="B3063" s="1" t="n">
        <v>44525.63929398148</v>
      </c>
      <c r="C3063" s="1" t="n">
        <v>46132</v>
      </c>
      <c r="D3063" t="inlineStr">
        <is>
          <t>ÖREBRO LÄN</t>
        </is>
      </c>
      <c r="E3063" t="inlineStr">
        <is>
          <t>HÄLLEFORS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60869-2025</t>
        </is>
      </c>
      <c r="B3064" s="1" t="n">
        <v>45999.54435185185</v>
      </c>
      <c r="C3064" s="1" t="n">
        <v>46132</v>
      </c>
      <c r="D3064" t="inlineStr">
        <is>
          <t>ÖREBRO LÄN</t>
        </is>
      </c>
      <c r="E3064" t="inlineStr">
        <is>
          <t>LAXÅ</t>
        </is>
      </c>
      <c r="F3064" t="inlineStr">
        <is>
          <t>Sveaskog</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22389-2023</t>
        </is>
      </c>
      <c r="B3065" s="1" t="n">
        <v>45070</v>
      </c>
      <c r="C3065" s="1" t="n">
        <v>46132</v>
      </c>
      <c r="D3065" t="inlineStr">
        <is>
          <t>ÖREBRO LÄN</t>
        </is>
      </c>
      <c r="E3065" t="inlineStr">
        <is>
          <t>NORA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20577-2023</t>
        </is>
      </c>
      <c r="B3066" s="1" t="n">
        <v>45057</v>
      </c>
      <c r="C3066" s="1" t="n">
        <v>46132</v>
      </c>
      <c r="D3066" t="inlineStr">
        <is>
          <t>ÖREBRO LÄN</t>
        </is>
      </c>
      <c r="E3066" t="inlineStr">
        <is>
          <t>DEGERFORS</t>
        </is>
      </c>
      <c r="F3066" t="inlineStr">
        <is>
          <t>Sveaskog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13969-2025</t>
        </is>
      </c>
      <c r="B3067" s="1" t="n">
        <v>45738.43714120371</v>
      </c>
      <c r="C3067" s="1" t="n">
        <v>46132</v>
      </c>
      <c r="D3067" t="inlineStr">
        <is>
          <t>ÖREBRO LÄN</t>
        </is>
      </c>
      <c r="E3067" t="inlineStr">
        <is>
          <t>LINDESBERG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13101-2025</t>
        </is>
      </c>
      <c r="B3068" s="1" t="n">
        <v>45734</v>
      </c>
      <c r="C3068" s="1" t="n">
        <v>46132</v>
      </c>
      <c r="D3068" t="inlineStr">
        <is>
          <t>ÖREBRO LÄN</t>
        </is>
      </c>
      <c r="E3068" t="inlineStr">
        <is>
          <t>LAXÅ</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13102-2025</t>
        </is>
      </c>
      <c r="B3069" s="1" t="n">
        <v>45734</v>
      </c>
      <c r="C3069" s="1" t="n">
        <v>46132</v>
      </c>
      <c r="D3069" t="inlineStr">
        <is>
          <t>ÖREBRO LÄN</t>
        </is>
      </c>
      <c r="E3069" t="inlineStr">
        <is>
          <t>LAXÅ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61079-2025</t>
        </is>
      </c>
      <c r="B3070" s="1" t="n">
        <v>46000.40052083333</v>
      </c>
      <c r="C3070" s="1" t="n">
        <v>46132</v>
      </c>
      <c r="D3070" t="inlineStr">
        <is>
          <t>ÖREBRO LÄN</t>
        </is>
      </c>
      <c r="E3070" t="inlineStr">
        <is>
          <t>HÄLLEFORS</t>
        </is>
      </c>
      <c r="F3070" t="inlineStr">
        <is>
          <t>Bergvik skog väst AB</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24352-2023</t>
        </is>
      </c>
      <c r="B3071" s="1" t="n">
        <v>45082.31421296296</v>
      </c>
      <c r="C3071" s="1" t="n">
        <v>46132</v>
      </c>
      <c r="D3071" t="inlineStr">
        <is>
          <t>ÖREBRO LÄN</t>
        </is>
      </c>
      <c r="E3071" t="inlineStr">
        <is>
          <t>LINDESBERG</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44565.68466435185</v>
      </c>
      <c r="C3072" s="1" t="n">
        <v>46132</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484-2022</t>
        </is>
      </c>
      <c r="B3073" s="1" t="n">
        <v>44566</v>
      </c>
      <c r="C3073" s="1" t="n">
        <v>46132</v>
      </c>
      <c r="D3073" t="inlineStr">
        <is>
          <t>ÖREBRO LÄN</t>
        </is>
      </c>
      <c r="E3073" t="inlineStr">
        <is>
          <t>LINDESBERG</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60736-2025</t>
        </is>
      </c>
      <c r="B3074" s="1" t="n">
        <v>45996.78688657407</v>
      </c>
      <c r="C3074" s="1" t="n">
        <v>46132</v>
      </c>
      <c r="D3074" t="inlineStr">
        <is>
          <t>ÖREBRO LÄN</t>
        </is>
      </c>
      <c r="E3074" t="inlineStr">
        <is>
          <t>DEGERFORS</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10797-2023</t>
        </is>
      </c>
      <c r="B3075" s="1" t="n">
        <v>44989</v>
      </c>
      <c r="C3075" s="1" t="n">
        <v>46132</v>
      </c>
      <c r="D3075" t="inlineStr">
        <is>
          <t>ÖREBRO LÄN</t>
        </is>
      </c>
      <c r="E3075" t="inlineStr">
        <is>
          <t>DEGERFORS</t>
        </is>
      </c>
      <c r="G3075" t="n">
        <v>9.5</v>
      </c>
      <c r="H3075" t="n">
        <v>0</v>
      </c>
      <c r="I3075" t="n">
        <v>0</v>
      </c>
      <c r="J3075" t="n">
        <v>0</v>
      </c>
      <c r="K3075" t="n">
        <v>0</v>
      </c>
      <c r="L3075" t="n">
        <v>0</v>
      </c>
      <c r="M3075" t="n">
        <v>0</v>
      </c>
      <c r="N3075" t="n">
        <v>0</v>
      </c>
      <c r="O3075" t="n">
        <v>0</v>
      </c>
      <c r="P3075" t="n">
        <v>0</v>
      </c>
      <c r="Q3075" t="n">
        <v>0</v>
      </c>
      <c r="R3075" s="2" t="inlineStr"/>
    </row>
    <row r="3076" ht="15" customHeight="1">
      <c r="A3076" t="inlineStr">
        <is>
          <t>A 61584-2025</t>
        </is>
      </c>
      <c r="B3076" s="1" t="n">
        <v>46002.34265046296</v>
      </c>
      <c r="C3076" s="1" t="n">
        <v>46132</v>
      </c>
      <c r="D3076" t="inlineStr">
        <is>
          <t>ÖREBRO LÄN</t>
        </is>
      </c>
      <c r="E3076" t="inlineStr">
        <is>
          <t>LEKEBERG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16480-2025</t>
        </is>
      </c>
      <c r="B3077" s="1" t="n">
        <v>45751.57702546296</v>
      </c>
      <c r="C3077" s="1" t="n">
        <v>46132</v>
      </c>
      <c r="D3077" t="inlineStr">
        <is>
          <t>ÖREBRO LÄN</t>
        </is>
      </c>
      <c r="E3077" t="inlineStr">
        <is>
          <t>DEGERFORS</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44457-2022</t>
        </is>
      </c>
      <c r="B3078" s="1" t="n">
        <v>44839</v>
      </c>
      <c r="C3078" s="1" t="n">
        <v>46132</v>
      </c>
      <c r="D3078" t="inlineStr">
        <is>
          <t>ÖREBRO LÄN</t>
        </is>
      </c>
      <c r="E3078" t="inlineStr">
        <is>
          <t>DEGERFORS</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36024-2021</t>
        </is>
      </c>
      <c r="B3079" s="1" t="n">
        <v>44389</v>
      </c>
      <c r="C3079" s="1" t="n">
        <v>46132</v>
      </c>
      <c r="D3079" t="inlineStr">
        <is>
          <t>ÖREBRO LÄN</t>
        </is>
      </c>
      <c r="E3079" t="inlineStr">
        <is>
          <t>LINDESBERG</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9536-2025</t>
        </is>
      </c>
      <c r="B3080" s="1" t="n">
        <v>45715.57746527778</v>
      </c>
      <c r="C3080" s="1" t="n">
        <v>46132</v>
      </c>
      <c r="D3080" t="inlineStr">
        <is>
          <t>ÖREBRO LÄN</t>
        </is>
      </c>
      <c r="E3080" t="inlineStr">
        <is>
          <t>HÄLLEFORS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9539-2025</t>
        </is>
      </c>
      <c r="B3081" s="1" t="n">
        <v>45715.57984953704</v>
      </c>
      <c r="C3081" s="1" t="n">
        <v>46132</v>
      </c>
      <c r="D3081" t="inlineStr">
        <is>
          <t>ÖREBRO LÄN</t>
        </is>
      </c>
      <c r="E3081" t="inlineStr">
        <is>
          <t>HÄLLEFORS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61525-2025</t>
        </is>
      </c>
      <c r="B3082" s="1" t="n">
        <v>46001</v>
      </c>
      <c r="C3082" s="1" t="n">
        <v>46132</v>
      </c>
      <c r="D3082" t="inlineStr">
        <is>
          <t>ÖREBRO LÄN</t>
        </is>
      </c>
      <c r="E3082" t="inlineStr">
        <is>
          <t>ÖREBRO</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37042-2024</t>
        </is>
      </c>
      <c r="B3083" s="1" t="n">
        <v>45539</v>
      </c>
      <c r="C3083" s="1" t="n">
        <v>46132</v>
      </c>
      <c r="D3083" t="inlineStr">
        <is>
          <t>ÖREBRO LÄN</t>
        </is>
      </c>
      <c r="E3083" t="inlineStr">
        <is>
          <t>LEKEBERG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61532-2025</t>
        </is>
      </c>
      <c r="B3084" s="1" t="n">
        <v>46001.7097337963</v>
      </c>
      <c r="C3084" s="1" t="n">
        <v>46132</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61533-2025</t>
        </is>
      </c>
      <c r="B3085" s="1" t="n">
        <v>46001.71209490741</v>
      </c>
      <c r="C3085" s="1" t="n">
        <v>46132</v>
      </c>
      <c r="D3085" t="inlineStr">
        <is>
          <t>ÖREBRO LÄN</t>
        </is>
      </c>
      <c r="E3085" t="inlineStr">
        <is>
          <t>ASKERSUND</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40887-2023</t>
        </is>
      </c>
      <c r="B3086" s="1" t="n">
        <v>45173</v>
      </c>
      <c r="C3086" s="1" t="n">
        <v>46132</v>
      </c>
      <c r="D3086" t="inlineStr">
        <is>
          <t>ÖREBRO LÄN</t>
        </is>
      </c>
      <c r="E3086" t="inlineStr">
        <is>
          <t>HALLSBERG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61579-2025</t>
        </is>
      </c>
      <c r="B3087" s="1" t="n">
        <v>46002.33436342593</v>
      </c>
      <c r="C3087" s="1" t="n">
        <v>46132</v>
      </c>
      <c r="D3087" t="inlineStr">
        <is>
          <t>ÖREBRO LÄN</t>
        </is>
      </c>
      <c r="E3087" t="inlineStr">
        <is>
          <t>LJUSNARSBERG</t>
        </is>
      </c>
      <c r="F3087" t="inlineStr">
        <is>
          <t>Bergvik skog väst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10823-2023</t>
        </is>
      </c>
      <c r="B3088" s="1" t="n">
        <v>44990</v>
      </c>
      <c r="C3088" s="1" t="n">
        <v>46132</v>
      </c>
      <c r="D3088" t="inlineStr">
        <is>
          <t>ÖREBRO LÄN</t>
        </is>
      </c>
      <c r="E3088" t="inlineStr">
        <is>
          <t>LINDESBERG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61761-2025</t>
        </is>
      </c>
      <c r="B3089" s="1" t="n">
        <v>46002.62465277778</v>
      </c>
      <c r="C3089" s="1" t="n">
        <v>46132</v>
      </c>
      <c r="D3089" t="inlineStr">
        <is>
          <t>ÖREBRO LÄN</t>
        </is>
      </c>
      <c r="E3089" t="inlineStr">
        <is>
          <t>LINDESBERG</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61788-2025</t>
        </is>
      </c>
      <c r="B3090" s="1" t="n">
        <v>46002.68515046296</v>
      </c>
      <c r="C3090" s="1" t="n">
        <v>46132</v>
      </c>
      <c r="D3090" t="inlineStr">
        <is>
          <t>ÖREBRO LÄN</t>
        </is>
      </c>
      <c r="E3090" t="inlineStr">
        <is>
          <t>KARLSKOGA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41696-2023</t>
        </is>
      </c>
      <c r="B3091" s="1" t="n">
        <v>45176</v>
      </c>
      <c r="C3091" s="1" t="n">
        <v>46132</v>
      </c>
      <c r="D3091" t="inlineStr">
        <is>
          <t>ÖREBRO LÄN</t>
        </is>
      </c>
      <c r="E3091" t="inlineStr">
        <is>
          <t>NORA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57515-2023</t>
        </is>
      </c>
      <c r="B3092" s="1" t="n">
        <v>45240</v>
      </c>
      <c r="C3092" s="1" t="n">
        <v>46132</v>
      </c>
      <c r="D3092" t="inlineStr">
        <is>
          <t>ÖREBRO LÄN</t>
        </is>
      </c>
      <c r="E3092" t="inlineStr">
        <is>
          <t>LAXÅ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42049-2023</t>
        </is>
      </c>
      <c r="B3093" s="1" t="n">
        <v>45177</v>
      </c>
      <c r="C3093" s="1" t="n">
        <v>46132</v>
      </c>
      <c r="D3093" t="inlineStr">
        <is>
          <t>ÖREBRO LÄN</t>
        </is>
      </c>
      <c r="E3093" t="inlineStr">
        <is>
          <t>NORA</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32215-2024</t>
        </is>
      </c>
      <c r="B3094" s="1" t="n">
        <v>45511.89145833333</v>
      </c>
      <c r="C3094" s="1" t="n">
        <v>46132</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61745-2025</t>
        </is>
      </c>
      <c r="B3095" s="1" t="n">
        <v>46002.60324074074</v>
      </c>
      <c r="C3095" s="1" t="n">
        <v>46132</v>
      </c>
      <c r="D3095" t="inlineStr">
        <is>
          <t>ÖREBRO LÄN</t>
        </is>
      </c>
      <c r="E3095" t="inlineStr">
        <is>
          <t>LINDESBERG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19816-2025</t>
        </is>
      </c>
      <c r="B3096" s="1" t="n">
        <v>45771.45965277778</v>
      </c>
      <c r="C3096" s="1" t="n">
        <v>46132</v>
      </c>
      <c r="D3096" t="inlineStr">
        <is>
          <t>ÖREBRO LÄN</t>
        </is>
      </c>
      <c r="E3096" t="inlineStr">
        <is>
          <t>LAXÅ</t>
        </is>
      </c>
      <c r="F3096" t="inlineStr">
        <is>
          <t>Sveaskog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19820-2025</t>
        </is>
      </c>
      <c r="B3097" s="1" t="n">
        <v>45771.46131944445</v>
      </c>
      <c r="C3097" s="1" t="n">
        <v>46132</v>
      </c>
      <c r="D3097" t="inlineStr">
        <is>
          <t>ÖREBRO LÄN</t>
        </is>
      </c>
      <c r="E3097" t="inlineStr">
        <is>
          <t>LAXÅ</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1360-2022</t>
        </is>
      </c>
      <c r="B3098" s="1" t="n">
        <v>44573</v>
      </c>
      <c r="C3098" s="1" t="n">
        <v>46132</v>
      </c>
      <c r="D3098" t="inlineStr">
        <is>
          <t>ÖREBRO LÄN</t>
        </is>
      </c>
      <c r="E3098" t="inlineStr">
        <is>
          <t>ASKERSUND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9327-2025</t>
        </is>
      </c>
      <c r="B3099" s="1" t="n">
        <v>45714.74899305555</v>
      </c>
      <c r="C3099" s="1" t="n">
        <v>46132</v>
      </c>
      <c r="D3099" t="inlineStr">
        <is>
          <t>ÖREBRO LÄN</t>
        </is>
      </c>
      <c r="E3099" t="inlineStr">
        <is>
          <t>ASKERSUND</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58052-2023</t>
        </is>
      </c>
      <c r="B3100" s="1" t="n">
        <v>45245</v>
      </c>
      <c r="C3100" s="1" t="n">
        <v>46132</v>
      </c>
      <c r="D3100" t="inlineStr">
        <is>
          <t>ÖREBRO LÄN</t>
        </is>
      </c>
      <c r="E3100" t="inlineStr">
        <is>
          <t>LAXÅ</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61526-2025</t>
        </is>
      </c>
      <c r="B3101" s="1" t="n">
        <v>46001</v>
      </c>
      <c r="C3101" s="1" t="n">
        <v>46132</v>
      </c>
      <c r="D3101" t="inlineStr">
        <is>
          <t>ÖREBRO LÄN</t>
        </is>
      </c>
      <c r="E3101" t="inlineStr">
        <is>
          <t>HALLSBERG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61581-2025</t>
        </is>
      </c>
      <c r="B3102" s="1" t="n">
        <v>46002.33817129629</v>
      </c>
      <c r="C3102" s="1" t="n">
        <v>46132</v>
      </c>
      <c r="D3102" t="inlineStr">
        <is>
          <t>ÖREBRO LÄN</t>
        </is>
      </c>
      <c r="E3102" t="inlineStr">
        <is>
          <t>LEKEBERG</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52292-2021</t>
        </is>
      </c>
      <c r="B3103" s="1" t="n">
        <v>44463.67348379629</v>
      </c>
      <c r="C3103" s="1" t="n">
        <v>46132</v>
      </c>
      <c r="D3103" t="inlineStr">
        <is>
          <t>ÖREBRO LÄN</t>
        </is>
      </c>
      <c r="E3103" t="inlineStr">
        <is>
          <t>ASKERSUND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61758-2025</t>
        </is>
      </c>
      <c r="B3104" s="1" t="n">
        <v>46002.61762731482</v>
      </c>
      <c r="C3104" s="1" t="n">
        <v>46132</v>
      </c>
      <c r="D3104" t="inlineStr">
        <is>
          <t>ÖREBRO LÄN</t>
        </is>
      </c>
      <c r="E3104" t="inlineStr">
        <is>
          <t>LINDESBERG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61366-2025</t>
        </is>
      </c>
      <c r="B3105" s="1" t="n">
        <v>46001.42888888889</v>
      </c>
      <c r="C3105" s="1" t="n">
        <v>46132</v>
      </c>
      <c r="D3105" t="inlineStr">
        <is>
          <t>ÖREBRO LÄN</t>
        </is>
      </c>
      <c r="E3105" t="inlineStr">
        <is>
          <t>HÄLLEFORS</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15597-2025</t>
        </is>
      </c>
      <c r="B3106" s="1" t="n">
        <v>45747.9108449074</v>
      </c>
      <c r="C3106" s="1" t="n">
        <v>46132</v>
      </c>
      <c r="D3106" t="inlineStr">
        <is>
          <t>ÖREBRO LÄN</t>
        </is>
      </c>
      <c r="E3106" t="inlineStr">
        <is>
          <t>LEKEBERG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62405-2021</t>
        </is>
      </c>
      <c r="B3107" s="1" t="n">
        <v>44503</v>
      </c>
      <c r="C3107" s="1" t="n">
        <v>46132</v>
      </c>
      <c r="D3107" t="inlineStr">
        <is>
          <t>ÖREBRO LÄN</t>
        </is>
      </c>
      <c r="E3107" t="inlineStr">
        <is>
          <t>LAXÅ</t>
        </is>
      </c>
      <c r="F3107" t="inlineStr">
        <is>
          <t>Sveaskog</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38907-2023</t>
        </is>
      </c>
      <c r="B3108" s="1" t="n">
        <v>45163</v>
      </c>
      <c r="C3108" s="1" t="n">
        <v>46132</v>
      </c>
      <c r="D3108" t="inlineStr">
        <is>
          <t>ÖREBRO LÄN</t>
        </is>
      </c>
      <c r="E3108" t="inlineStr">
        <is>
          <t>DEGERFORS</t>
        </is>
      </c>
      <c r="F3108" t="inlineStr">
        <is>
          <t>Sveaskog</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60748-2023</t>
        </is>
      </c>
      <c r="B3109" s="1" t="n">
        <v>45260</v>
      </c>
      <c r="C3109" s="1" t="n">
        <v>46132</v>
      </c>
      <c r="D3109" t="inlineStr">
        <is>
          <t>ÖREBRO LÄN</t>
        </is>
      </c>
      <c r="E3109" t="inlineStr">
        <is>
          <t>LAXÅ</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15338-2025</t>
        </is>
      </c>
      <c r="B3110" s="1" t="n">
        <v>45747.36502314815</v>
      </c>
      <c r="C3110" s="1" t="n">
        <v>46132</v>
      </c>
      <c r="D3110" t="inlineStr">
        <is>
          <t>ÖREBRO LÄN</t>
        </is>
      </c>
      <c r="E3110" t="inlineStr">
        <is>
          <t>LAXÅ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22805-2023</t>
        </is>
      </c>
      <c r="B3111" s="1" t="n">
        <v>45072.3937037037</v>
      </c>
      <c r="C3111" s="1" t="n">
        <v>46132</v>
      </c>
      <c r="D3111" t="inlineStr">
        <is>
          <t>ÖREBRO LÄN</t>
        </is>
      </c>
      <c r="E3111" t="inlineStr">
        <is>
          <t>ASKERSUND</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13379-2025</t>
        </is>
      </c>
      <c r="B3112" s="1" t="n">
        <v>45735.67546296296</v>
      </c>
      <c r="C3112" s="1" t="n">
        <v>46132</v>
      </c>
      <c r="D3112" t="inlineStr">
        <is>
          <t>ÖREBRO LÄN</t>
        </is>
      </c>
      <c r="E3112" t="inlineStr">
        <is>
          <t>ASKERSUND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14457-2025</t>
        </is>
      </c>
      <c r="B3113" s="1" t="n">
        <v>45741.56659722222</v>
      </c>
      <c r="C3113" s="1" t="n">
        <v>46132</v>
      </c>
      <c r="D3113" t="inlineStr">
        <is>
          <t>ÖREBRO LÄN</t>
        </is>
      </c>
      <c r="E3113" t="inlineStr">
        <is>
          <t>LAXÅ</t>
        </is>
      </c>
      <c r="F3113" t="inlineStr">
        <is>
          <t>Sveaskog</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14497-2025</t>
        </is>
      </c>
      <c r="B3114" s="1" t="n">
        <v>45741.61515046296</v>
      </c>
      <c r="C3114" s="1" t="n">
        <v>46132</v>
      </c>
      <c r="D3114" t="inlineStr">
        <is>
          <t>ÖREBRO LÄN</t>
        </is>
      </c>
      <c r="E3114" t="inlineStr">
        <is>
          <t>ASKERSUND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46757-2021</t>
        </is>
      </c>
      <c r="B3115" s="1" t="n">
        <v>44445</v>
      </c>
      <c r="C3115" s="1" t="n">
        <v>46132</v>
      </c>
      <c r="D3115" t="inlineStr">
        <is>
          <t>ÖREBRO LÄN</t>
        </is>
      </c>
      <c r="E3115" t="inlineStr">
        <is>
          <t>ÖREBRO</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48118-2023</t>
        </is>
      </c>
      <c r="B3116" s="1" t="n">
        <v>45205</v>
      </c>
      <c r="C3116" s="1" t="n">
        <v>46132</v>
      </c>
      <c r="D3116" t="inlineStr">
        <is>
          <t>ÖREBRO LÄN</t>
        </is>
      </c>
      <c r="E3116" t="inlineStr">
        <is>
          <t>DEGERFORS</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29482-2023</t>
        </is>
      </c>
      <c r="B3117" s="1" t="n">
        <v>45106.57938657407</v>
      </c>
      <c r="C3117" s="1" t="n">
        <v>46132</v>
      </c>
      <c r="D3117" t="inlineStr">
        <is>
          <t>ÖREBRO LÄN</t>
        </is>
      </c>
      <c r="E3117" t="inlineStr">
        <is>
          <t>DEGERFORS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62029-2025</t>
        </is>
      </c>
      <c r="B3118" s="1" t="n">
        <v>46003.76982638889</v>
      </c>
      <c r="C3118" s="1" t="n">
        <v>46132</v>
      </c>
      <c r="D3118" t="inlineStr">
        <is>
          <t>ÖREBRO LÄN</t>
        </is>
      </c>
      <c r="E3118" t="inlineStr">
        <is>
          <t>LAXÅ</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8252-2022</t>
        </is>
      </c>
      <c r="B3119" s="1" t="n">
        <v>44610.33194444444</v>
      </c>
      <c r="C3119" s="1" t="n">
        <v>46132</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61930-2025</t>
        </is>
      </c>
      <c r="B3120" s="1" t="n">
        <v>46003</v>
      </c>
      <c r="C3120" s="1" t="n">
        <v>46132</v>
      </c>
      <c r="D3120" t="inlineStr">
        <is>
          <t>ÖREBRO LÄN</t>
        </is>
      </c>
      <c r="E3120" t="inlineStr">
        <is>
          <t>ÖREBRO</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52489-2022</t>
        </is>
      </c>
      <c r="B3121" s="1" t="n">
        <v>44874.49135416667</v>
      </c>
      <c r="C3121" s="1" t="n">
        <v>46132</v>
      </c>
      <c r="D3121" t="inlineStr">
        <is>
          <t>ÖREBRO LÄN</t>
        </is>
      </c>
      <c r="E3121" t="inlineStr">
        <is>
          <t>LJUSNARSBERG</t>
        </is>
      </c>
      <c r="F3121" t="inlineStr">
        <is>
          <t>Bergvik skog väst AB</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62246-2025</t>
        </is>
      </c>
      <c r="B3122" s="1" t="n">
        <v>46006.60633101852</v>
      </c>
      <c r="C3122" s="1" t="n">
        <v>46132</v>
      </c>
      <c r="D3122" t="inlineStr">
        <is>
          <t>ÖREBRO LÄN</t>
        </is>
      </c>
      <c r="E3122" t="inlineStr">
        <is>
          <t>LINDESBERG</t>
        </is>
      </c>
      <c r="F3122" t="inlineStr">
        <is>
          <t>Sveaskog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30806-2024</t>
        </is>
      </c>
      <c r="B3123" s="1" t="n">
        <v>45497.38224537037</v>
      </c>
      <c r="C3123" s="1" t="n">
        <v>46132</v>
      </c>
      <c r="D3123" t="inlineStr">
        <is>
          <t>ÖREBRO LÄN</t>
        </is>
      </c>
      <c r="E3123" t="inlineStr">
        <is>
          <t>KUMLA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38917-2023</t>
        </is>
      </c>
      <c r="B3124" s="1" t="n">
        <v>45163</v>
      </c>
      <c r="C3124" s="1" t="n">
        <v>46132</v>
      </c>
      <c r="D3124" t="inlineStr">
        <is>
          <t>ÖREBRO LÄN</t>
        </is>
      </c>
      <c r="E3124" t="inlineStr">
        <is>
          <t>DEGERFORS</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58603-2023</t>
        </is>
      </c>
      <c r="B3125" s="1" t="n">
        <v>45251</v>
      </c>
      <c r="C3125" s="1" t="n">
        <v>46132</v>
      </c>
      <c r="D3125" t="inlineStr">
        <is>
          <t>ÖREBRO LÄN</t>
        </is>
      </c>
      <c r="E3125" t="inlineStr">
        <is>
          <t>LINDESBERG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13417-2025</t>
        </is>
      </c>
      <c r="B3126" s="1" t="n">
        <v>45736.30940972222</v>
      </c>
      <c r="C3126" s="1" t="n">
        <v>46132</v>
      </c>
      <c r="D3126" t="inlineStr">
        <is>
          <t>ÖREBRO LÄN</t>
        </is>
      </c>
      <c r="E3126" t="inlineStr">
        <is>
          <t>LINDESBERG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58420-2021</t>
        </is>
      </c>
      <c r="B3127" s="1" t="n">
        <v>44488</v>
      </c>
      <c r="C3127" s="1" t="n">
        <v>46132</v>
      </c>
      <c r="D3127" t="inlineStr">
        <is>
          <t>ÖREBRO LÄN</t>
        </is>
      </c>
      <c r="E3127" t="inlineStr">
        <is>
          <t>ASKERSUND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43066-2021</t>
        </is>
      </c>
      <c r="B3128" s="1" t="n">
        <v>44431</v>
      </c>
      <c r="C3128" s="1" t="n">
        <v>46132</v>
      </c>
      <c r="D3128" t="inlineStr">
        <is>
          <t>ÖREBRO LÄN</t>
        </is>
      </c>
      <c r="E3128" t="inlineStr">
        <is>
          <t>LINDESBERG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62262-2025</t>
        </is>
      </c>
      <c r="B3129" s="1" t="n">
        <v>46006.61628472222</v>
      </c>
      <c r="C3129" s="1" t="n">
        <v>46132</v>
      </c>
      <c r="D3129" t="inlineStr">
        <is>
          <t>ÖREBRO LÄN</t>
        </is>
      </c>
      <c r="E3129" t="inlineStr">
        <is>
          <t>HÄLLEFORS</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23603-2023</t>
        </is>
      </c>
      <c r="B3130" s="1" t="n">
        <v>45077</v>
      </c>
      <c r="C3130" s="1" t="n">
        <v>46132</v>
      </c>
      <c r="D3130" t="inlineStr">
        <is>
          <t>ÖREBRO LÄN</t>
        </is>
      </c>
      <c r="E3130" t="inlineStr">
        <is>
          <t>LINDESBERG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23607-2023</t>
        </is>
      </c>
      <c r="B3131" s="1" t="n">
        <v>45077</v>
      </c>
      <c r="C3131" s="1" t="n">
        <v>46132</v>
      </c>
      <c r="D3131" t="inlineStr">
        <is>
          <t>ÖREBRO LÄN</t>
        </is>
      </c>
      <c r="E3131" t="inlineStr">
        <is>
          <t>LINDESBERG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23612-2023</t>
        </is>
      </c>
      <c r="B3132" s="1" t="n">
        <v>45077</v>
      </c>
      <c r="C3132" s="1" t="n">
        <v>46132</v>
      </c>
      <c r="D3132" t="inlineStr">
        <is>
          <t>ÖREBRO LÄN</t>
        </is>
      </c>
      <c r="E3132" t="inlineStr">
        <is>
          <t>LINDESBERG</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13609-2025</t>
        </is>
      </c>
      <c r="B3133" s="1" t="n">
        <v>45736</v>
      </c>
      <c r="C3133" s="1" t="n">
        <v>46132</v>
      </c>
      <c r="D3133" t="inlineStr">
        <is>
          <t>ÖREBRO LÄN</t>
        </is>
      </c>
      <c r="E3133" t="inlineStr">
        <is>
          <t>LJUSNARSBERG</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46487-2021</t>
        </is>
      </c>
      <c r="B3134" s="1" t="n">
        <v>44445.38759259259</v>
      </c>
      <c r="C3134" s="1" t="n">
        <v>46132</v>
      </c>
      <c r="D3134" t="inlineStr">
        <is>
          <t>ÖREBRO LÄN</t>
        </is>
      </c>
      <c r="E3134" t="inlineStr">
        <is>
          <t>LAXÅ</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46544-2021</t>
        </is>
      </c>
      <c r="B3135" s="1" t="n">
        <v>44445</v>
      </c>
      <c r="C3135" s="1" t="n">
        <v>46132</v>
      </c>
      <c r="D3135" t="inlineStr">
        <is>
          <t>ÖREBRO LÄN</t>
        </is>
      </c>
      <c r="E3135" t="inlineStr">
        <is>
          <t>NORA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30374-2023</t>
        </is>
      </c>
      <c r="B3136" s="1" t="n">
        <v>45111</v>
      </c>
      <c r="C3136" s="1" t="n">
        <v>46132</v>
      </c>
      <c r="D3136" t="inlineStr">
        <is>
          <t>ÖREBRO LÄN</t>
        </is>
      </c>
      <c r="E3136" t="inlineStr">
        <is>
          <t>ÖREBRO</t>
        </is>
      </c>
      <c r="F3136" t="inlineStr">
        <is>
          <t>Övriga Aktiebolag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40126-2021</t>
        </is>
      </c>
      <c r="B3137" s="1" t="n">
        <v>44418</v>
      </c>
      <c r="C3137" s="1" t="n">
        <v>46132</v>
      </c>
      <c r="D3137" t="inlineStr">
        <is>
          <t>ÖREBRO LÄN</t>
        </is>
      </c>
      <c r="E3137" t="inlineStr">
        <is>
          <t>NORA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30414-2023</t>
        </is>
      </c>
      <c r="B3138" s="1" t="n">
        <v>45111.5005787037</v>
      </c>
      <c r="C3138" s="1" t="n">
        <v>46132</v>
      </c>
      <c r="D3138" t="inlineStr">
        <is>
          <t>ÖREBRO LÄN</t>
        </is>
      </c>
      <c r="E3138" t="inlineStr">
        <is>
          <t>LJUSNARSBERG</t>
        </is>
      </c>
      <c r="F3138" t="inlineStr">
        <is>
          <t>Bergvik skog väst AB</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23102-2023</t>
        </is>
      </c>
      <c r="B3139" s="1" t="n">
        <v>45075.44152777778</v>
      </c>
      <c r="C3139" s="1" t="n">
        <v>46132</v>
      </c>
      <c r="D3139" t="inlineStr">
        <is>
          <t>ÖREBRO LÄN</t>
        </is>
      </c>
      <c r="E3139" t="inlineStr">
        <is>
          <t>LINDESBERG</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15212-2025</t>
        </is>
      </c>
      <c r="B3140" s="1" t="n">
        <v>45744.57673611111</v>
      </c>
      <c r="C3140" s="1" t="n">
        <v>46132</v>
      </c>
      <c r="D3140" t="inlineStr">
        <is>
          <t>ÖREBRO LÄN</t>
        </is>
      </c>
      <c r="E3140" t="inlineStr">
        <is>
          <t>LINDESBERG</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20463-2025</t>
        </is>
      </c>
      <c r="B3141" s="1" t="n">
        <v>45775.53664351852</v>
      </c>
      <c r="C3141" s="1" t="n">
        <v>46132</v>
      </c>
      <c r="D3141" t="inlineStr">
        <is>
          <t>ÖREBRO LÄN</t>
        </is>
      </c>
      <c r="E3141" t="inlineStr">
        <is>
          <t>KARLSKOGA</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62555-2025</t>
        </is>
      </c>
      <c r="B3142" s="1" t="n">
        <v>46007.67962962963</v>
      </c>
      <c r="C3142" s="1" t="n">
        <v>46132</v>
      </c>
      <c r="D3142" t="inlineStr">
        <is>
          <t>ÖREBRO LÄN</t>
        </is>
      </c>
      <c r="E3142" t="inlineStr">
        <is>
          <t>ASKERSUND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3148-2023</t>
        </is>
      </c>
      <c r="B3143" s="1" t="n">
        <v>44946.54424768518</v>
      </c>
      <c r="C3143" s="1" t="n">
        <v>46132</v>
      </c>
      <c r="D3143" t="inlineStr">
        <is>
          <t>ÖREBRO LÄN</t>
        </is>
      </c>
      <c r="E3143" t="inlineStr">
        <is>
          <t>LINDESBERG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16135-2025</t>
        </is>
      </c>
      <c r="B3144" s="1" t="n">
        <v>45750.44355324074</v>
      </c>
      <c r="C3144" s="1" t="n">
        <v>46132</v>
      </c>
      <c r="D3144" t="inlineStr">
        <is>
          <t>ÖREBRO LÄN</t>
        </is>
      </c>
      <c r="E3144" t="inlineStr">
        <is>
          <t>HÄLLEFORS</t>
        </is>
      </c>
      <c r="F3144" t="inlineStr">
        <is>
          <t>Kyrkan</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62857-2025</t>
        </is>
      </c>
      <c r="B3145" s="1" t="n">
        <v>46008.74070601852</v>
      </c>
      <c r="C3145" s="1" t="n">
        <v>46132</v>
      </c>
      <c r="D3145" t="inlineStr">
        <is>
          <t>ÖREBRO LÄN</t>
        </is>
      </c>
      <c r="E3145" t="inlineStr">
        <is>
          <t>HÄLLEFORS</t>
        </is>
      </c>
      <c r="F3145" t="inlineStr">
        <is>
          <t>Bergvik skog väst AB</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62550-2025</t>
        </is>
      </c>
      <c r="B3146" s="1" t="n">
        <v>46007.67032407408</v>
      </c>
      <c r="C3146" s="1" t="n">
        <v>46132</v>
      </c>
      <c r="D3146" t="inlineStr">
        <is>
          <t>ÖREBRO LÄN</t>
        </is>
      </c>
      <c r="E3146" t="inlineStr">
        <is>
          <t>ASKERSUND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62551-2025</t>
        </is>
      </c>
      <c r="B3147" s="1" t="n">
        <v>46007.67262731482</v>
      </c>
      <c r="C3147" s="1" t="n">
        <v>46132</v>
      </c>
      <c r="D3147" t="inlineStr">
        <is>
          <t>ÖREBRO LÄN</t>
        </is>
      </c>
      <c r="E3147" t="inlineStr">
        <is>
          <t>ASKERSUND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24359-2023</t>
        </is>
      </c>
      <c r="B3148" s="1" t="n">
        <v>45082</v>
      </c>
      <c r="C3148" s="1" t="n">
        <v>46132</v>
      </c>
      <c r="D3148" t="inlineStr">
        <is>
          <t>ÖREBRO LÄN</t>
        </is>
      </c>
      <c r="E3148" t="inlineStr">
        <is>
          <t>HÄLLEFORS</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62683-2025</t>
        </is>
      </c>
      <c r="B3149" s="1" t="n">
        <v>46008.45796296297</v>
      </c>
      <c r="C3149" s="1" t="n">
        <v>46132</v>
      </c>
      <c r="D3149" t="inlineStr">
        <is>
          <t>ÖREBRO LÄN</t>
        </is>
      </c>
      <c r="E3149" t="inlineStr">
        <is>
          <t>ÖREBRO</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58050-2025</t>
        </is>
      </c>
      <c r="B3150" s="1" t="n">
        <v>45982</v>
      </c>
      <c r="C3150" s="1" t="n">
        <v>46132</v>
      </c>
      <c r="D3150" t="inlineStr">
        <is>
          <t>ÖREBRO LÄN</t>
        </is>
      </c>
      <c r="E3150" t="inlineStr">
        <is>
          <t>LINDESBERG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62383-2025</t>
        </is>
      </c>
      <c r="B3151" s="1" t="n">
        <v>46007.3708449074</v>
      </c>
      <c r="C3151" s="1" t="n">
        <v>46132</v>
      </c>
      <c r="D3151" t="inlineStr">
        <is>
          <t>ÖREBRO LÄN</t>
        </is>
      </c>
      <c r="E3151" t="inlineStr">
        <is>
          <t>LINDESBERG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62841-2025</t>
        </is>
      </c>
      <c r="B3152" s="1" t="n">
        <v>46008.69076388889</v>
      </c>
      <c r="C3152" s="1" t="n">
        <v>46132</v>
      </c>
      <c r="D3152" t="inlineStr">
        <is>
          <t>ÖREBRO LÄN</t>
        </is>
      </c>
      <c r="E3152" t="inlineStr">
        <is>
          <t>HÄLLEFORS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62603-2025</t>
        </is>
      </c>
      <c r="B3153" s="1" t="n">
        <v>46008.25765046296</v>
      </c>
      <c r="C3153" s="1" t="n">
        <v>46132</v>
      </c>
      <c r="D3153" t="inlineStr">
        <is>
          <t>ÖREBRO LÄN</t>
        </is>
      </c>
      <c r="E3153" t="inlineStr">
        <is>
          <t>LINDESBERG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54678-2023</t>
        </is>
      </c>
      <c r="B3154" s="1" t="n">
        <v>45235</v>
      </c>
      <c r="C3154" s="1" t="n">
        <v>46132</v>
      </c>
      <c r="D3154" t="inlineStr">
        <is>
          <t>ÖREBRO LÄN</t>
        </is>
      </c>
      <c r="E3154" t="inlineStr">
        <is>
          <t>ÖREBRO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28471-2023</t>
        </is>
      </c>
      <c r="B3155" s="1" t="n">
        <v>45103.41175925926</v>
      </c>
      <c r="C3155" s="1" t="n">
        <v>46132</v>
      </c>
      <c r="D3155" t="inlineStr">
        <is>
          <t>ÖREBRO LÄN</t>
        </is>
      </c>
      <c r="E3155" t="inlineStr">
        <is>
          <t>KARLSKOGA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62848-2025</t>
        </is>
      </c>
      <c r="B3156" s="1" t="n">
        <v>46008.6987037037</v>
      </c>
      <c r="C3156" s="1" t="n">
        <v>46132</v>
      </c>
      <c r="D3156" t="inlineStr">
        <is>
          <t>ÖREBRO LÄN</t>
        </is>
      </c>
      <c r="E3156" t="inlineStr">
        <is>
          <t>HÄLLEFORS</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5518-2022</t>
        </is>
      </c>
      <c r="B3157" s="1" t="n">
        <v>44595</v>
      </c>
      <c r="C3157" s="1" t="n">
        <v>46132</v>
      </c>
      <c r="D3157" t="inlineStr">
        <is>
          <t>ÖREBRO LÄN</t>
        </is>
      </c>
      <c r="E3157" t="inlineStr">
        <is>
          <t>ASKERSUND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56267-2021</t>
        </is>
      </c>
      <c r="B3158" s="1" t="n">
        <v>44479.61296296296</v>
      </c>
      <c r="C3158" s="1" t="n">
        <v>46132</v>
      </c>
      <c r="D3158" t="inlineStr">
        <is>
          <t>ÖREBRO LÄN</t>
        </is>
      </c>
      <c r="E3158" t="inlineStr">
        <is>
          <t>LEKEBERG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58056-2025</t>
        </is>
      </c>
      <c r="B3159" s="1" t="n">
        <v>45982</v>
      </c>
      <c r="C3159" s="1" t="n">
        <v>46132</v>
      </c>
      <c r="D3159" t="inlineStr">
        <is>
          <t>ÖREBRO LÄN</t>
        </is>
      </c>
      <c r="E3159" t="inlineStr">
        <is>
          <t>LINDESBERG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62846-2025</t>
        </is>
      </c>
      <c r="B3160" s="1" t="n">
        <v>46008.69574074074</v>
      </c>
      <c r="C3160" s="1" t="n">
        <v>46132</v>
      </c>
      <c r="D3160" t="inlineStr">
        <is>
          <t>ÖREBRO LÄN</t>
        </is>
      </c>
      <c r="E3160" t="inlineStr">
        <is>
          <t>HÄLLEFORS</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62604-2025</t>
        </is>
      </c>
      <c r="B3161" s="1" t="n">
        <v>46008.26085648148</v>
      </c>
      <c r="C3161" s="1" t="n">
        <v>46132</v>
      </c>
      <c r="D3161" t="inlineStr">
        <is>
          <t>ÖREBRO LÄN</t>
        </is>
      </c>
      <c r="E3161" t="inlineStr">
        <is>
          <t>LINDESBERG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62547-2025</t>
        </is>
      </c>
      <c r="B3162" s="1" t="n">
        <v>46007.66248842593</v>
      </c>
      <c r="C3162" s="1" t="n">
        <v>46132</v>
      </c>
      <c r="D3162" t="inlineStr">
        <is>
          <t>ÖREBRO LÄN</t>
        </is>
      </c>
      <c r="E3162" t="inlineStr">
        <is>
          <t>ASKERSUND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15255-2025</t>
        </is>
      </c>
      <c r="B3163" s="1" t="n">
        <v>45744.65173611111</v>
      </c>
      <c r="C3163" s="1" t="n">
        <v>46132</v>
      </c>
      <c r="D3163" t="inlineStr">
        <is>
          <t>ÖREBRO LÄN</t>
        </is>
      </c>
      <c r="E3163" t="inlineStr">
        <is>
          <t>KARLSKOGA</t>
        </is>
      </c>
      <c r="F3163" t="inlineStr">
        <is>
          <t>Sveaskog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62400-2025</t>
        </is>
      </c>
      <c r="B3164" s="1" t="n">
        <v>46007.40847222223</v>
      </c>
      <c r="C3164" s="1" t="n">
        <v>46132</v>
      </c>
      <c r="D3164" t="inlineStr">
        <is>
          <t>ÖREBRO LÄN</t>
        </is>
      </c>
      <c r="E3164" t="inlineStr">
        <is>
          <t>HÄLLEFORS</t>
        </is>
      </c>
      <c r="F3164" t="inlineStr">
        <is>
          <t>Bergvik skog väst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61448-2022</t>
        </is>
      </c>
      <c r="B3165" s="1" t="n">
        <v>44916</v>
      </c>
      <c r="C3165" s="1" t="n">
        <v>46132</v>
      </c>
      <c r="D3165" t="inlineStr">
        <is>
          <t>ÖREBRO LÄN</t>
        </is>
      </c>
      <c r="E3165" t="inlineStr">
        <is>
          <t>HALLSBERG</t>
        </is>
      </c>
      <c r="F3165" t="inlineStr">
        <is>
          <t>Kommuner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29235-2023</t>
        </is>
      </c>
      <c r="B3166" s="1" t="n">
        <v>45105.61784722222</v>
      </c>
      <c r="C3166" s="1" t="n">
        <v>46132</v>
      </c>
      <c r="D3166" t="inlineStr">
        <is>
          <t>ÖREBRO LÄN</t>
        </is>
      </c>
      <c r="E3166" t="inlineStr">
        <is>
          <t>ASKERSUND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62978-2025</t>
        </is>
      </c>
      <c r="B3167" s="1" t="n">
        <v>46009.47902777778</v>
      </c>
      <c r="C3167" s="1" t="n">
        <v>46132</v>
      </c>
      <c r="D3167" t="inlineStr">
        <is>
          <t>ÖREBRO LÄN</t>
        </is>
      </c>
      <c r="E3167" t="inlineStr">
        <is>
          <t>LEKEBERG</t>
        </is>
      </c>
      <c r="F3167" t="inlineStr">
        <is>
          <t>Allmännings- och besparingsskogar</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55207-2021</t>
        </is>
      </c>
      <c r="B3168" s="1" t="n">
        <v>44475.36864583333</v>
      </c>
      <c r="C3168" s="1" t="n">
        <v>46132</v>
      </c>
      <c r="D3168" t="inlineStr">
        <is>
          <t>ÖREBRO LÄN</t>
        </is>
      </c>
      <c r="E3168" t="inlineStr">
        <is>
          <t>LAXÅ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8533-2025</t>
        </is>
      </c>
      <c r="B3169" s="1" t="n">
        <v>45709</v>
      </c>
      <c r="C3169" s="1" t="n">
        <v>46132</v>
      </c>
      <c r="D3169" t="inlineStr">
        <is>
          <t>ÖREBRO LÄN</t>
        </is>
      </c>
      <c r="E3169" t="inlineStr">
        <is>
          <t>LAXÅ</t>
        </is>
      </c>
      <c r="F3169" t="inlineStr">
        <is>
          <t>Sveaskog</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50225-2021</t>
        </is>
      </c>
      <c r="B3170" s="1" t="n">
        <v>44457</v>
      </c>
      <c r="C3170" s="1" t="n">
        <v>46132</v>
      </c>
      <c r="D3170" t="inlineStr">
        <is>
          <t>ÖREBRO LÄN</t>
        </is>
      </c>
      <c r="E3170" t="inlineStr">
        <is>
          <t>LINDESBERG</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18605-2025</t>
        </is>
      </c>
      <c r="B3171" s="1" t="n">
        <v>45763.49344907407</v>
      </c>
      <c r="C3171" s="1" t="n">
        <v>46132</v>
      </c>
      <c r="D3171" t="inlineStr">
        <is>
          <t>ÖREBRO LÄN</t>
        </is>
      </c>
      <c r="E3171" t="inlineStr">
        <is>
          <t>HÄLLEFORS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36889-2021</t>
        </is>
      </c>
      <c r="B3172" s="1" t="n">
        <v>44393.45215277778</v>
      </c>
      <c r="C3172" s="1" t="n">
        <v>46132</v>
      </c>
      <c r="D3172" t="inlineStr">
        <is>
          <t>ÖREBRO LÄN</t>
        </is>
      </c>
      <c r="E3172" t="inlineStr">
        <is>
          <t>LAXÅ</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57806-2021</t>
        </is>
      </c>
      <c r="B3173" s="1" t="n">
        <v>44484</v>
      </c>
      <c r="C3173" s="1" t="n">
        <v>46132</v>
      </c>
      <c r="D3173" t="inlineStr">
        <is>
          <t>ÖREBRO LÄN</t>
        </is>
      </c>
      <c r="E3173" t="inlineStr">
        <is>
          <t>LAXÅ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63078-2025</t>
        </is>
      </c>
      <c r="B3174" s="1" t="n">
        <v>46009</v>
      </c>
      <c r="C3174" s="1" t="n">
        <v>46132</v>
      </c>
      <c r="D3174" t="inlineStr">
        <is>
          <t>ÖREBRO LÄN</t>
        </is>
      </c>
      <c r="E3174" t="inlineStr">
        <is>
          <t>LINDESBERG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46263-2021</t>
        </is>
      </c>
      <c r="B3175" s="1" t="n">
        <v>44442.55688657407</v>
      </c>
      <c r="C3175" s="1" t="n">
        <v>46132</v>
      </c>
      <c r="D3175" t="inlineStr">
        <is>
          <t>ÖREBRO LÄN</t>
        </is>
      </c>
      <c r="E3175" t="inlineStr">
        <is>
          <t>LJUSNARSBERG</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41233-2024</t>
        </is>
      </c>
      <c r="B3176" s="1" t="n">
        <v>45559</v>
      </c>
      <c r="C3176" s="1" t="n">
        <v>46132</v>
      </c>
      <c r="D3176" t="inlineStr">
        <is>
          <t>ÖREBRO LÄN</t>
        </is>
      </c>
      <c r="E3176" t="inlineStr">
        <is>
          <t>LEKEBERG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62990-2025</t>
        </is>
      </c>
      <c r="B3177" s="1" t="n">
        <v>46009.514375</v>
      </c>
      <c r="C3177" s="1" t="n">
        <v>46132</v>
      </c>
      <c r="D3177" t="inlineStr">
        <is>
          <t>ÖREBRO LÄN</t>
        </is>
      </c>
      <c r="E3177" t="inlineStr">
        <is>
          <t>HALLSBERG</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62939-2025</t>
        </is>
      </c>
      <c r="B3178" s="1" t="n">
        <v>46009.4262037037</v>
      </c>
      <c r="C3178" s="1" t="n">
        <v>46132</v>
      </c>
      <c r="D3178" t="inlineStr">
        <is>
          <t>ÖREBRO LÄN</t>
        </is>
      </c>
      <c r="E3178" t="inlineStr">
        <is>
          <t>LEKEBERG</t>
        </is>
      </c>
      <c r="F3178" t="inlineStr">
        <is>
          <t>Allmännings- och besparingsskogar</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25744-2023</t>
        </is>
      </c>
      <c r="B3179" s="1" t="n">
        <v>45090.43478009259</v>
      </c>
      <c r="C3179" s="1" t="n">
        <v>46132</v>
      </c>
      <c r="D3179" t="inlineStr">
        <is>
          <t>ÖREBRO LÄN</t>
        </is>
      </c>
      <c r="E3179" t="inlineStr">
        <is>
          <t>LAXÅ</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35608-2021</t>
        </is>
      </c>
      <c r="B3180" s="1" t="n">
        <v>44386.38070601852</v>
      </c>
      <c r="C3180" s="1" t="n">
        <v>46132</v>
      </c>
      <c r="D3180" t="inlineStr">
        <is>
          <t>ÖREBRO LÄN</t>
        </is>
      </c>
      <c r="E3180" t="inlineStr">
        <is>
          <t>NORA</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61202-2023</t>
        </is>
      </c>
      <c r="B3181" s="1" t="n">
        <v>45264.38084490741</v>
      </c>
      <c r="C3181" s="1" t="n">
        <v>46132</v>
      </c>
      <c r="D3181" t="inlineStr">
        <is>
          <t>ÖREBRO LÄN</t>
        </is>
      </c>
      <c r="E3181" t="inlineStr">
        <is>
          <t>LINDESBERG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55003-2025</t>
        </is>
      </c>
      <c r="B3182" s="1" t="n">
        <v>45967</v>
      </c>
      <c r="C3182" s="1" t="n">
        <v>46132</v>
      </c>
      <c r="D3182" t="inlineStr">
        <is>
          <t>ÖREBRO LÄN</t>
        </is>
      </c>
      <c r="E3182" t="inlineStr">
        <is>
          <t>ÖREBRO</t>
        </is>
      </c>
      <c r="F3182" t="inlineStr">
        <is>
          <t>Övriga Aktiebolag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57747-2022</t>
        </is>
      </c>
      <c r="B3183" s="1" t="n">
        <v>44897</v>
      </c>
      <c r="C3183" s="1" t="n">
        <v>46132</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14187-2024</t>
        </is>
      </c>
      <c r="B3184" s="1" t="n">
        <v>45393.35787037037</v>
      </c>
      <c r="C3184" s="1" t="n">
        <v>46132</v>
      </c>
      <c r="D3184" t="inlineStr">
        <is>
          <t>ÖREBRO LÄN</t>
        </is>
      </c>
      <c r="E3184" t="inlineStr">
        <is>
          <t>LINDESBERG</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63083-2025</t>
        </is>
      </c>
      <c r="B3185" s="1" t="n">
        <v>46009.67175925926</v>
      </c>
      <c r="C3185" s="1" t="n">
        <v>46132</v>
      </c>
      <c r="D3185" t="inlineStr">
        <is>
          <t>ÖREBRO LÄN</t>
        </is>
      </c>
      <c r="E3185" t="inlineStr">
        <is>
          <t>LINDESBERG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32038-2024</t>
        </is>
      </c>
      <c r="B3186" s="1" t="n">
        <v>45510</v>
      </c>
      <c r="C3186" s="1" t="n">
        <v>46132</v>
      </c>
      <c r="D3186" t="inlineStr">
        <is>
          <t>ÖREBRO LÄN</t>
        </is>
      </c>
      <c r="E3186" t="inlineStr">
        <is>
          <t>ASKERSUND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195-2022</t>
        </is>
      </c>
      <c r="B3187" s="1" t="n">
        <v>44564</v>
      </c>
      <c r="C3187" s="1" t="n">
        <v>46132</v>
      </c>
      <c r="D3187" t="inlineStr">
        <is>
          <t>ÖREBRO LÄN</t>
        </is>
      </c>
      <c r="E3187" t="inlineStr">
        <is>
          <t>LINDESBERG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16881-2023</t>
        </is>
      </c>
      <c r="B3188" s="1" t="n">
        <v>45033</v>
      </c>
      <c r="C3188" s="1" t="n">
        <v>46132</v>
      </c>
      <c r="D3188" t="inlineStr">
        <is>
          <t>ÖREBRO LÄN</t>
        </is>
      </c>
      <c r="E3188" t="inlineStr">
        <is>
          <t>KARLSKOGA</t>
        </is>
      </c>
      <c r="F3188" t="inlineStr">
        <is>
          <t>Kyrkan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29500-2023</t>
        </is>
      </c>
      <c r="B3189" s="1" t="n">
        <v>45106</v>
      </c>
      <c r="C3189" s="1" t="n">
        <v>46132</v>
      </c>
      <c r="D3189" t="inlineStr">
        <is>
          <t>ÖREBRO LÄN</t>
        </is>
      </c>
      <c r="E3189" t="inlineStr">
        <is>
          <t>LINDESBERG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63318-2025</t>
        </is>
      </c>
      <c r="B3190" s="1" t="n">
        <v>46010.63524305556</v>
      </c>
      <c r="C3190" s="1" t="n">
        <v>46132</v>
      </c>
      <c r="D3190" t="inlineStr">
        <is>
          <t>ÖREBRO LÄN</t>
        </is>
      </c>
      <c r="E3190" t="inlineStr">
        <is>
          <t>ASKERSUND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58197-2024</t>
        </is>
      </c>
      <c r="B3191" s="1" t="n">
        <v>45632.48092592593</v>
      </c>
      <c r="C3191" s="1" t="n">
        <v>46132</v>
      </c>
      <c r="D3191" t="inlineStr">
        <is>
          <t>ÖREBRO LÄN</t>
        </is>
      </c>
      <c r="E3191" t="inlineStr">
        <is>
          <t>DEGERFORS</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58219-2024</t>
        </is>
      </c>
      <c r="B3192" s="1" t="n">
        <v>45632</v>
      </c>
      <c r="C3192" s="1" t="n">
        <v>46132</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61736-2025</t>
        </is>
      </c>
      <c r="B3193" s="1" t="n">
        <v>46002</v>
      </c>
      <c r="C3193" s="1" t="n">
        <v>46132</v>
      </c>
      <c r="D3193" t="inlineStr">
        <is>
          <t>ÖREBRO LÄN</t>
        </is>
      </c>
      <c r="E3193" t="inlineStr">
        <is>
          <t>LINDESBERG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39140-2024</t>
        </is>
      </c>
      <c r="B3194" s="1" t="n">
        <v>45548</v>
      </c>
      <c r="C3194" s="1" t="n">
        <v>46132</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38549-2024</t>
        </is>
      </c>
      <c r="B3195" s="1" t="n">
        <v>45546.61100694445</v>
      </c>
      <c r="C3195" s="1" t="n">
        <v>46132</v>
      </c>
      <c r="D3195" t="inlineStr">
        <is>
          <t>ÖREBRO LÄN</t>
        </is>
      </c>
      <c r="E3195" t="inlineStr">
        <is>
          <t>LAXÅ</t>
        </is>
      </c>
      <c r="F3195" t="inlineStr">
        <is>
          <t>Sveaskog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39867-2024</t>
        </is>
      </c>
      <c r="B3196" s="1" t="n">
        <v>45553.46100694445</v>
      </c>
      <c r="C3196" s="1" t="n">
        <v>46132</v>
      </c>
      <c r="D3196" t="inlineStr">
        <is>
          <t>ÖREBRO LÄN</t>
        </is>
      </c>
      <c r="E3196" t="inlineStr">
        <is>
          <t>LEKEBERG</t>
        </is>
      </c>
      <c r="F3196" t="inlineStr">
        <is>
          <t>Sveaskog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61739-2025</t>
        </is>
      </c>
      <c r="B3197" s="1" t="n">
        <v>46002</v>
      </c>
      <c r="C3197" s="1" t="n">
        <v>46132</v>
      </c>
      <c r="D3197" t="inlineStr">
        <is>
          <t>ÖREBRO LÄN</t>
        </is>
      </c>
      <c r="E3197" t="inlineStr">
        <is>
          <t>LINDESBERG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63356-2025</t>
        </is>
      </c>
      <c r="B3198" s="1" t="n">
        <v>46010.67173611111</v>
      </c>
      <c r="C3198" s="1" t="n">
        <v>46132</v>
      </c>
      <c r="D3198" t="inlineStr">
        <is>
          <t>ÖREBRO LÄN</t>
        </is>
      </c>
      <c r="E3198" t="inlineStr">
        <is>
          <t>ASKERSUND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265-2023</t>
        </is>
      </c>
      <c r="B3199" s="1" t="n">
        <v>44928</v>
      </c>
      <c r="C3199" s="1" t="n">
        <v>46132</v>
      </c>
      <c r="D3199" t="inlineStr">
        <is>
          <t>ÖREBRO LÄN</t>
        </is>
      </c>
      <c r="E3199" t="inlineStr">
        <is>
          <t>LINDESBERG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41582-2021</t>
        </is>
      </c>
      <c r="B3200" s="1" t="n">
        <v>44425.40297453704</v>
      </c>
      <c r="C3200" s="1" t="n">
        <v>46132</v>
      </c>
      <c r="D3200" t="inlineStr">
        <is>
          <t>ÖREBRO LÄN</t>
        </is>
      </c>
      <c r="E3200" t="inlineStr">
        <is>
          <t>LINDESBERG</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42326-2023</t>
        </is>
      </c>
      <c r="B3201" s="1" t="n">
        <v>45180</v>
      </c>
      <c r="C3201" s="1" t="n">
        <v>46132</v>
      </c>
      <c r="D3201" t="inlineStr">
        <is>
          <t>ÖREBRO LÄN</t>
        </is>
      </c>
      <c r="E3201" t="inlineStr">
        <is>
          <t>LAXÅ</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62961-2025</t>
        </is>
      </c>
      <c r="B3202" s="1" t="n">
        <v>46009.45863425926</v>
      </c>
      <c r="C3202" s="1" t="n">
        <v>46132</v>
      </c>
      <c r="D3202" t="inlineStr">
        <is>
          <t>ÖREBRO LÄN</t>
        </is>
      </c>
      <c r="E3202" t="inlineStr">
        <is>
          <t>LEKEBERG</t>
        </is>
      </c>
      <c r="F3202" t="inlineStr">
        <is>
          <t>Allmännings- och besparingsskogar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16258-2022</t>
        </is>
      </c>
      <c r="B3203" s="1" t="n">
        <v>44670</v>
      </c>
      <c r="C3203" s="1" t="n">
        <v>46132</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19392-2025</t>
        </is>
      </c>
      <c r="B3204" s="1" t="n">
        <v>45769.66260416667</v>
      </c>
      <c r="C3204" s="1" t="n">
        <v>46132</v>
      </c>
      <c r="D3204" t="inlineStr">
        <is>
          <t>ÖREBRO LÄN</t>
        </is>
      </c>
      <c r="E3204" t="inlineStr">
        <is>
          <t>LINDESBERG</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63526-2025</t>
        </is>
      </c>
      <c r="B3205" s="1" t="n">
        <v>46013</v>
      </c>
      <c r="C3205" s="1" t="n">
        <v>46132</v>
      </c>
      <c r="D3205" t="inlineStr">
        <is>
          <t>ÖREBRO LÄN</t>
        </is>
      </c>
      <c r="E3205" t="inlineStr">
        <is>
          <t>LINDESBERG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46134-2021</t>
        </is>
      </c>
      <c r="B3206" s="1" t="n">
        <v>44441</v>
      </c>
      <c r="C3206" s="1" t="n">
        <v>46132</v>
      </c>
      <c r="D3206" t="inlineStr">
        <is>
          <t>ÖREBRO LÄN</t>
        </is>
      </c>
      <c r="E3206" t="inlineStr">
        <is>
          <t>LAXÅ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61057-2023</t>
        </is>
      </c>
      <c r="B3207" s="1" t="n">
        <v>45261.61064814815</v>
      </c>
      <c r="C3207" s="1" t="n">
        <v>46132</v>
      </c>
      <c r="D3207" t="inlineStr">
        <is>
          <t>ÖREBRO LÄN</t>
        </is>
      </c>
      <c r="E3207" t="inlineStr">
        <is>
          <t>HALLSBERG</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61058-2023</t>
        </is>
      </c>
      <c r="B3208" s="1" t="n">
        <v>45261.61119212963</v>
      </c>
      <c r="C3208" s="1" t="n">
        <v>46132</v>
      </c>
      <c r="D3208" t="inlineStr">
        <is>
          <t>ÖREBRO LÄN</t>
        </is>
      </c>
      <c r="E3208" t="inlineStr">
        <is>
          <t>HALLSBERG</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59052-2023</t>
        </is>
      </c>
      <c r="B3209" s="1" t="n">
        <v>45252.78021990741</v>
      </c>
      <c r="C3209" s="1" t="n">
        <v>46132</v>
      </c>
      <c r="D3209" t="inlineStr">
        <is>
          <t>ÖREBRO LÄN</t>
        </is>
      </c>
      <c r="E3209" t="inlineStr">
        <is>
          <t>LINDESBERG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44972-2021</t>
        </is>
      </c>
      <c r="B3210" s="1" t="n">
        <v>44438</v>
      </c>
      <c r="C3210" s="1" t="n">
        <v>46132</v>
      </c>
      <c r="D3210" t="inlineStr">
        <is>
          <t>ÖREBRO LÄN</t>
        </is>
      </c>
      <c r="E3210" t="inlineStr">
        <is>
          <t>ASKERSUND</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42518-2021</t>
        </is>
      </c>
      <c r="B3211" s="1" t="n">
        <v>44427.81496527778</v>
      </c>
      <c r="C3211" s="1" t="n">
        <v>46132</v>
      </c>
      <c r="D3211" t="inlineStr">
        <is>
          <t>ÖREBRO LÄN</t>
        </is>
      </c>
      <c r="E3211" t="inlineStr">
        <is>
          <t>ÖREBRO</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56135-2022</t>
        </is>
      </c>
      <c r="B3212" s="1" t="n">
        <v>44886</v>
      </c>
      <c r="C3212" s="1" t="n">
        <v>46132</v>
      </c>
      <c r="D3212" t="inlineStr">
        <is>
          <t>ÖREBRO LÄN</t>
        </is>
      </c>
      <c r="E3212" t="inlineStr">
        <is>
          <t>LAXÅ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14545-2023</t>
        </is>
      </c>
      <c r="B3213" s="1" t="n">
        <v>45013.34895833334</v>
      </c>
      <c r="C3213" s="1" t="n">
        <v>46132</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62667-2022</t>
        </is>
      </c>
      <c r="B3214" s="1" t="n">
        <v>44917</v>
      </c>
      <c r="C3214" s="1" t="n">
        <v>46132</v>
      </c>
      <c r="D3214" t="inlineStr">
        <is>
          <t>ÖREBRO LÄN</t>
        </is>
      </c>
      <c r="E3214" t="inlineStr">
        <is>
          <t>LJUSNARSBERG</t>
        </is>
      </c>
      <c r="F3214" t="inlineStr">
        <is>
          <t>Bergvik skog väst AB</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6-2023</t>
        </is>
      </c>
      <c r="B3215" s="1" t="n">
        <v>44927.72487268518</v>
      </c>
      <c r="C3215" s="1" t="n">
        <v>46132</v>
      </c>
      <c r="D3215" t="inlineStr">
        <is>
          <t>ÖREBRO LÄN</t>
        </is>
      </c>
      <c r="E3215" t="inlineStr">
        <is>
          <t>LINDESBERG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44788-2021</t>
        </is>
      </c>
      <c r="B3216" s="1" t="n">
        <v>44438.4766087963</v>
      </c>
      <c r="C3216" s="1" t="n">
        <v>46132</v>
      </c>
      <c r="D3216" t="inlineStr">
        <is>
          <t>ÖREBRO LÄN</t>
        </is>
      </c>
      <c r="E3216" t="inlineStr">
        <is>
          <t>LJUSNARSBERG</t>
        </is>
      </c>
      <c r="F3216" t="inlineStr">
        <is>
          <t>Bergvik skog väst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54864-2024</t>
        </is>
      </c>
      <c r="B3217" s="1" t="n">
        <v>45618.59456018519</v>
      </c>
      <c r="C3217" s="1" t="n">
        <v>46132</v>
      </c>
      <c r="D3217" t="inlineStr">
        <is>
          <t>ÖREBRO LÄN</t>
        </is>
      </c>
      <c r="E3217" t="inlineStr">
        <is>
          <t>LINDESBERG</t>
        </is>
      </c>
      <c r="F3217" t="inlineStr">
        <is>
          <t>Sveaskog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13236-2025</t>
        </is>
      </c>
      <c r="B3218" s="1" t="n">
        <v>45735.47133101852</v>
      </c>
      <c r="C3218" s="1" t="n">
        <v>46132</v>
      </c>
      <c r="D3218" t="inlineStr">
        <is>
          <t>ÖREBRO LÄN</t>
        </is>
      </c>
      <c r="E3218" t="inlineStr">
        <is>
          <t>DEGERFORS</t>
        </is>
      </c>
      <c r="F3218" t="inlineStr">
        <is>
          <t>Sveaskog</t>
        </is>
      </c>
      <c r="G3218" t="n">
        <v>18.5</v>
      </c>
      <c r="H3218" t="n">
        <v>0</v>
      </c>
      <c r="I3218" t="n">
        <v>0</v>
      </c>
      <c r="J3218" t="n">
        <v>0</v>
      </c>
      <c r="K3218" t="n">
        <v>0</v>
      </c>
      <c r="L3218" t="n">
        <v>0</v>
      </c>
      <c r="M3218" t="n">
        <v>0</v>
      </c>
      <c r="N3218" t="n">
        <v>0</v>
      </c>
      <c r="O3218" t="n">
        <v>0</v>
      </c>
      <c r="P3218" t="n">
        <v>0</v>
      </c>
      <c r="Q3218" t="n">
        <v>0</v>
      </c>
      <c r="R3218" s="2" t="inlineStr"/>
    </row>
    <row r="3219" ht="15" customHeight="1">
      <c r="A3219" t="inlineStr">
        <is>
          <t>A 64066-2025</t>
        </is>
      </c>
      <c r="B3219" s="1" t="n">
        <v>46013</v>
      </c>
      <c r="C3219" s="1" t="n">
        <v>46132</v>
      </c>
      <c r="D3219" t="inlineStr">
        <is>
          <t>ÖREBRO LÄN</t>
        </is>
      </c>
      <c r="E3219" t="inlineStr">
        <is>
          <t>KARLSKOGA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25098-2023</t>
        </is>
      </c>
      <c r="B3220" s="1" t="n">
        <v>45086.3722337963</v>
      </c>
      <c r="C3220" s="1" t="n">
        <v>46132</v>
      </c>
      <c r="D3220" t="inlineStr">
        <is>
          <t>ÖREBRO LÄN</t>
        </is>
      </c>
      <c r="E3220" t="inlineStr">
        <is>
          <t>LJUSNARSBERG</t>
        </is>
      </c>
      <c r="F3220" t="inlineStr">
        <is>
          <t>Bergvik skog väst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63657-2025</t>
        </is>
      </c>
      <c r="B3221" s="1" t="n">
        <v>46014.44479166667</v>
      </c>
      <c r="C3221" s="1" t="n">
        <v>46132</v>
      </c>
      <c r="D3221" t="inlineStr">
        <is>
          <t>ÖREBRO LÄN</t>
        </is>
      </c>
      <c r="E3221" t="inlineStr">
        <is>
          <t>ÖREBRO</t>
        </is>
      </c>
      <c r="F3221" t="inlineStr">
        <is>
          <t>Allmännings- och besparingsskogar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63411-2025</t>
        </is>
      </c>
      <c r="B3222" s="1" t="n">
        <v>46013.30025462963</v>
      </c>
      <c r="C3222" s="1" t="n">
        <v>46132</v>
      </c>
      <c r="D3222" t="inlineStr">
        <is>
          <t>ÖREBRO LÄN</t>
        </is>
      </c>
      <c r="E3222" t="inlineStr">
        <is>
          <t>LJUSNARSBERG</t>
        </is>
      </c>
      <c r="F3222" t="inlineStr">
        <is>
          <t>Bergvik skog väst AB</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34478-2022</t>
        </is>
      </c>
      <c r="B3223" s="1" t="n">
        <v>44792.64494212963</v>
      </c>
      <c r="C3223" s="1" t="n">
        <v>46132</v>
      </c>
      <c r="D3223" t="inlineStr">
        <is>
          <t>ÖREBRO LÄN</t>
        </is>
      </c>
      <c r="E3223" t="inlineStr">
        <is>
          <t>HÄLLEFORS</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63546-2025</t>
        </is>
      </c>
      <c r="B3224" s="1" t="n">
        <v>46013.59997685185</v>
      </c>
      <c r="C3224" s="1" t="n">
        <v>46132</v>
      </c>
      <c r="D3224" t="inlineStr">
        <is>
          <t>ÖREBRO LÄN</t>
        </is>
      </c>
      <c r="E3224" t="inlineStr">
        <is>
          <t>ASKERSUND</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27112-2023</t>
        </is>
      </c>
      <c r="B3225" s="1" t="n">
        <v>45096</v>
      </c>
      <c r="C3225" s="1" t="n">
        <v>46132</v>
      </c>
      <c r="D3225" t="inlineStr">
        <is>
          <t>ÖREBRO LÄN</t>
        </is>
      </c>
      <c r="E3225" t="inlineStr">
        <is>
          <t>ÖREBRO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14524-2025</t>
        </is>
      </c>
      <c r="B3226" s="1" t="n">
        <v>45741.64815972222</v>
      </c>
      <c r="C3226" s="1" t="n">
        <v>46132</v>
      </c>
      <c r="D3226" t="inlineStr">
        <is>
          <t>ÖREBRO LÄN</t>
        </is>
      </c>
      <c r="E3226" t="inlineStr">
        <is>
          <t>ÖREBRO</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63628-2025</t>
        </is>
      </c>
      <c r="B3227" s="1" t="n">
        <v>46014.36813657408</v>
      </c>
      <c r="C3227" s="1" t="n">
        <v>46132</v>
      </c>
      <c r="D3227" t="inlineStr">
        <is>
          <t>ÖREBRO LÄN</t>
        </is>
      </c>
      <c r="E3227" t="inlineStr">
        <is>
          <t>KARLSKOGA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61396-2023</t>
        </is>
      </c>
      <c r="B3228" s="1" t="n">
        <v>45264.64989583333</v>
      </c>
      <c r="C3228" s="1" t="n">
        <v>46132</v>
      </c>
      <c r="D3228" t="inlineStr">
        <is>
          <t>ÖREBRO LÄN</t>
        </is>
      </c>
      <c r="E3228" t="inlineStr">
        <is>
          <t>KARLSKOGA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63614-2025</t>
        </is>
      </c>
      <c r="B3229" s="1" t="n">
        <v>46014.34587962963</v>
      </c>
      <c r="C3229" s="1" t="n">
        <v>46132</v>
      </c>
      <c r="D3229" t="inlineStr">
        <is>
          <t>ÖREBRO LÄN</t>
        </is>
      </c>
      <c r="E3229" t="inlineStr">
        <is>
          <t>HÄLLEFORS</t>
        </is>
      </c>
      <c r="F3229" t="inlineStr">
        <is>
          <t>Bergvik skog väst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38908-2021</t>
        </is>
      </c>
      <c r="B3230" s="1" t="n">
        <v>44411</v>
      </c>
      <c r="C3230" s="1" t="n">
        <v>46132</v>
      </c>
      <c r="D3230" t="inlineStr">
        <is>
          <t>ÖREBRO LÄN</t>
        </is>
      </c>
      <c r="E3230" t="inlineStr">
        <is>
          <t>HÄLLEFORS</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63666-2025</t>
        </is>
      </c>
      <c r="B3231" s="1" t="n">
        <v>46014.45650462963</v>
      </c>
      <c r="C3231" s="1" t="n">
        <v>46132</v>
      </c>
      <c r="D3231" t="inlineStr">
        <is>
          <t>ÖREBRO LÄN</t>
        </is>
      </c>
      <c r="E3231" t="inlineStr">
        <is>
          <t>ÖREBRO</t>
        </is>
      </c>
      <c r="F3231" t="inlineStr">
        <is>
          <t>Allmännings- och besparingsskogar</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52751-2021</t>
        </is>
      </c>
      <c r="B3232" s="1" t="n">
        <v>44467.32645833334</v>
      </c>
      <c r="C3232" s="1" t="n">
        <v>46132</v>
      </c>
      <c r="D3232" t="inlineStr">
        <is>
          <t>ÖREBRO LÄN</t>
        </is>
      </c>
      <c r="E3232" t="inlineStr">
        <is>
          <t>LAXÅ</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40425-2024</t>
        </is>
      </c>
      <c r="B3233" s="1" t="n">
        <v>45555.46884259259</v>
      </c>
      <c r="C3233" s="1" t="n">
        <v>46132</v>
      </c>
      <c r="D3233" t="inlineStr">
        <is>
          <t>ÖREBRO LÄN</t>
        </is>
      </c>
      <c r="E3233" t="inlineStr">
        <is>
          <t>LAXÅ</t>
        </is>
      </c>
      <c r="F3233" t="inlineStr">
        <is>
          <t>Sveaskog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63662-2025</t>
        </is>
      </c>
      <c r="B3234" s="1" t="n">
        <v>46014.45055555556</v>
      </c>
      <c r="C3234" s="1" t="n">
        <v>46132</v>
      </c>
      <c r="D3234" t="inlineStr">
        <is>
          <t>ÖREBRO LÄN</t>
        </is>
      </c>
      <c r="E3234" t="inlineStr">
        <is>
          <t>ÖREBRO</t>
        </is>
      </c>
      <c r="F3234" t="inlineStr">
        <is>
          <t>Allmännings- och besparingsskogar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46834-2022</t>
        </is>
      </c>
      <c r="B3235" s="1" t="n">
        <v>44851</v>
      </c>
      <c r="C3235" s="1" t="n">
        <v>46132</v>
      </c>
      <c r="D3235" t="inlineStr">
        <is>
          <t>ÖREBRO LÄN</t>
        </is>
      </c>
      <c r="E3235" t="inlineStr">
        <is>
          <t>ÖREBRO</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48869-2022</t>
        </is>
      </c>
      <c r="B3236" s="1" t="n">
        <v>44859.72824074074</v>
      </c>
      <c r="C3236" s="1" t="n">
        <v>46132</v>
      </c>
      <c r="D3236" t="inlineStr">
        <is>
          <t>ÖREBRO LÄN</t>
        </is>
      </c>
      <c r="E3236" t="inlineStr">
        <is>
          <t>ASKERSUND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1478-2023</t>
        </is>
      </c>
      <c r="B3237" s="1" t="n">
        <v>44937</v>
      </c>
      <c r="C3237" s="1" t="n">
        <v>46132</v>
      </c>
      <c r="D3237" t="inlineStr">
        <is>
          <t>ÖREBRO LÄN</t>
        </is>
      </c>
      <c r="E3237" t="inlineStr">
        <is>
          <t>KUMLA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16085-2024</t>
        </is>
      </c>
      <c r="B3238" s="1" t="n">
        <v>45406.37230324074</v>
      </c>
      <c r="C3238" s="1" t="n">
        <v>46132</v>
      </c>
      <c r="D3238" t="inlineStr">
        <is>
          <t>ÖREBRO LÄN</t>
        </is>
      </c>
      <c r="E3238" t="inlineStr">
        <is>
          <t>NORA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15213-2024</t>
        </is>
      </c>
      <c r="B3239" s="1" t="n">
        <v>45400.45157407408</v>
      </c>
      <c r="C3239" s="1" t="n">
        <v>46132</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57638-2022</t>
        </is>
      </c>
      <c r="B3240" s="1" t="n">
        <v>44897</v>
      </c>
      <c r="C3240" s="1" t="n">
        <v>46132</v>
      </c>
      <c r="D3240" t="inlineStr">
        <is>
          <t>ÖREBRO LÄN</t>
        </is>
      </c>
      <c r="E3240" t="inlineStr">
        <is>
          <t>ÖREBRO</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69230-2021</t>
        </is>
      </c>
      <c r="B3241" s="1" t="n">
        <v>44531</v>
      </c>
      <c r="C3241" s="1" t="n">
        <v>46132</v>
      </c>
      <c r="D3241" t="inlineStr">
        <is>
          <t>ÖREBRO LÄN</t>
        </is>
      </c>
      <c r="E3241" t="inlineStr">
        <is>
          <t>HALLSBERG</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14205-2025</t>
        </is>
      </c>
      <c r="B3242" s="1" t="n">
        <v>45740.57543981481</v>
      </c>
      <c r="C3242" s="1" t="n">
        <v>46132</v>
      </c>
      <c r="D3242" t="inlineStr">
        <is>
          <t>ÖREBRO LÄN</t>
        </is>
      </c>
      <c r="E3242" t="inlineStr">
        <is>
          <t>LAXÅ</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59176-2021</t>
        </is>
      </c>
      <c r="B3243" s="1" t="n">
        <v>44490</v>
      </c>
      <c r="C3243" s="1" t="n">
        <v>46132</v>
      </c>
      <c r="D3243" t="inlineStr">
        <is>
          <t>ÖREBRO LÄN</t>
        </is>
      </c>
      <c r="E3243" t="inlineStr">
        <is>
          <t>HALLSBERG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2152-2023</t>
        </is>
      </c>
      <c r="B3244" s="1" t="n">
        <v>44941.55056712963</v>
      </c>
      <c r="C3244" s="1" t="n">
        <v>46132</v>
      </c>
      <c r="D3244" t="inlineStr">
        <is>
          <t>ÖREBRO LÄN</t>
        </is>
      </c>
      <c r="E3244" t="inlineStr">
        <is>
          <t>ÖREBRO</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14176-2025</t>
        </is>
      </c>
      <c r="B3245" s="1" t="n">
        <v>45740.52974537037</v>
      </c>
      <c r="C3245" s="1" t="n">
        <v>46132</v>
      </c>
      <c r="D3245" t="inlineStr">
        <is>
          <t>ÖREBRO LÄN</t>
        </is>
      </c>
      <c r="E3245" t="inlineStr">
        <is>
          <t>LEKEBERG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7211-2024</t>
        </is>
      </c>
      <c r="B3246" s="1" t="n">
        <v>45344.623125</v>
      </c>
      <c r="C3246" s="1" t="n">
        <v>46132</v>
      </c>
      <c r="D3246" t="inlineStr">
        <is>
          <t>ÖREBRO LÄN</t>
        </is>
      </c>
      <c r="E3246" t="inlineStr">
        <is>
          <t>LINDESBERG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63825-2023</t>
        </is>
      </c>
      <c r="B3247" s="1" t="n">
        <v>45278</v>
      </c>
      <c r="C3247" s="1" t="n">
        <v>46132</v>
      </c>
      <c r="D3247" t="inlineStr">
        <is>
          <t>ÖREBRO LÄN</t>
        </is>
      </c>
      <c r="E3247" t="inlineStr">
        <is>
          <t>NORA</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6305-2024</t>
        </is>
      </c>
      <c r="B3248" s="1" t="n">
        <v>45338.35387731482</v>
      </c>
      <c r="C3248" s="1" t="n">
        <v>46132</v>
      </c>
      <c r="D3248" t="inlineStr">
        <is>
          <t>ÖREBRO LÄN</t>
        </is>
      </c>
      <c r="E3248" t="inlineStr">
        <is>
          <t>LAXÅ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6315-2024</t>
        </is>
      </c>
      <c r="B3249" s="1" t="n">
        <v>45338.38407407407</v>
      </c>
      <c r="C3249" s="1" t="n">
        <v>46132</v>
      </c>
      <c r="D3249" t="inlineStr">
        <is>
          <t>ÖREBRO LÄN</t>
        </is>
      </c>
      <c r="E3249" t="inlineStr">
        <is>
          <t>KUMLA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64018-2025</t>
        </is>
      </c>
      <c r="B3250" s="1" t="n">
        <v>46021.4546412037</v>
      </c>
      <c r="C3250" s="1" t="n">
        <v>46132</v>
      </c>
      <c r="D3250" t="inlineStr">
        <is>
          <t>ÖREBRO LÄN</t>
        </is>
      </c>
      <c r="E3250" t="inlineStr">
        <is>
          <t>ÖREBRO</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55745-2023</t>
        </is>
      </c>
      <c r="B3251" s="1" t="n">
        <v>45239.44811342593</v>
      </c>
      <c r="C3251" s="1" t="n">
        <v>46132</v>
      </c>
      <c r="D3251" t="inlineStr">
        <is>
          <t>ÖREBRO LÄN</t>
        </is>
      </c>
      <c r="E3251" t="inlineStr">
        <is>
          <t>ÖREBRO</t>
        </is>
      </c>
      <c r="G3251" t="n">
        <v>13.3</v>
      </c>
      <c r="H3251" t="n">
        <v>0</v>
      </c>
      <c r="I3251" t="n">
        <v>0</v>
      </c>
      <c r="J3251" t="n">
        <v>0</v>
      </c>
      <c r="K3251" t="n">
        <v>0</v>
      </c>
      <c r="L3251" t="n">
        <v>0</v>
      </c>
      <c r="M3251" t="n">
        <v>0</v>
      </c>
      <c r="N3251" t="n">
        <v>0</v>
      </c>
      <c r="O3251" t="n">
        <v>0</v>
      </c>
      <c r="P3251" t="n">
        <v>0</v>
      </c>
      <c r="Q3251" t="n">
        <v>0</v>
      </c>
      <c r="R3251" s="2" t="inlineStr"/>
    </row>
    <row r="3252" ht="15" customHeight="1">
      <c r="A3252" t="inlineStr">
        <is>
          <t>A 41410-2021</t>
        </is>
      </c>
      <c r="B3252" s="1" t="n">
        <v>44424</v>
      </c>
      <c r="C3252" s="1" t="n">
        <v>46132</v>
      </c>
      <c r="D3252" t="inlineStr">
        <is>
          <t>ÖREBRO LÄN</t>
        </is>
      </c>
      <c r="E3252" t="inlineStr">
        <is>
          <t>HALLSBERG</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51088-2022</t>
        </is>
      </c>
      <c r="B3253" s="1" t="n">
        <v>44868.3935300926</v>
      </c>
      <c r="C3253" s="1" t="n">
        <v>46132</v>
      </c>
      <c r="D3253" t="inlineStr">
        <is>
          <t>ÖREBRO LÄN</t>
        </is>
      </c>
      <c r="E3253" t="inlineStr">
        <is>
          <t>HÄLLEFORS</t>
        </is>
      </c>
      <c r="F3253" t="inlineStr">
        <is>
          <t>Bergvik skog väst AB</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64019-2025</t>
        </is>
      </c>
      <c r="B3254" s="1" t="n">
        <v>46021.45914351852</v>
      </c>
      <c r="C3254" s="1" t="n">
        <v>46132</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26278-2021</t>
        </is>
      </c>
      <c r="B3255" s="1" t="n">
        <v>44347</v>
      </c>
      <c r="C3255" s="1" t="n">
        <v>46132</v>
      </c>
      <c r="D3255" t="inlineStr">
        <is>
          <t>ÖREBRO LÄN</t>
        </is>
      </c>
      <c r="E3255" t="inlineStr">
        <is>
          <t>NORA</t>
        </is>
      </c>
      <c r="F3255" t="inlineStr">
        <is>
          <t>Naturvårdsverket</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9906-2024</t>
        </is>
      </c>
      <c r="B3256" s="1" t="n">
        <v>45363.53322916666</v>
      </c>
      <c r="C3256" s="1" t="n">
        <v>46132</v>
      </c>
      <c r="D3256" t="inlineStr">
        <is>
          <t>ÖREBRO LÄN</t>
        </is>
      </c>
      <c r="E3256" t="inlineStr">
        <is>
          <t>HÄLLEFORS</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64013-2025</t>
        </is>
      </c>
      <c r="B3257" s="1" t="n">
        <v>46021.43664351852</v>
      </c>
      <c r="C3257" s="1" t="n">
        <v>46132</v>
      </c>
      <c r="D3257" t="inlineStr">
        <is>
          <t>ÖREBRO LÄN</t>
        </is>
      </c>
      <c r="E3257" t="inlineStr">
        <is>
          <t>ASKERSUND</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36420-2024</t>
        </is>
      </c>
      <c r="B3258" s="1" t="n">
        <v>45536.64768518518</v>
      </c>
      <c r="C3258" s="1" t="n">
        <v>46132</v>
      </c>
      <c r="D3258" t="inlineStr">
        <is>
          <t>ÖREBRO LÄN</t>
        </is>
      </c>
      <c r="E3258" t="inlineStr">
        <is>
          <t>LAXÅ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44905-2021</t>
        </is>
      </c>
      <c r="B3259" s="1" t="n">
        <v>44438.65045138889</v>
      </c>
      <c r="C3259" s="1" t="n">
        <v>46132</v>
      </c>
      <c r="D3259" t="inlineStr">
        <is>
          <t>ÖREBRO LÄN</t>
        </is>
      </c>
      <c r="E3259" t="inlineStr">
        <is>
          <t>HÄLLEFORS</t>
        </is>
      </c>
      <c r="F3259" t="inlineStr">
        <is>
          <t>Sveaskog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33252-2024</t>
        </is>
      </c>
      <c r="B3260" s="1" t="n">
        <v>45518.64752314815</v>
      </c>
      <c r="C3260" s="1" t="n">
        <v>46132</v>
      </c>
      <c r="D3260" t="inlineStr">
        <is>
          <t>ÖREBRO LÄN</t>
        </is>
      </c>
      <c r="E3260" t="inlineStr">
        <is>
          <t>HALLSBERG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15899-2025</t>
        </is>
      </c>
      <c r="B3261" s="1" t="n">
        <v>45749.42258101852</v>
      </c>
      <c r="C3261" s="1" t="n">
        <v>46132</v>
      </c>
      <c r="D3261" t="inlineStr">
        <is>
          <t>ÖREBRO LÄN</t>
        </is>
      </c>
      <c r="E3261" t="inlineStr">
        <is>
          <t>LINDESBERG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50265-2024</t>
        </is>
      </c>
      <c r="B3262" s="1" t="n">
        <v>45600</v>
      </c>
      <c r="C3262" s="1" t="n">
        <v>46132</v>
      </c>
      <c r="D3262" t="inlineStr">
        <is>
          <t>ÖREBRO LÄN</t>
        </is>
      </c>
      <c r="E3262" t="inlineStr">
        <is>
          <t>LAXÅ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50275-2024</t>
        </is>
      </c>
      <c r="B3263" s="1" t="n">
        <v>45600.60071759259</v>
      </c>
      <c r="C3263" s="1" t="n">
        <v>46132</v>
      </c>
      <c r="D3263" t="inlineStr">
        <is>
          <t>ÖREBRO LÄN</t>
        </is>
      </c>
      <c r="E3263" t="inlineStr">
        <is>
          <t>LINDESBERG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601-2026</t>
        </is>
      </c>
      <c r="B3264" s="1" t="n">
        <v>46023</v>
      </c>
      <c r="C3264" s="1" t="n">
        <v>46132</v>
      </c>
      <c r="D3264" t="inlineStr">
        <is>
          <t>ÖREBRO LÄN</t>
        </is>
      </c>
      <c r="E3264" t="inlineStr">
        <is>
          <t>KUMLA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32-2026</t>
        </is>
      </c>
      <c r="B3265" s="1" t="n">
        <v>46024.36721064815</v>
      </c>
      <c r="C3265" s="1" t="n">
        <v>46132</v>
      </c>
      <c r="D3265" t="inlineStr">
        <is>
          <t>ÖREBRO LÄN</t>
        </is>
      </c>
      <c r="E3265" t="inlineStr">
        <is>
          <t>HÄLLEFORS</t>
        </is>
      </c>
      <c r="F3265" t="inlineStr">
        <is>
          <t>Bergvik skog väst AB</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623-2023</t>
        </is>
      </c>
      <c r="B3266" s="1" t="n">
        <v>44930</v>
      </c>
      <c r="C3266" s="1" t="n">
        <v>46132</v>
      </c>
      <c r="D3266" t="inlineStr">
        <is>
          <t>ÖREBRO LÄN</t>
        </is>
      </c>
      <c r="E3266" t="inlineStr">
        <is>
          <t>HÄLLEFORS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7992-2025</t>
        </is>
      </c>
      <c r="B3267" s="1" t="n">
        <v>45707</v>
      </c>
      <c r="C3267" s="1" t="n">
        <v>46132</v>
      </c>
      <c r="D3267" t="inlineStr">
        <is>
          <t>ÖREBRO LÄN</t>
        </is>
      </c>
      <c r="E3267" t="inlineStr">
        <is>
          <t>LINDESBERG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71285-2021</t>
        </is>
      </c>
      <c r="B3268" s="1" t="n">
        <v>44539.62236111111</v>
      </c>
      <c r="C3268" s="1" t="n">
        <v>46132</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17764-2023</t>
        </is>
      </c>
      <c r="B3269" s="1" t="n">
        <v>45037.50085648148</v>
      </c>
      <c r="C3269" s="1" t="n">
        <v>46132</v>
      </c>
      <c r="D3269" t="inlineStr">
        <is>
          <t>ÖREBRO LÄN</t>
        </is>
      </c>
      <c r="E3269" t="inlineStr">
        <is>
          <t>HÄLLEFORS</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59-2026</t>
        </is>
      </c>
      <c r="B3270" s="1" t="n">
        <v>46024</v>
      </c>
      <c r="C3270" s="1" t="n">
        <v>46132</v>
      </c>
      <c r="D3270" t="inlineStr">
        <is>
          <t>ÖREBRO LÄN</t>
        </is>
      </c>
      <c r="E3270" t="inlineStr">
        <is>
          <t>HALLSBERG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41524-2024</t>
        </is>
      </c>
      <c r="B3271" s="1" t="n">
        <v>45560.48070601852</v>
      </c>
      <c r="C3271" s="1" t="n">
        <v>46132</v>
      </c>
      <c r="D3271" t="inlineStr">
        <is>
          <t>ÖREBRO LÄN</t>
        </is>
      </c>
      <c r="E3271" t="inlineStr">
        <is>
          <t>LAXÅ</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17333-2025</t>
        </is>
      </c>
      <c r="B3272" s="1" t="n">
        <v>45756</v>
      </c>
      <c r="C3272" s="1" t="n">
        <v>46132</v>
      </c>
      <c r="D3272" t="inlineStr">
        <is>
          <t>ÖREBRO LÄN</t>
        </is>
      </c>
      <c r="E3272" t="inlineStr">
        <is>
          <t>HÄLLEFORS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4164-2022</t>
        </is>
      </c>
      <c r="B3273" s="1" t="n">
        <v>44588</v>
      </c>
      <c r="C3273" s="1" t="n">
        <v>46132</v>
      </c>
      <c r="D3273" t="inlineStr">
        <is>
          <t>ÖREBRO LÄN</t>
        </is>
      </c>
      <c r="E3273" t="inlineStr">
        <is>
          <t>KARLSKOGA</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381-2026</t>
        </is>
      </c>
      <c r="B3274" s="1" t="n">
        <v>46027.74706018518</v>
      </c>
      <c r="C3274" s="1" t="n">
        <v>46132</v>
      </c>
      <c r="D3274" t="inlineStr">
        <is>
          <t>ÖREBRO LÄN</t>
        </is>
      </c>
      <c r="E3274" t="inlineStr">
        <is>
          <t>ASKERSUND</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17661-2025</t>
        </is>
      </c>
      <c r="B3275" s="1" t="n">
        <v>45758.35846064815</v>
      </c>
      <c r="C3275" s="1" t="n">
        <v>46132</v>
      </c>
      <c r="D3275" t="inlineStr">
        <is>
          <t>ÖREBRO LÄN</t>
        </is>
      </c>
      <c r="E3275" t="inlineStr">
        <is>
          <t>HÄLLEFORS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61271-2022</t>
        </is>
      </c>
      <c r="B3276" s="1" t="n">
        <v>44909</v>
      </c>
      <c r="C3276" s="1" t="n">
        <v>46132</v>
      </c>
      <c r="D3276" t="inlineStr">
        <is>
          <t>ÖREBRO LÄN</t>
        </is>
      </c>
      <c r="E3276" t="inlineStr">
        <is>
          <t>KARLSKOGA</t>
        </is>
      </c>
      <c r="F3276" t="inlineStr">
        <is>
          <t>Övriga Aktiebolag</t>
        </is>
      </c>
      <c r="G3276" t="n">
        <v>14.1</v>
      </c>
      <c r="H3276" t="n">
        <v>0</v>
      </c>
      <c r="I3276" t="n">
        <v>0</v>
      </c>
      <c r="J3276" t="n">
        <v>0</v>
      </c>
      <c r="K3276" t="n">
        <v>0</v>
      </c>
      <c r="L3276" t="n">
        <v>0</v>
      </c>
      <c r="M3276" t="n">
        <v>0</v>
      </c>
      <c r="N3276" t="n">
        <v>0</v>
      </c>
      <c r="O3276" t="n">
        <v>0</v>
      </c>
      <c r="P3276" t="n">
        <v>0</v>
      </c>
      <c r="Q3276" t="n">
        <v>0</v>
      </c>
      <c r="R3276" s="2" t="inlineStr"/>
    </row>
    <row r="3277" ht="15" customHeight="1">
      <c r="A3277" t="inlineStr">
        <is>
          <t>A 31747-2022</t>
        </is>
      </c>
      <c r="B3277" s="1" t="n">
        <v>44776</v>
      </c>
      <c r="C3277" s="1" t="n">
        <v>46132</v>
      </c>
      <c r="D3277" t="inlineStr">
        <is>
          <t>ÖREBRO LÄN</t>
        </is>
      </c>
      <c r="E3277" t="inlineStr">
        <is>
          <t>HALLSBERG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382-2026</t>
        </is>
      </c>
      <c r="B3278" s="1" t="n">
        <v>46027.74896990741</v>
      </c>
      <c r="C3278" s="1" t="n">
        <v>46132</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3294-2024</t>
        </is>
      </c>
      <c r="B3279" s="1" t="n">
        <v>45316</v>
      </c>
      <c r="C3279" s="1" t="n">
        <v>46132</v>
      </c>
      <c r="D3279" t="inlineStr">
        <is>
          <t>ÖREBRO LÄN</t>
        </is>
      </c>
      <c r="E3279" t="inlineStr">
        <is>
          <t>LINDESBERG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71766-2021</t>
        </is>
      </c>
      <c r="B3280" s="1" t="n">
        <v>44543</v>
      </c>
      <c r="C3280" s="1" t="n">
        <v>46132</v>
      </c>
      <c r="D3280" t="inlineStr">
        <is>
          <t>ÖREBRO LÄN</t>
        </is>
      </c>
      <c r="E3280" t="inlineStr">
        <is>
          <t>HÄLLEFORS</t>
        </is>
      </c>
      <c r="F3280" t="inlineStr">
        <is>
          <t>Bergvik skog väst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770-2026</t>
        </is>
      </c>
      <c r="B3281" s="1" t="n">
        <v>46027</v>
      </c>
      <c r="C3281" s="1" t="n">
        <v>46132</v>
      </c>
      <c r="D3281" t="inlineStr">
        <is>
          <t>ÖREBRO LÄN</t>
        </is>
      </c>
      <c r="E3281" t="inlineStr">
        <is>
          <t>DEGERFORS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40710-2021</t>
        </is>
      </c>
      <c r="B3282" s="1" t="n">
        <v>44420</v>
      </c>
      <c r="C3282" s="1" t="n">
        <v>46132</v>
      </c>
      <c r="D3282" t="inlineStr">
        <is>
          <t>ÖREBRO LÄN</t>
        </is>
      </c>
      <c r="E3282" t="inlineStr">
        <is>
          <t>NORA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23037-2024</t>
        </is>
      </c>
      <c r="B3283" s="1" t="n">
        <v>45450.3955787037</v>
      </c>
      <c r="C3283" s="1" t="n">
        <v>46132</v>
      </c>
      <c r="D3283" t="inlineStr">
        <is>
          <t>ÖREBRO LÄN</t>
        </is>
      </c>
      <c r="E3283" t="inlineStr">
        <is>
          <t>HÄLLEFORS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41947-2023</t>
        </is>
      </c>
      <c r="B3284" s="1" t="n">
        <v>45177.31795138889</v>
      </c>
      <c r="C3284" s="1" t="n">
        <v>46132</v>
      </c>
      <c r="D3284" t="inlineStr">
        <is>
          <t>ÖREBRO LÄN</t>
        </is>
      </c>
      <c r="E3284" t="inlineStr">
        <is>
          <t>LINDESBERG</t>
        </is>
      </c>
      <c r="F3284" t="inlineStr">
        <is>
          <t>Kyrkan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16447-2025</t>
        </is>
      </c>
      <c r="B3285" s="1" t="n">
        <v>45751.50498842593</v>
      </c>
      <c r="C3285" s="1" t="n">
        <v>46132</v>
      </c>
      <c r="D3285" t="inlineStr">
        <is>
          <t>ÖREBRO LÄN</t>
        </is>
      </c>
      <c r="E3285" t="inlineStr">
        <is>
          <t>LINDESBERG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29975-2023</t>
        </is>
      </c>
      <c r="B3286" s="1" t="n">
        <v>45108.7553587963</v>
      </c>
      <c r="C3286" s="1" t="n">
        <v>46132</v>
      </c>
      <c r="D3286" t="inlineStr">
        <is>
          <t>ÖREBRO LÄN</t>
        </is>
      </c>
      <c r="E3286" t="inlineStr">
        <is>
          <t>LINDESBERG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16448-2025</t>
        </is>
      </c>
      <c r="B3287" s="1" t="n">
        <v>45751.5056712963</v>
      </c>
      <c r="C3287" s="1" t="n">
        <v>46132</v>
      </c>
      <c r="D3287" t="inlineStr">
        <is>
          <t>ÖREBRO LÄN</t>
        </is>
      </c>
      <c r="E3287" t="inlineStr">
        <is>
          <t>LINDESBERG</t>
        </is>
      </c>
      <c r="G3287" t="n">
        <v>20.1</v>
      </c>
      <c r="H3287" t="n">
        <v>0</v>
      </c>
      <c r="I3287" t="n">
        <v>0</v>
      </c>
      <c r="J3287" t="n">
        <v>0</v>
      </c>
      <c r="K3287" t="n">
        <v>0</v>
      </c>
      <c r="L3287" t="n">
        <v>0</v>
      </c>
      <c r="M3287" t="n">
        <v>0</v>
      </c>
      <c r="N3287" t="n">
        <v>0</v>
      </c>
      <c r="O3287" t="n">
        <v>0</v>
      </c>
      <c r="P3287" t="n">
        <v>0</v>
      </c>
      <c r="Q3287" t="n">
        <v>0</v>
      </c>
      <c r="R3287" s="2" t="inlineStr"/>
    </row>
    <row r="3288" ht="15" customHeight="1">
      <c r="A3288" t="inlineStr">
        <is>
          <t>A 7126-2025</t>
        </is>
      </c>
      <c r="B3288" s="1" t="n">
        <v>45702</v>
      </c>
      <c r="C3288" s="1" t="n">
        <v>46132</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29018-2023</t>
        </is>
      </c>
      <c r="B3289" s="1" t="n">
        <v>45104</v>
      </c>
      <c r="C3289" s="1" t="n">
        <v>46132</v>
      </c>
      <c r="D3289" t="inlineStr">
        <is>
          <t>ÖREBRO LÄN</t>
        </is>
      </c>
      <c r="E3289" t="inlineStr">
        <is>
          <t>NORA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13902-2024</t>
        </is>
      </c>
      <c r="B3290" s="1" t="n">
        <v>45391.67054398148</v>
      </c>
      <c r="C3290" s="1" t="n">
        <v>46132</v>
      </c>
      <c r="D3290" t="inlineStr">
        <is>
          <t>ÖREBRO LÄN</t>
        </is>
      </c>
      <c r="E3290" t="inlineStr">
        <is>
          <t>ASKERSUND</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14500-2024</t>
        </is>
      </c>
      <c r="B3291" s="1" t="n">
        <v>45394.59287037037</v>
      </c>
      <c r="C3291" s="1" t="n">
        <v>46132</v>
      </c>
      <c r="D3291" t="inlineStr">
        <is>
          <t>ÖREBRO LÄN</t>
        </is>
      </c>
      <c r="E3291" t="inlineStr">
        <is>
          <t>LJUSNARSBERG</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60289-2023</t>
        </is>
      </c>
      <c r="B3292" s="1" t="n">
        <v>45257</v>
      </c>
      <c r="C3292" s="1" t="n">
        <v>46132</v>
      </c>
      <c r="D3292" t="inlineStr">
        <is>
          <t>ÖREBRO LÄN</t>
        </is>
      </c>
      <c r="E3292" t="inlineStr">
        <is>
          <t>ÖREBRO</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60301-2023</t>
        </is>
      </c>
      <c r="B3293" s="1" t="n">
        <v>45258</v>
      </c>
      <c r="C3293" s="1" t="n">
        <v>46132</v>
      </c>
      <c r="D3293" t="inlineStr">
        <is>
          <t>ÖREBRO LÄN</t>
        </is>
      </c>
      <c r="E3293" t="inlineStr">
        <is>
          <t>NORA</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1127-2026</t>
        </is>
      </c>
      <c r="B3294" s="1" t="n">
        <v>46030.71740740741</v>
      </c>
      <c r="C3294" s="1" t="n">
        <v>46132</v>
      </c>
      <c r="D3294" t="inlineStr">
        <is>
          <t>ÖREBRO LÄN</t>
        </is>
      </c>
      <c r="E3294" t="inlineStr">
        <is>
          <t>ASKERSUND</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11084-2023</t>
        </is>
      </c>
      <c r="B3295" s="1" t="n">
        <v>44986</v>
      </c>
      <c r="C3295" s="1" t="n">
        <v>46132</v>
      </c>
      <c r="D3295" t="inlineStr">
        <is>
          <t>ÖREBRO LÄN</t>
        </is>
      </c>
      <c r="E3295" t="inlineStr">
        <is>
          <t>DEGERFORS</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12099-2023</t>
        </is>
      </c>
      <c r="B3296" s="1" t="n">
        <v>44998.37043981482</v>
      </c>
      <c r="C3296" s="1" t="n">
        <v>46132</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620-2026</t>
        </is>
      </c>
      <c r="B3297" s="1" t="n">
        <v>46029.54340277778</v>
      </c>
      <c r="C3297" s="1" t="n">
        <v>46132</v>
      </c>
      <c r="D3297" t="inlineStr">
        <is>
          <t>ÖREBRO LÄN</t>
        </is>
      </c>
      <c r="E3297" t="inlineStr">
        <is>
          <t>HALLSBERG</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610-2026</t>
        </is>
      </c>
      <c r="B3298" s="1" t="n">
        <v>46029</v>
      </c>
      <c r="C3298" s="1" t="n">
        <v>46132</v>
      </c>
      <c r="D3298" t="inlineStr">
        <is>
          <t>ÖREBRO LÄN</t>
        </is>
      </c>
      <c r="E3298" t="inlineStr">
        <is>
          <t>LINDESBERG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613-2026</t>
        </is>
      </c>
      <c r="B3299" s="1" t="n">
        <v>46029.53724537037</v>
      </c>
      <c r="C3299" s="1" t="n">
        <v>46132</v>
      </c>
      <c r="D3299" t="inlineStr">
        <is>
          <t>ÖREBRO LÄN</t>
        </is>
      </c>
      <c r="E3299" t="inlineStr">
        <is>
          <t>HALLSBERG</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598-2026</t>
        </is>
      </c>
      <c r="B3300" s="1" t="n">
        <v>46029.50076388889</v>
      </c>
      <c r="C3300" s="1" t="n">
        <v>46132</v>
      </c>
      <c r="D3300" t="inlineStr">
        <is>
          <t>ÖREBRO LÄN</t>
        </is>
      </c>
      <c r="E3300" t="inlineStr">
        <is>
          <t>LAXÅ</t>
        </is>
      </c>
      <c r="F3300" t="inlineStr">
        <is>
          <t>Sveaskog</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56478-2024</t>
        </is>
      </c>
      <c r="B3301" s="1" t="n">
        <v>45624</v>
      </c>
      <c r="C3301" s="1" t="n">
        <v>46132</v>
      </c>
      <c r="D3301" t="inlineStr">
        <is>
          <t>ÖREBRO LÄN</t>
        </is>
      </c>
      <c r="E3301" t="inlineStr">
        <is>
          <t>DEGERFORS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59485-2022</t>
        </is>
      </c>
      <c r="B3302" s="1" t="n">
        <v>44907</v>
      </c>
      <c r="C3302" s="1" t="n">
        <v>46132</v>
      </c>
      <c r="D3302" t="inlineStr">
        <is>
          <t>ÖREBRO LÄN</t>
        </is>
      </c>
      <c r="E3302" t="inlineStr">
        <is>
          <t>HÄLLEFORS</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911-2026</t>
        </is>
      </c>
      <c r="B3303" s="1" t="n">
        <v>46030.47725694445</v>
      </c>
      <c r="C3303" s="1" t="n">
        <v>46132</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917-2026</t>
        </is>
      </c>
      <c r="B3304" s="1" t="n">
        <v>46030.48421296296</v>
      </c>
      <c r="C3304" s="1" t="n">
        <v>46132</v>
      </c>
      <c r="D3304" t="inlineStr">
        <is>
          <t>ÖREBRO LÄN</t>
        </is>
      </c>
      <c r="E3304" t="inlineStr">
        <is>
          <t>KARLSKOGA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1123-2026</t>
        </is>
      </c>
      <c r="B3305" s="1" t="n">
        <v>46030.71020833333</v>
      </c>
      <c r="C3305" s="1" t="n">
        <v>46132</v>
      </c>
      <c r="D3305" t="inlineStr">
        <is>
          <t>ÖREBRO LÄN</t>
        </is>
      </c>
      <c r="E3305" t="inlineStr">
        <is>
          <t>ASKERSUND</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1125-2026</t>
        </is>
      </c>
      <c r="B3306" s="1" t="n">
        <v>46030.71207175926</v>
      </c>
      <c r="C3306" s="1" t="n">
        <v>46132</v>
      </c>
      <c r="D3306" t="inlineStr">
        <is>
          <t>ÖREBRO LÄN</t>
        </is>
      </c>
      <c r="E3306" t="inlineStr">
        <is>
          <t>ASKERSUND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33695-2023</t>
        </is>
      </c>
      <c r="B3307" s="1" t="n">
        <v>45132.7075</v>
      </c>
      <c r="C3307" s="1" t="n">
        <v>46132</v>
      </c>
      <c r="D3307" t="inlineStr">
        <is>
          <t>ÖREBRO LÄN</t>
        </is>
      </c>
      <c r="E3307" t="inlineStr">
        <is>
          <t>LAXÅ</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57422-2021</t>
        </is>
      </c>
      <c r="B3308" s="1" t="n">
        <v>44483</v>
      </c>
      <c r="C3308" s="1" t="n">
        <v>46132</v>
      </c>
      <c r="D3308" t="inlineStr">
        <is>
          <t>ÖREBRO LÄN</t>
        </is>
      </c>
      <c r="E3308" t="inlineStr">
        <is>
          <t>KARLSKOGA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31506-2023</t>
        </is>
      </c>
      <c r="B3309" s="1" t="n">
        <v>45115</v>
      </c>
      <c r="C3309" s="1" t="n">
        <v>46132</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31509-2023</t>
        </is>
      </c>
      <c r="B3310" s="1" t="n">
        <v>45115</v>
      </c>
      <c r="C3310" s="1" t="n">
        <v>46132</v>
      </c>
      <c r="D3310" t="inlineStr">
        <is>
          <t>ÖREBRO LÄN</t>
        </is>
      </c>
      <c r="E3310" t="inlineStr">
        <is>
          <t>ASKERSUND</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38177-2023</t>
        </is>
      </c>
      <c r="B3311" s="1" t="n">
        <v>45161.44978009259</v>
      </c>
      <c r="C3311" s="1" t="n">
        <v>46132</v>
      </c>
      <c r="D3311" t="inlineStr">
        <is>
          <t>ÖREBRO LÄN</t>
        </is>
      </c>
      <c r="E3311" t="inlineStr">
        <is>
          <t>NORA</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46147-2024</t>
        </is>
      </c>
      <c r="B3312" s="1" t="n">
        <v>45581.45158564814</v>
      </c>
      <c r="C3312" s="1" t="n">
        <v>46132</v>
      </c>
      <c r="D3312" t="inlineStr">
        <is>
          <t>ÖREBRO LÄN</t>
        </is>
      </c>
      <c r="E3312" t="inlineStr">
        <is>
          <t>DEGERFORS</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7730-2022</t>
        </is>
      </c>
      <c r="B3313" s="1" t="n">
        <v>44608</v>
      </c>
      <c r="C3313" s="1" t="n">
        <v>46132</v>
      </c>
      <c r="D3313" t="inlineStr">
        <is>
          <t>ÖREBRO LÄN</t>
        </is>
      </c>
      <c r="E3313" t="inlineStr">
        <is>
          <t>ASKERSUND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878-2026</t>
        </is>
      </c>
      <c r="B3314" s="1" t="n">
        <v>46030.44277777777</v>
      </c>
      <c r="C3314" s="1" t="n">
        <v>46132</v>
      </c>
      <c r="D3314" t="inlineStr">
        <is>
          <t>ÖREBRO LÄN</t>
        </is>
      </c>
      <c r="E3314" t="inlineStr">
        <is>
          <t>LINDESBERG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621-2026</t>
        </is>
      </c>
      <c r="B3315" s="1" t="n">
        <v>46029.54597222222</v>
      </c>
      <c r="C3315" s="1" t="n">
        <v>46132</v>
      </c>
      <c r="D3315" t="inlineStr">
        <is>
          <t>ÖREBRO LÄN</t>
        </is>
      </c>
      <c r="E3315" t="inlineStr">
        <is>
          <t>HALLSBERG</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38620-2023</t>
        </is>
      </c>
      <c r="B3316" s="1" t="n">
        <v>45160</v>
      </c>
      <c r="C3316" s="1" t="n">
        <v>46132</v>
      </c>
      <c r="D3316" t="inlineStr">
        <is>
          <t>ÖREBRO LÄN</t>
        </is>
      </c>
      <c r="E3316" t="inlineStr">
        <is>
          <t>LAXÅ</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40085-2023</t>
        </is>
      </c>
      <c r="B3317" s="1" t="n">
        <v>45168.92155092592</v>
      </c>
      <c r="C3317" s="1" t="n">
        <v>46132</v>
      </c>
      <c r="D3317" t="inlineStr">
        <is>
          <t>ÖREBRO LÄN</t>
        </is>
      </c>
      <c r="E3317" t="inlineStr">
        <is>
          <t>LINDESBERG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1217-2026</t>
        </is>
      </c>
      <c r="B3318" s="1" t="n">
        <v>46031.39998842592</v>
      </c>
      <c r="C3318" s="1" t="n">
        <v>46132</v>
      </c>
      <c r="D3318" t="inlineStr">
        <is>
          <t>ÖREBRO LÄN</t>
        </is>
      </c>
      <c r="E3318" t="inlineStr">
        <is>
          <t>LEKEBERG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28470-2023</t>
        </is>
      </c>
      <c r="B3319" s="1" t="n">
        <v>45103</v>
      </c>
      <c r="C3319" s="1" t="n">
        <v>46132</v>
      </c>
      <c r="D3319" t="inlineStr">
        <is>
          <t>ÖREBRO LÄN</t>
        </is>
      </c>
      <c r="E3319" t="inlineStr">
        <is>
          <t>LINDESBERG</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58277-2022</t>
        </is>
      </c>
      <c r="B3320" s="1" t="n">
        <v>44901.48108796297</v>
      </c>
      <c r="C3320" s="1" t="n">
        <v>46132</v>
      </c>
      <c r="D3320" t="inlineStr">
        <is>
          <t>ÖREBRO LÄN</t>
        </is>
      </c>
      <c r="E3320" t="inlineStr">
        <is>
          <t>ÖREBRO</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33336-2023</t>
        </is>
      </c>
      <c r="B3321" s="1" t="n">
        <v>45128.33729166666</v>
      </c>
      <c r="C3321" s="1" t="n">
        <v>46132</v>
      </c>
      <c r="D3321" t="inlineStr">
        <is>
          <t>ÖREBRO LÄN</t>
        </is>
      </c>
      <c r="E3321" t="inlineStr">
        <is>
          <t>LEKEBERG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33337-2023</t>
        </is>
      </c>
      <c r="B3322" s="1" t="n">
        <v>45128.3400925926</v>
      </c>
      <c r="C3322" s="1" t="n">
        <v>46132</v>
      </c>
      <c r="D3322" t="inlineStr">
        <is>
          <t>ÖREBRO LÄN</t>
        </is>
      </c>
      <c r="E3322" t="inlineStr">
        <is>
          <t>LEKEBERG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1247-2026</t>
        </is>
      </c>
      <c r="B3323" s="1" t="n">
        <v>46031.4290625</v>
      </c>
      <c r="C3323" s="1" t="n">
        <v>46132</v>
      </c>
      <c r="D3323" t="inlineStr">
        <is>
          <t>ÖREBRO LÄN</t>
        </is>
      </c>
      <c r="E3323" t="inlineStr">
        <is>
          <t>HALLSBERG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1254-2026</t>
        </is>
      </c>
      <c r="B3324" s="1" t="n">
        <v>46031.43969907407</v>
      </c>
      <c r="C3324" s="1" t="n">
        <v>46132</v>
      </c>
      <c r="D3324" t="inlineStr">
        <is>
          <t>ÖREBRO LÄN</t>
        </is>
      </c>
      <c r="E3324" t="inlineStr">
        <is>
          <t>HALLSBERG</t>
        </is>
      </c>
      <c r="F3324" t="inlineStr">
        <is>
          <t>Sveaskog</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1259-2026</t>
        </is>
      </c>
      <c r="B3325" s="1" t="n">
        <v>46031.45591435185</v>
      </c>
      <c r="C3325" s="1" t="n">
        <v>46132</v>
      </c>
      <c r="D3325" t="inlineStr">
        <is>
          <t>ÖREBRO LÄN</t>
        </is>
      </c>
      <c r="E3325" t="inlineStr">
        <is>
          <t>HALLSBERG</t>
        </is>
      </c>
      <c r="F3325" t="inlineStr">
        <is>
          <t>Sveaskog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62584-2021</t>
        </is>
      </c>
      <c r="B3326" s="1" t="n">
        <v>44503.65924768519</v>
      </c>
      <c r="C3326" s="1" t="n">
        <v>46132</v>
      </c>
      <c r="D3326" t="inlineStr">
        <is>
          <t>ÖREBRO LÄN</t>
        </is>
      </c>
      <c r="E3326" t="inlineStr">
        <is>
          <t>ASKERSUND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32002-2023</t>
        </is>
      </c>
      <c r="B3327" s="1" t="n">
        <v>45119.46452546296</v>
      </c>
      <c r="C3327" s="1" t="n">
        <v>46132</v>
      </c>
      <c r="D3327" t="inlineStr">
        <is>
          <t>ÖREBRO LÄN</t>
        </is>
      </c>
      <c r="E3327" t="inlineStr">
        <is>
          <t>LINDESBERG</t>
        </is>
      </c>
      <c r="F3327" t="inlineStr">
        <is>
          <t>Kyrkan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60685-2021</t>
        </is>
      </c>
      <c r="B3328" s="1" t="n">
        <v>44496</v>
      </c>
      <c r="C3328" s="1" t="n">
        <v>46132</v>
      </c>
      <c r="D3328" t="inlineStr">
        <is>
          <t>ÖREBRO LÄN</t>
        </is>
      </c>
      <c r="E3328" t="inlineStr">
        <is>
          <t>HALLSBERG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6763-2024</t>
        </is>
      </c>
      <c r="B3329" s="1" t="n">
        <v>45342</v>
      </c>
      <c r="C3329" s="1" t="n">
        <v>46132</v>
      </c>
      <c r="D3329" t="inlineStr">
        <is>
          <t>ÖREBRO LÄN</t>
        </is>
      </c>
      <c r="E3329" t="inlineStr">
        <is>
          <t>HALLSBERG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31906-2023</t>
        </is>
      </c>
      <c r="B3330" s="1" t="n">
        <v>45118.8353125</v>
      </c>
      <c r="C3330" s="1" t="n">
        <v>46132</v>
      </c>
      <c r="D3330" t="inlineStr">
        <is>
          <t>ÖREBRO LÄN</t>
        </is>
      </c>
      <c r="E3330" t="inlineStr">
        <is>
          <t>ÖREBRO</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59036-2021</t>
        </is>
      </c>
      <c r="B3331" s="1" t="n">
        <v>44490</v>
      </c>
      <c r="C3331" s="1" t="n">
        <v>46132</v>
      </c>
      <c r="D3331" t="inlineStr">
        <is>
          <t>ÖREBRO LÄN</t>
        </is>
      </c>
      <c r="E3331" t="inlineStr">
        <is>
          <t>LEKEBERG</t>
        </is>
      </c>
      <c r="F3331" t="inlineStr">
        <is>
          <t>Allmännings- och besparingsskogar</t>
        </is>
      </c>
      <c r="G3331" t="n">
        <v>25.2</v>
      </c>
      <c r="H3331" t="n">
        <v>0</v>
      </c>
      <c r="I3331" t="n">
        <v>0</v>
      </c>
      <c r="J3331" t="n">
        <v>0</v>
      </c>
      <c r="K3331" t="n">
        <v>0</v>
      </c>
      <c r="L3331" t="n">
        <v>0</v>
      </c>
      <c r="M3331" t="n">
        <v>0</v>
      </c>
      <c r="N3331" t="n">
        <v>0</v>
      </c>
      <c r="O3331" t="n">
        <v>0</v>
      </c>
      <c r="P3331" t="n">
        <v>0</v>
      </c>
      <c r="Q3331" t="n">
        <v>0</v>
      </c>
      <c r="R3331" s="2" t="inlineStr"/>
    </row>
    <row r="3332" ht="15" customHeight="1">
      <c r="A3332" t="inlineStr">
        <is>
          <t>A 18550-2025</t>
        </is>
      </c>
      <c r="B3332" s="1" t="n">
        <v>45763</v>
      </c>
      <c r="C3332" s="1" t="n">
        <v>46132</v>
      </c>
      <c r="D3332" t="inlineStr">
        <is>
          <t>ÖREBRO LÄN</t>
        </is>
      </c>
      <c r="E3332" t="inlineStr">
        <is>
          <t>ÖREBRO</t>
        </is>
      </c>
      <c r="G3332" t="n">
        <v>11.5</v>
      </c>
      <c r="H3332" t="n">
        <v>0</v>
      </c>
      <c r="I3332" t="n">
        <v>0</v>
      </c>
      <c r="J3332" t="n">
        <v>0</v>
      </c>
      <c r="K3332" t="n">
        <v>0</v>
      </c>
      <c r="L3332" t="n">
        <v>0</v>
      </c>
      <c r="M3332" t="n">
        <v>0</v>
      </c>
      <c r="N3332" t="n">
        <v>0</v>
      </c>
      <c r="O3332" t="n">
        <v>0</v>
      </c>
      <c r="P3332" t="n">
        <v>0</v>
      </c>
      <c r="Q3332" t="n">
        <v>0</v>
      </c>
      <c r="R3332" s="2" t="inlineStr"/>
    </row>
    <row r="3333" ht="15" customHeight="1">
      <c r="A3333" t="inlineStr">
        <is>
          <t>A 1772-2026</t>
        </is>
      </c>
      <c r="B3333" s="1" t="n">
        <v>46034.70686342593</v>
      </c>
      <c r="C3333" s="1" t="n">
        <v>46132</v>
      </c>
      <c r="D3333" t="inlineStr">
        <is>
          <t>ÖREBRO LÄN</t>
        </is>
      </c>
      <c r="E3333" t="inlineStr">
        <is>
          <t>LAXÅ</t>
        </is>
      </c>
      <c r="F3333" t="inlineStr">
        <is>
          <t>Allmännings- och besparingsskogar</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29849-2023</t>
        </is>
      </c>
      <c r="B3334" s="1" t="n">
        <v>45107</v>
      </c>
      <c r="C3334" s="1" t="n">
        <v>46132</v>
      </c>
      <c r="D3334" t="inlineStr">
        <is>
          <t>ÖREBRO LÄN</t>
        </is>
      </c>
      <c r="E3334" t="inlineStr">
        <is>
          <t>LINDESBERG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1153-2026</t>
        </is>
      </c>
      <c r="B3335" s="1" t="n">
        <v>46031.30899305556</v>
      </c>
      <c r="C3335" s="1" t="n">
        <v>46132</v>
      </c>
      <c r="D3335" t="inlineStr">
        <is>
          <t>ÖREBRO LÄN</t>
        </is>
      </c>
      <c r="E3335" t="inlineStr">
        <is>
          <t>ÖREBRO</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15591-2025</t>
        </is>
      </c>
      <c r="B3336" s="1" t="n">
        <v>45747</v>
      </c>
      <c r="C3336" s="1" t="n">
        <v>46132</v>
      </c>
      <c r="D3336" t="inlineStr">
        <is>
          <t>ÖREBRO LÄN</t>
        </is>
      </c>
      <c r="E3336" t="inlineStr">
        <is>
          <t>HALLSBERG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5784-2025</t>
        </is>
      </c>
      <c r="B3337" s="1" t="n">
        <v>45694</v>
      </c>
      <c r="C3337" s="1" t="n">
        <v>46132</v>
      </c>
      <c r="D3337" t="inlineStr">
        <is>
          <t>ÖREBRO LÄN</t>
        </is>
      </c>
      <c r="E3337" t="inlineStr">
        <is>
          <t>LINDESBERG</t>
        </is>
      </c>
      <c r="F3337" t="inlineStr">
        <is>
          <t>Allmännings- och besparingsskogar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49885-2024</t>
        </is>
      </c>
      <c r="B3338" s="1" t="n">
        <v>45597.51060185185</v>
      </c>
      <c r="C3338" s="1" t="n">
        <v>46132</v>
      </c>
      <c r="D3338" t="inlineStr">
        <is>
          <t>ÖREBRO LÄN</t>
        </is>
      </c>
      <c r="E3338" t="inlineStr">
        <is>
          <t>LAXÅ</t>
        </is>
      </c>
      <c r="F3338" t="inlineStr">
        <is>
          <t>Sveaskog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59560-2022</t>
        </is>
      </c>
      <c r="B3339" s="1" t="n">
        <v>44907.60194444445</v>
      </c>
      <c r="C3339" s="1" t="n">
        <v>46132</v>
      </c>
      <c r="D3339" t="inlineStr">
        <is>
          <t>ÖREBRO LÄN</t>
        </is>
      </c>
      <c r="E3339" t="inlineStr">
        <is>
          <t>ASKERSUND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1160-2026</t>
        </is>
      </c>
      <c r="B3340" s="1" t="n">
        <v>46031</v>
      </c>
      <c r="C3340" s="1" t="n">
        <v>46132</v>
      </c>
      <c r="D3340" t="inlineStr">
        <is>
          <t>ÖREBRO LÄN</t>
        </is>
      </c>
      <c r="E3340" t="inlineStr">
        <is>
          <t>LINDESBERG</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60933-2024</t>
        </is>
      </c>
      <c r="B3341" s="1" t="n">
        <v>45645.36615740741</v>
      </c>
      <c r="C3341" s="1" t="n">
        <v>46132</v>
      </c>
      <c r="D3341" t="inlineStr">
        <is>
          <t>ÖREBRO LÄN</t>
        </is>
      </c>
      <c r="E3341" t="inlineStr">
        <is>
          <t>DEGERFORS</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7132-2024</t>
        </is>
      </c>
      <c r="B3342" s="1" t="n">
        <v>45344.3665625</v>
      </c>
      <c r="C3342" s="1" t="n">
        <v>46132</v>
      </c>
      <c r="D3342" t="inlineStr">
        <is>
          <t>ÖREBRO LÄN</t>
        </is>
      </c>
      <c r="E3342" t="inlineStr">
        <is>
          <t>LAXÅ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1749-2026</t>
        </is>
      </c>
      <c r="B3343" s="1" t="n">
        <v>46034.65601851852</v>
      </c>
      <c r="C3343" s="1" t="n">
        <v>46132</v>
      </c>
      <c r="D3343" t="inlineStr">
        <is>
          <t>ÖREBRO LÄN</t>
        </is>
      </c>
      <c r="E3343" t="inlineStr">
        <is>
          <t>LINDESBERG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61051-2023</t>
        </is>
      </c>
      <c r="B3344" s="1" t="n">
        <v>45261</v>
      </c>
      <c r="C3344" s="1" t="n">
        <v>46132</v>
      </c>
      <c r="D3344" t="inlineStr">
        <is>
          <t>ÖREBRO LÄN</t>
        </is>
      </c>
      <c r="E3344" t="inlineStr">
        <is>
          <t>LAXÅ</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1766-2026</t>
        </is>
      </c>
      <c r="B3345" s="1" t="n">
        <v>46034.6880787037</v>
      </c>
      <c r="C3345" s="1" t="n">
        <v>46132</v>
      </c>
      <c r="D3345" t="inlineStr">
        <is>
          <t>ÖREBRO LÄN</t>
        </is>
      </c>
      <c r="E3345" t="inlineStr">
        <is>
          <t>NORA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10882-2024</t>
        </is>
      </c>
      <c r="B3346" s="1" t="n">
        <v>45370</v>
      </c>
      <c r="C3346" s="1" t="n">
        <v>46132</v>
      </c>
      <c r="D3346" t="inlineStr">
        <is>
          <t>ÖREBRO LÄN</t>
        </is>
      </c>
      <c r="E3346" t="inlineStr">
        <is>
          <t>NORA</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10937-2024</t>
        </is>
      </c>
      <c r="B3347" s="1" t="n">
        <v>45370.44461805555</v>
      </c>
      <c r="C3347" s="1" t="n">
        <v>46132</v>
      </c>
      <c r="D3347" t="inlineStr">
        <is>
          <t>ÖREBRO LÄN</t>
        </is>
      </c>
      <c r="E3347" t="inlineStr">
        <is>
          <t>ÖREBRO</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1788-2026</t>
        </is>
      </c>
      <c r="B3348" s="1" t="n">
        <v>46034.87616898148</v>
      </c>
      <c r="C3348" s="1" t="n">
        <v>46132</v>
      </c>
      <c r="D3348" t="inlineStr">
        <is>
          <t>ÖREBRO LÄN</t>
        </is>
      </c>
      <c r="E3348" t="inlineStr">
        <is>
          <t>KARLSKOGA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22079-2023</t>
        </is>
      </c>
      <c r="B3349" s="1" t="n">
        <v>45069</v>
      </c>
      <c r="C3349" s="1" t="n">
        <v>46132</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6900-2023</t>
        </is>
      </c>
      <c r="B3350" s="1" t="n">
        <v>44967.5105787037</v>
      </c>
      <c r="C3350" s="1" t="n">
        <v>46132</v>
      </c>
      <c r="D3350" t="inlineStr">
        <is>
          <t>ÖREBRO LÄN</t>
        </is>
      </c>
      <c r="E3350" t="inlineStr">
        <is>
          <t>ASKERSUND</t>
        </is>
      </c>
      <c r="F3350" t="inlineStr">
        <is>
          <t>Sveaskog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52447-2024</t>
        </is>
      </c>
      <c r="B3351" s="1" t="n">
        <v>45609.49157407408</v>
      </c>
      <c r="C3351" s="1" t="n">
        <v>46132</v>
      </c>
      <c r="D3351" t="inlineStr">
        <is>
          <t>ÖREBRO LÄN</t>
        </is>
      </c>
      <c r="E3351" t="inlineStr">
        <is>
          <t>ÖREBRO</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9312-2024</t>
        </is>
      </c>
      <c r="B3352" s="1" t="n">
        <v>45358</v>
      </c>
      <c r="C3352" s="1" t="n">
        <v>46132</v>
      </c>
      <c r="D3352" t="inlineStr">
        <is>
          <t>ÖREBRO LÄN</t>
        </is>
      </c>
      <c r="E3352" t="inlineStr">
        <is>
          <t>LAXÅ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63630-2021</t>
        </is>
      </c>
      <c r="B3353" s="1" t="n">
        <v>44496</v>
      </c>
      <c r="C3353" s="1" t="n">
        <v>46132</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15012-2023</t>
        </is>
      </c>
      <c r="B3354" s="1" t="n">
        <v>45015</v>
      </c>
      <c r="C3354" s="1" t="n">
        <v>46132</v>
      </c>
      <c r="D3354" t="inlineStr">
        <is>
          <t>ÖREBRO LÄN</t>
        </is>
      </c>
      <c r="E3354" t="inlineStr">
        <is>
          <t>NORA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2332-2026</t>
        </is>
      </c>
      <c r="B3355" s="1" t="n">
        <v>46036.60891203704</v>
      </c>
      <c r="C3355" s="1" t="n">
        <v>46132</v>
      </c>
      <c r="D3355" t="inlineStr">
        <is>
          <t>ÖREBRO LÄN</t>
        </is>
      </c>
      <c r="E3355" t="inlineStr">
        <is>
          <t>LAXÅ</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6178-2024</t>
        </is>
      </c>
      <c r="B3356" s="1" t="n">
        <v>45337.53797453704</v>
      </c>
      <c r="C3356" s="1" t="n">
        <v>46132</v>
      </c>
      <c r="D3356" t="inlineStr">
        <is>
          <t>ÖREBRO LÄN</t>
        </is>
      </c>
      <c r="E3356" t="inlineStr">
        <is>
          <t>LAXÅ</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47941-2024</t>
        </is>
      </c>
      <c r="B3357" s="1" t="n">
        <v>45589.34931712963</v>
      </c>
      <c r="C3357" s="1" t="n">
        <v>46132</v>
      </c>
      <c r="D3357" t="inlineStr">
        <is>
          <t>ÖREBRO LÄN</t>
        </is>
      </c>
      <c r="E3357" t="inlineStr">
        <is>
          <t>DEGERFORS</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3841-2023</t>
        </is>
      </c>
      <c r="B3358" s="1" t="n">
        <v>44951</v>
      </c>
      <c r="C3358" s="1" t="n">
        <v>46132</v>
      </c>
      <c r="D3358" t="inlineStr">
        <is>
          <t>ÖREBRO LÄN</t>
        </is>
      </c>
      <c r="E3358" t="inlineStr">
        <is>
          <t>ÖREBRO</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61750-2021</t>
        </is>
      </c>
      <c r="B3359" s="1" t="n">
        <v>44501.64055555555</v>
      </c>
      <c r="C3359" s="1" t="n">
        <v>46132</v>
      </c>
      <c r="D3359" t="inlineStr">
        <is>
          <t>ÖREBRO LÄN</t>
        </is>
      </c>
      <c r="E3359" t="inlineStr">
        <is>
          <t>DEGERFORS</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19742-2025</t>
        </is>
      </c>
      <c r="B3360" s="1" t="n">
        <v>45771.37377314815</v>
      </c>
      <c r="C3360" s="1" t="n">
        <v>46132</v>
      </c>
      <c r="D3360" t="inlineStr">
        <is>
          <t>ÖREBRO LÄN</t>
        </is>
      </c>
      <c r="E3360" t="inlineStr">
        <is>
          <t>LJUSNARSBERG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19746-2025</t>
        </is>
      </c>
      <c r="B3361" s="1" t="n">
        <v>45771.38315972222</v>
      </c>
      <c r="C3361" s="1" t="n">
        <v>46132</v>
      </c>
      <c r="D3361" t="inlineStr">
        <is>
          <t>ÖREBRO LÄN</t>
        </is>
      </c>
      <c r="E3361" t="inlineStr">
        <is>
          <t>LJUSNARSBERG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1944-2026</t>
        </is>
      </c>
      <c r="B3362" s="1" t="n">
        <v>46035.59541666666</v>
      </c>
      <c r="C3362" s="1" t="n">
        <v>46132</v>
      </c>
      <c r="D3362" t="inlineStr">
        <is>
          <t>ÖREBRO LÄN</t>
        </is>
      </c>
      <c r="E3362" t="inlineStr">
        <is>
          <t>LAXÅ</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8295-2024</t>
        </is>
      </c>
      <c r="B3363" s="1" t="n">
        <v>45352.43674768518</v>
      </c>
      <c r="C3363" s="1" t="n">
        <v>46132</v>
      </c>
      <c r="D3363" t="inlineStr">
        <is>
          <t>ÖREBRO LÄN</t>
        </is>
      </c>
      <c r="E3363" t="inlineStr">
        <is>
          <t>NORA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35060-2024</t>
        </is>
      </c>
      <c r="B3364" s="1" t="n">
        <v>45527</v>
      </c>
      <c r="C3364" s="1" t="n">
        <v>46132</v>
      </c>
      <c r="D3364" t="inlineStr">
        <is>
          <t>ÖREBRO LÄN</t>
        </is>
      </c>
      <c r="E3364" t="inlineStr">
        <is>
          <t>KARLSKOGA</t>
        </is>
      </c>
      <c r="F3364" t="inlineStr">
        <is>
          <t>Kyrkan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2208-2026</t>
        </is>
      </c>
      <c r="B3365" s="1" t="n">
        <v>46036.4891087963</v>
      </c>
      <c r="C3365" s="1" t="n">
        <v>46132</v>
      </c>
      <c r="D3365" t="inlineStr">
        <is>
          <t>ÖREBRO LÄN</t>
        </is>
      </c>
      <c r="E3365" t="inlineStr">
        <is>
          <t>ASKERSUND</t>
        </is>
      </c>
      <c r="F3365" t="inlineStr">
        <is>
          <t>Sveaskog</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55300-2023</t>
        </is>
      </c>
      <c r="B3366" s="1" t="n">
        <v>45237.83621527778</v>
      </c>
      <c r="C3366" s="1" t="n">
        <v>46132</v>
      </c>
      <c r="D3366" t="inlineStr">
        <is>
          <t>ÖREBRO LÄN</t>
        </is>
      </c>
      <c r="E3366" t="inlineStr">
        <is>
          <t>HÄLLEFORS</t>
        </is>
      </c>
      <c r="F3366" t="inlineStr">
        <is>
          <t>Bergvik skog väst AB</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69208-2021</t>
        </is>
      </c>
      <c r="B3367" s="1" t="n">
        <v>44531.3575</v>
      </c>
      <c r="C3367" s="1" t="n">
        <v>46132</v>
      </c>
      <c r="D3367" t="inlineStr">
        <is>
          <t>ÖREBRO LÄN</t>
        </is>
      </c>
      <c r="E3367" t="inlineStr">
        <is>
          <t>LINDESBERG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59587-2023</t>
        </is>
      </c>
      <c r="B3368" s="1" t="n">
        <v>45254</v>
      </c>
      <c r="C3368" s="1" t="n">
        <v>46132</v>
      </c>
      <c r="D3368" t="inlineStr">
        <is>
          <t>ÖREBRO LÄN</t>
        </is>
      </c>
      <c r="E3368" t="inlineStr">
        <is>
          <t>ASKERSUND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46035.59490740741</v>
      </c>
      <c r="C3369" s="1" t="n">
        <v>46132</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52434-2024</t>
        </is>
      </c>
      <c r="B3370" s="1" t="n">
        <v>45609.47806712963</v>
      </c>
      <c r="C3370" s="1" t="n">
        <v>46132</v>
      </c>
      <c r="D3370" t="inlineStr">
        <is>
          <t>ÖREBRO LÄN</t>
        </is>
      </c>
      <c r="E3370" t="inlineStr">
        <is>
          <t>ASKERSUND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2102-2026</t>
        </is>
      </c>
      <c r="B3371" s="1" t="n">
        <v>46036.37450231481</v>
      </c>
      <c r="C3371" s="1" t="n">
        <v>46132</v>
      </c>
      <c r="D3371" t="inlineStr">
        <is>
          <t>ÖREBRO LÄN</t>
        </is>
      </c>
      <c r="E3371" t="inlineStr">
        <is>
          <t>LAXÅ</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15073-2022</t>
        </is>
      </c>
      <c r="B3372" s="1" t="n">
        <v>44657</v>
      </c>
      <c r="C3372" s="1" t="n">
        <v>46132</v>
      </c>
      <c r="D3372" t="inlineStr">
        <is>
          <t>ÖREBRO LÄN</t>
        </is>
      </c>
      <c r="E3372" t="inlineStr">
        <is>
          <t>HÄLLEFORS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39707-2022</t>
        </is>
      </c>
      <c r="B3373" s="1" t="n">
        <v>44818.95277777778</v>
      </c>
      <c r="C3373" s="1" t="n">
        <v>46132</v>
      </c>
      <c r="D3373" t="inlineStr">
        <is>
          <t>ÖREBRO LÄN</t>
        </is>
      </c>
      <c r="E3373" t="inlineStr">
        <is>
          <t>NORA</t>
        </is>
      </c>
      <c r="F3373" t="inlineStr">
        <is>
          <t>Sveaskog</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1806-2026</t>
        </is>
      </c>
      <c r="B3374" s="1" t="n">
        <v>46035.33097222223</v>
      </c>
      <c r="C3374" s="1" t="n">
        <v>46132</v>
      </c>
      <c r="D3374" t="inlineStr">
        <is>
          <t>ÖREBRO LÄN</t>
        </is>
      </c>
      <c r="E3374" t="inlineStr">
        <is>
          <t>HÄLLEFORS</t>
        </is>
      </c>
      <c r="F3374" t="inlineStr">
        <is>
          <t>Bergvik skog väst AB</t>
        </is>
      </c>
      <c r="G3374" t="n">
        <v>20.3</v>
      </c>
      <c r="H3374" t="n">
        <v>0</v>
      </c>
      <c r="I3374" t="n">
        <v>0</v>
      </c>
      <c r="J3374" t="n">
        <v>0</v>
      </c>
      <c r="K3374" t="n">
        <v>0</v>
      </c>
      <c r="L3374" t="n">
        <v>0</v>
      </c>
      <c r="M3374" t="n">
        <v>0</v>
      </c>
      <c r="N3374" t="n">
        <v>0</v>
      </c>
      <c r="O3374" t="n">
        <v>0</v>
      </c>
      <c r="P3374" t="n">
        <v>0</v>
      </c>
      <c r="Q3374" t="n">
        <v>0</v>
      </c>
      <c r="R3374" s="2" t="inlineStr"/>
    </row>
    <row r="3375" ht="15" customHeight="1">
      <c r="A3375" t="inlineStr">
        <is>
          <t>A 30282-2023</t>
        </is>
      </c>
      <c r="B3375" s="1" t="n">
        <v>45110.90550925926</v>
      </c>
      <c r="C3375" s="1" t="n">
        <v>46132</v>
      </c>
      <c r="D3375" t="inlineStr">
        <is>
          <t>ÖREBRO LÄN</t>
        </is>
      </c>
      <c r="E3375" t="inlineStr">
        <is>
          <t>HÄLLEFORS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2127-2026</t>
        </is>
      </c>
      <c r="B3376" s="1" t="n">
        <v>46036.38921296296</v>
      </c>
      <c r="C3376" s="1" t="n">
        <v>46132</v>
      </c>
      <c r="D3376" t="inlineStr">
        <is>
          <t>ÖREBRO LÄN</t>
        </is>
      </c>
      <c r="E3376" t="inlineStr">
        <is>
          <t>LAXÅ</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2162-2026</t>
        </is>
      </c>
      <c r="B3377" s="1" t="n">
        <v>46036.43479166667</v>
      </c>
      <c r="C3377" s="1" t="n">
        <v>46132</v>
      </c>
      <c r="D3377" t="inlineStr">
        <is>
          <t>ÖREBRO LÄN</t>
        </is>
      </c>
      <c r="E3377" t="inlineStr">
        <is>
          <t>ÖREBRO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58143-2021</t>
        </is>
      </c>
      <c r="B3378" s="1" t="n">
        <v>44487</v>
      </c>
      <c r="C3378" s="1" t="n">
        <v>46132</v>
      </c>
      <c r="D3378" t="inlineStr">
        <is>
          <t>ÖREBRO LÄN</t>
        </is>
      </c>
      <c r="E3378" t="inlineStr">
        <is>
          <t>ASKERSUND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1793-2026</t>
        </is>
      </c>
      <c r="B3379" s="1" t="n">
        <v>46034</v>
      </c>
      <c r="C3379" s="1" t="n">
        <v>46132</v>
      </c>
      <c r="D3379" t="inlineStr">
        <is>
          <t>ÖREBRO LÄN</t>
        </is>
      </c>
      <c r="E3379" t="inlineStr">
        <is>
          <t>HALLSBERG</t>
        </is>
      </c>
      <c r="G3379" t="n">
        <v>23.5</v>
      </c>
      <c r="H3379" t="n">
        <v>0</v>
      </c>
      <c r="I3379" t="n">
        <v>0</v>
      </c>
      <c r="J3379" t="n">
        <v>0</v>
      </c>
      <c r="K3379" t="n">
        <v>0</v>
      </c>
      <c r="L3379" t="n">
        <v>0</v>
      </c>
      <c r="M3379" t="n">
        <v>0</v>
      </c>
      <c r="N3379" t="n">
        <v>0</v>
      </c>
      <c r="O3379" t="n">
        <v>0</v>
      </c>
      <c r="P3379" t="n">
        <v>0</v>
      </c>
      <c r="Q3379" t="n">
        <v>0</v>
      </c>
      <c r="R3379" s="2" t="inlineStr"/>
    </row>
    <row r="3380" ht="15" customHeight="1">
      <c r="A3380" t="inlineStr">
        <is>
          <t>A 2556-2026</t>
        </is>
      </c>
      <c r="B3380" s="1" t="n">
        <v>46035</v>
      </c>
      <c r="C3380" s="1" t="n">
        <v>46132</v>
      </c>
      <c r="D3380" t="inlineStr">
        <is>
          <t>ÖREBRO LÄN</t>
        </is>
      </c>
      <c r="E3380" t="inlineStr">
        <is>
          <t>LINDESBERG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2261-2026</t>
        </is>
      </c>
      <c r="B3381" s="1" t="n">
        <v>46036</v>
      </c>
      <c r="C3381" s="1" t="n">
        <v>46132</v>
      </c>
      <c r="D3381" t="inlineStr">
        <is>
          <t>ÖREBRO LÄN</t>
        </is>
      </c>
      <c r="E3381" t="inlineStr">
        <is>
          <t>NORA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14460-2025</t>
        </is>
      </c>
      <c r="B3382" s="1" t="n">
        <v>45741.56847222222</v>
      </c>
      <c r="C3382" s="1" t="n">
        <v>46132</v>
      </c>
      <c r="D3382" t="inlineStr">
        <is>
          <t>ÖREBRO LÄN</t>
        </is>
      </c>
      <c r="E3382" t="inlineStr">
        <is>
          <t>LAXÅ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59515-2025</t>
        </is>
      </c>
      <c r="B3383" s="1" t="n">
        <v>45989.65238425926</v>
      </c>
      <c r="C3383" s="1" t="n">
        <v>46132</v>
      </c>
      <c r="D3383" t="inlineStr">
        <is>
          <t>ÖREBRO LÄN</t>
        </is>
      </c>
      <c r="E3383" t="inlineStr">
        <is>
          <t>ÖREBRO</t>
        </is>
      </c>
      <c r="F3383" t="inlineStr">
        <is>
          <t>Sveaskog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3883-2024</t>
        </is>
      </c>
      <c r="B3384" s="1" t="n">
        <v>45322</v>
      </c>
      <c r="C3384" s="1" t="n">
        <v>46132</v>
      </c>
      <c r="D3384" t="inlineStr">
        <is>
          <t>ÖREBRO LÄN</t>
        </is>
      </c>
      <c r="E3384" t="inlineStr">
        <is>
          <t>ASKERSUND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34512-2024</t>
        </is>
      </c>
      <c r="B3385" s="1" t="n">
        <v>45525</v>
      </c>
      <c r="C3385" s="1" t="n">
        <v>46132</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34514-2024</t>
        </is>
      </c>
      <c r="B3386" s="1" t="n">
        <v>45525</v>
      </c>
      <c r="C3386" s="1" t="n">
        <v>46132</v>
      </c>
      <c r="D3386" t="inlineStr">
        <is>
          <t>ÖREBRO LÄN</t>
        </is>
      </c>
      <c r="E3386" t="inlineStr">
        <is>
          <t>ASKERSUND</t>
        </is>
      </c>
      <c r="F3386" t="inlineStr">
        <is>
          <t>Sveaskog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27947-2023</t>
        </is>
      </c>
      <c r="B3387" s="1" t="n">
        <v>45098.66921296297</v>
      </c>
      <c r="C3387" s="1" t="n">
        <v>46132</v>
      </c>
      <c r="D3387" t="inlineStr">
        <is>
          <t>ÖREBRO LÄN</t>
        </is>
      </c>
      <c r="E3387" t="inlineStr">
        <is>
          <t>LEKEBERG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2958-2026</t>
        </is>
      </c>
      <c r="B3388" s="1" t="n">
        <v>46038.61067129629</v>
      </c>
      <c r="C3388" s="1" t="n">
        <v>46132</v>
      </c>
      <c r="D3388" t="inlineStr">
        <is>
          <t>ÖREBRO LÄN</t>
        </is>
      </c>
      <c r="E3388" t="inlineStr">
        <is>
          <t>LINDESBERG</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28537-2024</t>
        </is>
      </c>
      <c r="B3389" s="1" t="n">
        <v>45478.34296296296</v>
      </c>
      <c r="C3389" s="1" t="n">
        <v>46132</v>
      </c>
      <c r="D3389" t="inlineStr">
        <is>
          <t>ÖREBRO LÄN</t>
        </is>
      </c>
      <c r="E3389" t="inlineStr">
        <is>
          <t>HALLSBERG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38489-2023</t>
        </is>
      </c>
      <c r="B3390" s="1" t="n">
        <v>45162</v>
      </c>
      <c r="C3390" s="1" t="n">
        <v>46132</v>
      </c>
      <c r="D3390" t="inlineStr">
        <is>
          <t>ÖREBRO LÄN</t>
        </is>
      </c>
      <c r="E3390" t="inlineStr">
        <is>
          <t>ÖREBRO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3037-2026</t>
        </is>
      </c>
      <c r="B3391" s="1" t="n">
        <v>46038.72572916667</v>
      </c>
      <c r="C3391" s="1" t="n">
        <v>46132</v>
      </c>
      <c r="D3391" t="inlineStr">
        <is>
          <t>ÖREBRO LÄN</t>
        </is>
      </c>
      <c r="E3391" t="inlineStr">
        <is>
          <t>HALLSBERG</t>
        </is>
      </c>
      <c r="F3391" t="inlineStr">
        <is>
          <t>Övriga Aktiebolag</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45038-2024</t>
        </is>
      </c>
      <c r="B3392" s="1" t="n">
        <v>45575.53331018519</v>
      </c>
      <c r="C3392" s="1" t="n">
        <v>46132</v>
      </c>
      <c r="D3392" t="inlineStr">
        <is>
          <t>ÖREBRO LÄN</t>
        </is>
      </c>
      <c r="E3392" t="inlineStr">
        <is>
          <t>LINDESBERG</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45046-2024</t>
        </is>
      </c>
      <c r="B3393" s="1" t="n">
        <v>45575.54489583334</v>
      </c>
      <c r="C3393" s="1" t="n">
        <v>46132</v>
      </c>
      <c r="D3393" t="inlineStr">
        <is>
          <t>ÖREBRO LÄN</t>
        </is>
      </c>
      <c r="E3393" t="inlineStr">
        <is>
          <t>LINDESBERG</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29607-2022</t>
        </is>
      </c>
      <c r="B3394" s="1" t="n">
        <v>44754.50530092593</v>
      </c>
      <c r="C3394" s="1" t="n">
        <v>46132</v>
      </c>
      <c r="D3394" t="inlineStr">
        <is>
          <t>ÖREBRO LÄN</t>
        </is>
      </c>
      <c r="E3394" t="inlineStr">
        <is>
          <t>DEGERFORS</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2970-2026</t>
        </is>
      </c>
      <c r="B3395" s="1" t="n">
        <v>46038.6202662037</v>
      </c>
      <c r="C3395" s="1" t="n">
        <v>46132</v>
      </c>
      <c r="D3395" t="inlineStr">
        <is>
          <t>ÖREBRO LÄN</t>
        </is>
      </c>
      <c r="E3395" t="inlineStr">
        <is>
          <t>ÖREBRO</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28955-2023</t>
        </is>
      </c>
      <c r="B3396" s="1" t="n">
        <v>45104</v>
      </c>
      <c r="C3396" s="1" t="n">
        <v>46132</v>
      </c>
      <c r="D3396" t="inlineStr">
        <is>
          <t>ÖREBRO LÄN</t>
        </is>
      </c>
      <c r="E3396" t="inlineStr">
        <is>
          <t>ASKERSUND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6240-2024</t>
        </is>
      </c>
      <c r="B3397" s="1" t="n">
        <v>45337</v>
      </c>
      <c r="C3397" s="1" t="n">
        <v>46132</v>
      </c>
      <c r="D3397" t="inlineStr">
        <is>
          <t>ÖREBRO LÄN</t>
        </is>
      </c>
      <c r="E3397" t="inlineStr">
        <is>
          <t>DEGERFORS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2911-2026</t>
        </is>
      </c>
      <c r="B3398" s="1" t="n">
        <v>46038.56614583333</v>
      </c>
      <c r="C3398" s="1" t="n">
        <v>46132</v>
      </c>
      <c r="D3398" t="inlineStr">
        <is>
          <t>ÖREBRO LÄN</t>
        </is>
      </c>
      <c r="E3398" t="inlineStr">
        <is>
          <t>KARLSKOGA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35188-2023</t>
        </is>
      </c>
      <c r="B3399" s="1" t="n">
        <v>45145.60365740741</v>
      </c>
      <c r="C3399" s="1" t="n">
        <v>46132</v>
      </c>
      <c r="D3399" t="inlineStr">
        <is>
          <t>ÖREBRO LÄN</t>
        </is>
      </c>
      <c r="E3399" t="inlineStr">
        <is>
          <t>HÄLLEFORS</t>
        </is>
      </c>
      <c r="F3399" t="inlineStr">
        <is>
          <t>Bergvik skog väst AB</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2704-2026</t>
        </is>
      </c>
      <c r="B3400" s="1" t="n">
        <v>46037.69133101852</v>
      </c>
      <c r="C3400" s="1" t="n">
        <v>46132</v>
      </c>
      <c r="D3400" t="inlineStr">
        <is>
          <t>ÖREBRO LÄN</t>
        </is>
      </c>
      <c r="E3400" t="inlineStr">
        <is>
          <t>LINDESBERG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70719-2021</t>
        </is>
      </c>
      <c r="B3401" s="1" t="n">
        <v>44537</v>
      </c>
      <c r="C3401" s="1" t="n">
        <v>46132</v>
      </c>
      <c r="D3401" t="inlineStr">
        <is>
          <t>ÖREBRO LÄN</t>
        </is>
      </c>
      <c r="E3401" t="inlineStr">
        <is>
          <t>ÖREBRO</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2859-2026</t>
        </is>
      </c>
      <c r="B3402" s="1" t="n">
        <v>46038.49269675926</v>
      </c>
      <c r="C3402" s="1" t="n">
        <v>46132</v>
      </c>
      <c r="D3402" t="inlineStr">
        <is>
          <t>ÖREBRO LÄN</t>
        </is>
      </c>
      <c r="E3402" t="inlineStr">
        <is>
          <t>LINDESBERG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38552-2023</t>
        </is>
      </c>
      <c r="B3403" s="1" t="n">
        <v>45162.5978125</v>
      </c>
      <c r="C3403" s="1" t="n">
        <v>46132</v>
      </c>
      <c r="D3403" t="inlineStr">
        <is>
          <t>ÖREBRO LÄN</t>
        </is>
      </c>
      <c r="E3403" t="inlineStr">
        <is>
          <t>LINDESBERG</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38573-2023</t>
        </is>
      </c>
      <c r="B3404" s="1" t="n">
        <v>45162.61837962963</v>
      </c>
      <c r="C3404" s="1" t="n">
        <v>46132</v>
      </c>
      <c r="D3404" t="inlineStr">
        <is>
          <t>ÖREBRO LÄN</t>
        </is>
      </c>
      <c r="E3404" t="inlineStr">
        <is>
          <t>ÖREBRO</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38633-2023</t>
        </is>
      </c>
      <c r="B3405" s="1" t="n">
        <v>45160</v>
      </c>
      <c r="C3405" s="1" t="n">
        <v>46132</v>
      </c>
      <c r="D3405" t="inlineStr">
        <is>
          <t>ÖREBRO LÄN</t>
        </is>
      </c>
      <c r="E3405" t="inlineStr">
        <is>
          <t>LAXÅ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4757-2024</t>
        </is>
      </c>
      <c r="B3406" s="1" t="n">
        <v>45328</v>
      </c>
      <c r="C3406" s="1" t="n">
        <v>46132</v>
      </c>
      <c r="D3406" t="inlineStr">
        <is>
          <t>ÖREBRO LÄN</t>
        </is>
      </c>
      <c r="E3406" t="inlineStr">
        <is>
          <t>ÖREBRO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64060-2023</t>
        </is>
      </c>
      <c r="B3407" s="1" t="n">
        <v>45279.35636574074</v>
      </c>
      <c r="C3407" s="1" t="n">
        <v>46132</v>
      </c>
      <c r="D3407" t="inlineStr">
        <is>
          <t>ÖREBRO LÄN</t>
        </is>
      </c>
      <c r="E3407" t="inlineStr">
        <is>
          <t>KARLSKOGA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3031-2026</t>
        </is>
      </c>
      <c r="B3408" s="1" t="n">
        <v>46038.71271990741</v>
      </c>
      <c r="C3408" s="1" t="n">
        <v>46132</v>
      </c>
      <c r="D3408" t="inlineStr">
        <is>
          <t>ÖREBRO LÄN</t>
        </is>
      </c>
      <c r="E3408" t="inlineStr">
        <is>
          <t>ÖREBRO</t>
        </is>
      </c>
      <c r="F3408" t="inlineStr">
        <is>
          <t>Övriga Aktiebolag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3033-2026</t>
        </is>
      </c>
      <c r="B3409" s="1" t="n">
        <v>46038.71920138889</v>
      </c>
      <c r="C3409" s="1" t="n">
        <v>46132</v>
      </c>
      <c r="D3409" t="inlineStr">
        <is>
          <t>ÖREBRO LÄN</t>
        </is>
      </c>
      <c r="E3409" t="inlineStr">
        <is>
          <t>ÖREBRO</t>
        </is>
      </c>
      <c r="F3409" t="inlineStr">
        <is>
          <t>Övriga Aktiebolag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2667-2026</t>
        </is>
      </c>
      <c r="B3410" s="1" t="n">
        <v>46037.64480324074</v>
      </c>
      <c r="C3410" s="1" t="n">
        <v>46132</v>
      </c>
      <c r="D3410" t="inlineStr">
        <is>
          <t>ÖREBRO LÄN</t>
        </is>
      </c>
      <c r="E3410" t="inlineStr">
        <is>
          <t>LJUSNARSBERG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64084-2023</t>
        </is>
      </c>
      <c r="B3411" s="1" t="n">
        <v>45279</v>
      </c>
      <c r="C3411" s="1" t="n">
        <v>46132</v>
      </c>
      <c r="D3411" t="inlineStr">
        <is>
          <t>ÖREBRO LÄN</t>
        </is>
      </c>
      <c r="E3411" t="inlineStr">
        <is>
          <t>LINDESBERG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2929-2026</t>
        </is>
      </c>
      <c r="B3412" s="1" t="n">
        <v>46038.58241898148</v>
      </c>
      <c r="C3412" s="1" t="n">
        <v>46132</v>
      </c>
      <c r="D3412" t="inlineStr">
        <is>
          <t>ÖREBRO LÄN</t>
        </is>
      </c>
      <c r="E3412" t="inlineStr">
        <is>
          <t>LINDESBERG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2902-2026</t>
        </is>
      </c>
      <c r="B3413" s="1" t="n">
        <v>46038.55849537037</v>
      </c>
      <c r="C3413" s="1" t="n">
        <v>46132</v>
      </c>
      <c r="D3413" t="inlineStr">
        <is>
          <t>ÖREBRO LÄN</t>
        </is>
      </c>
      <c r="E3413" t="inlineStr">
        <is>
          <t>LINDESBERG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33424-2024</t>
        </is>
      </c>
      <c r="B3414" s="1" t="n">
        <v>45519.51627314815</v>
      </c>
      <c r="C3414" s="1" t="n">
        <v>46132</v>
      </c>
      <c r="D3414" t="inlineStr">
        <is>
          <t>ÖREBRO LÄN</t>
        </is>
      </c>
      <c r="E3414" t="inlineStr">
        <is>
          <t>LINDESBERG</t>
        </is>
      </c>
      <c r="F3414" t="inlineStr">
        <is>
          <t>Sveaskog</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33427-2024</t>
        </is>
      </c>
      <c r="B3415" s="1" t="n">
        <v>45519.52232638889</v>
      </c>
      <c r="C3415" s="1" t="n">
        <v>46132</v>
      </c>
      <c r="D3415" t="inlineStr">
        <is>
          <t>ÖREBRO LÄN</t>
        </is>
      </c>
      <c r="E3415" t="inlineStr">
        <is>
          <t>LINDESBERG</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2949-2026</t>
        </is>
      </c>
      <c r="B3416" s="1" t="n">
        <v>46038.59640046296</v>
      </c>
      <c r="C3416" s="1" t="n">
        <v>46132</v>
      </c>
      <c r="D3416" t="inlineStr">
        <is>
          <t>ÖREBRO LÄN</t>
        </is>
      </c>
      <c r="E3416" t="inlineStr">
        <is>
          <t>LINDESBERG</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67746-2021</t>
        </is>
      </c>
      <c r="B3417" s="1" t="n">
        <v>44524</v>
      </c>
      <c r="C3417" s="1" t="n">
        <v>46132</v>
      </c>
      <c r="D3417" t="inlineStr">
        <is>
          <t>ÖREBRO LÄN</t>
        </is>
      </c>
      <c r="E3417" t="inlineStr">
        <is>
          <t>LJUSNARSBERG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3042-2026</t>
        </is>
      </c>
      <c r="B3418" s="1" t="n">
        <v>46038.73467592592</v>
      </c>
      <c r="C3418" s="1" t="n">
        <v>46132</v>
      </c>
      <c r="D3418" t="inlineStr">
        <is>
          <t>ÖREBRO LÄN</t>
        </is>
      </c>
      <c r="E3418" t="inlineStr">
        <is>
          <t>ÖREBRO</t>
        </is>
      </c>
      <c r="F3418" t="inlineStr">
        <is>
          <t>Övriga Aktiebolag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36509-2024</t>
        </is>
      </c>
      <c r="B3419" s="1" t="n">
        <v>45537.42240740741</v>
      </c>
      <c r="C3419" s="1" t="n">
        <v>46132</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2969-2026</t>
        </is>
      </c>
      <c r="B3420" s="1" t="n">
        <v>46038.61912037037</v>
      </c>
      <c r="C3420" s="1" t="n">
        <v>46132</v>
      </c>
      <c r="D3420" t="inlineStr">
        <is>
          <t>ÖREBRO LÄN</t>
        </is>
      </c>
      <c r="E3420" t="inlineStr">
        <is>
          <t>LINDESBERG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29894-2023</t>
        </is>
      </c>
      <c r="B3421" s="1" t="n">
        <v>45107</v>
      </c>
      <c r="C3421" s="1" t="n">
        <v>46132</v>
      </c>
      <c r="D3421" t="inlineStr">
        <is>
          <t>ÖREBRO LÄN</t>
        </is>
      </c>
      <c r="E3421" t="inlineStr">
        <is>
          <t>LINDESBERG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48140-2024</t>
        </is>
      </c>
      <c r="B3422" s="1" t="n">
        <v>45589.66474537037</v>
      </c>
      <c r="C3422" s="1" t="n">
        <v>46132</v>
      </c>
      <c r="D3422" t="inlineStr">
        <is>
          <t>ÖREBRO LÄN</t>
        </is>
      </c>
      <c r="E3422" t="inlineStr">
        <is>
          <t>ÖREBRO</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2658-2023</t>
        </is>
      </c>
      <c r="B3423" s="1" t="n">
        <v>44944</v>
      </c>
      <c r="C3423" s="1" t="n">
        <v>46132</v>
      </c>
      <c r="D3423" t="inlineStr">
        <is>
          <t>ÖREBRO LÄN</t>
        </is>
      </c>
      <c r="E3423" t="inlineStr">
        <is>
          <t>ÖREBRO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74186-2021</t>
        </is>
      </c>
      <c r="B3424" s="1" t="n">
        <v>44558</v>
      </c>
      <c r="C3424" s="1" t="n">
        <v>46132</v>
      </c>
      <c r="D3424" t="inlineStr">
        <is>
          <t>ÖREBRO LÄN</t>
        </is>
      </c>
      <c r="E3424" t="inlineStr">
        <is>
          <t>ASKERSUND</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23807-2023</t>
        </is>
      </c>
      <c r="B3425" s="1" t="n">
        <v>45078</v>
      </c>
      <c r="C3425" s="1" t="n">
        <v>46132</v>
      </c>
      <c r="D3425" t="inlineStr">
        <is>
          <t>ÖREBRO LÄN</t>
        </is>
      </c>
      <c r="E3425" t="inlineStr">
        <is>
          <t>ASKERSUND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11565-2023</t>
        </is>
      </c>
      <c r="B3426" s="1" t="n">
        <v>44994</v>
      </c>
      <c r="C3426" s="1" t="n">
        <v>46132</v>
      </c>
      <c r="D3426" t="inlineStr">
        <is>
          <t>ÖREBRO LÄN</t>
        </is>
      </c>
      <c r="E3426" t="inlineStr">
        <is>
          <t>ÖREBRO</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3227-2026</t>
        </is>
      </c>
      <c r="B3427" s="1" t="n">
        <v>46041.54181712963</v>
      </c>
      <c r="C3427" s="1" t="n">
        <v>46132</v>
      </c>
      <c r="D3427" t="inlineStr">
        <is>
          <t>ÖREBRO LÄN</t>
        </is>
      </c>
      <c r="E3427" t="inlineStr">
        <is>
          <t>LINDESBERG</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16736-2023</t>
        </is>
      </c>
      <c r="B3428" s="1" t="n">
        <v>45030.72328703704</v>
      </c>
      <c r="C3428" s="1" t="n">
        <v>46132</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46222-2024</t>
        </is>
      </c>
      <c r="B3429" s="1" t="n">
        <v>45581.56938657408</v>
      </c>
      <c r="C3429" s="1" t="n">
        <v>46132</v>
      </c>
      <c r="D3429" t="inlineStr">
        <is>
          <t>ÖREBRO LÄN</t>
        </is>
      </c>
      <c r="E3429" t="inlineStr">
        <is>
          <t>DEGERFORS</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3526-2026</t>
        </is>
      </c>
      <c r="B3430" s="1" t="n">
        <v>46042.60760416667</v>
      </c>
      <c r="C3430" s="1" t="n">
        <v>46132</v>
      </c>
      <c r="D3430" t="inlineStr">
        <is>
          <t>ÖREBRO LÄN</t>
        </is>
      </c>
      <c r="E3430" t="inlineStr">
        <is>
          <t>ASKERSUND</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2630-2023</t>
        </is>
      </c>
      <c r="B3431" s="1" t="n">
        <v>44944.39105324074</v>
      </c>
      <c r="C3431" s="1" t="n">
        <v>46132</v>
      </c>
      <c r="D3431" t="inlineStr">
        <is>
          <t>ÖREBRO LÄN</t>
        </is>
      </c>
      <c r="E3431" t="inlineStr">
        <is>
          <t>ÖREBRO</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14676-2024</t>
        </is>
      </c>
      <c r="B3432" s="1" t="n">
        <v>45397</v>
      </c>
      <c r="C3432" s="1" t="n">
        <v>46132</v>
      </c>
      <c r="D3432" t="inlineStr">
        <is>
          <t>ÖREBRO LÄN</t>
        </is>
      </c>
      <c r="E3432" t="inlineStr">
        <is>
          <t>HALLSBERG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9663-2023</t>
        </is>
      </c>
      <c r="B3433" s="1" t="n">
        <v>44978</v>
      </c>
      <c r="C3433" s="1" t="n">
        <v>46132</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3111-2026</t>
        </is>
      </c>
      <c r="B3434" s="1" t="n">
        <v>46041.36004629629</v>
      </c>
      <c r="C3434" s="1" t="n">
        <v>46132</v>
      </c>
      <c r="D3434" t="inlineStr">
        <is>
          <t>ÖREBRO LÄN</t>
        </is>
      </c>
      <c r="E3434" t="inlineStr">
        <is>
          <t>ÖREBRO</t>
        </is>
      </c>
      <c r="F3434" t="inlineStr">
        <is>
          <t>Övriga Aktiebolag</t>
        </is>
      </c>
      <c r="G3434" t="n">
        <v>8.6</v>
      </c>
      <c r="H3434" t="n">
        <v>0</v>
      </c>
      <c r="I3434" t="n">
        <v>0</v>
      </c>
      <c r="J3434" t="n">
        <v>0</v>
      </c>
      <c r="K3434" t="n">
        <v>0</v>
      </c>
      <c r="L3434" t="n">
        <v>0</v>
      </c>
      <c r="M3434" t="n">
        <v>0</v>
      </c>
      <c r="N3434" t="n">
        <v>0</v>
      </c>
      <c r="O3434" t="n">
        <v>0</v>
      </c>
      <c r="P3434" t="n">
        <v>0</v>
      </c>
      <c r="Q3434" t="n">
        <v>0</v>
      </c>
      <c r="R3434" s="2" t="inlineStr"/>
    </row>
    <row r="3435" ht="15" customHeight="1">
      <c r="A3435" t="inlineStr">
        <is>
          <t>A 14215-2024</t>
        </is>
      </c>
      <c r="B3435" s="1" t="n">
        <v>45393</v>
      </c>
      <c r="C3435" s="1" t="n">
        <v>46132</v>
      </c>
      <c r="D3435" t="inlineStr">
        <is>
          <t>ÖREBRO LÄN</t>
        </is>
      </c>
      <c r="E3435" t="inlineStr">
        <is>
          <t>KARLSKOGA</t>
        </is>
      </c>
      <c r="F3435" t="inlineStr">
        <is>
          <t>Kommuner</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3543-2026</t>
        </is>
      </c>
      <c r="B3436" s="1" t="n">
        <v>46042.63996527778</v>
      </c>
      <c r="C3436" s="1" t="n">
        <v>46132</v>
      </c>
      <c r="D3436" t="inlineStr">
        <is>
          <t>ÖREBRO LÄN</t>
        </is>
      </c>
      <c r="E3436" t="inlineStr">
        <is>
          <t>ASKERSUND</t>
        </is>
      </c>
      <c r="G3436" t="n">
        <v>10.3</v>
      </c>
      <c r="H3436" t="n">
        <v>0</v>
      </c>
      <c r="I3436" t="n">
        <v>0</v>
      </c>
      <c r="J3436" t="n">
        <v>0</v>
      </c>
      <c r="K3436" t="n">
        <v>0</v>
      </c>
      <c r="L3436" t="n">
        <v>0</v>
      </c>
      <c r="M3436" t="n">
        <v>0</v>
      </c>
      <c r="N3436" t="n">
        <v>0</v>
      </c>
      <c r="O3436" t="n">
        <v>0</v>
      </c>
      <c r="P3436" t="n">
        <v>0</v>
      </c>
      <c r="Q3436" t="n">
        <v>0</v>
      </c>
      <c r="R3436" s="2" t="inlineStr"/>
    </row>
    <row r="3437" ht="15" customHeight="1">
      <c r="A3437" t="inlineStr">
        <is>
          <t>A 3551-2026</t>
        </is>
      </c>
      <c r="B3437" s="1" t="n">
        <v>46042.64711805555</v>
      </c>
      <c r="C3437" s="1" t="n">
        <v>46132</v>
      </c>
      <c r="D3437" t="inlineStr">
        <is>
          <t>ÖREBRO LÄN</t>
        </is>
      </c>
      <c r="E3437" t="inlineStr">
        <is>
          <t>ASKERSUND</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5228-2023</t>
        </is>
      </c>
      <c r="B3438" s="1" t="n">
        <v>44959</v>
      </c>
      <c r="C3438" s="1" t="n">
        <v>46132</v>
      </c>
      <c r="D3438" t="inlineStr">
        <is>
          <t>ÖREBRO LÄN</t>
        </is>
      </c>
      <c r="E3438" t="inlineStr">
        <is>
          <t>ASKERSUND</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11559-2024</t>
        </is>
      </c>
      <c r="B3439" s="1" t="n">
        <v>45373.30434027778</v>
      </c>
      <c r="C3439" s="1" t="n">
        <v>46132</v>
      </c>
      <c r="D3439" t="inlineStr">
        <is>
          <t>ÖREBRO LÄN</t>
        </is>
      </c>
      <c r="E3439" t="inlineStr">
        <is>
          <t>LINDESBERG</t>
        </is>
      </c>
      <c r="F3439" t="inlineStr">
        <is>
          <t>BillerudKorsnäs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16642-2023</t>
        </is>
      </c>
      <c r="B3440" s="1" t="n">
        <v>45030</v>
      </c>
      <c r="C3440" s="1" t="n">
        <v>46132</v>
      </c>
      <c r="D3440" t="inlineStr">
        <is>
          <t>ÖREBRO LÄN</t>
        </is>
      </c>
      <c r="E3440" t="inlineStr">
        <is>
          <t>ASKERSUND</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62679-2022</t>
        </is>
      </c>
      <c r="B3441" s="1" t="n">
        <v>44917</v>
      </c>
      <c r="C3441" s="1" t="n">
        <v>46132</v>
      </c>
      <c r="D3441" t="inlineStr">
        <is>
          <t>ÖREBRO LÄN</t>
        </is>
      </c>
      <c r="E3441" t="inlineStr">
        <is>
          <t>LJUSNARSBERG</t>
        </is>
      </c>
      <c r="F3441" t="inlineStr">
        <is>
          <t>Bergvik skog väst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1118-2026</t>
        </is>
      </c>
      <c r="B3442" s="1" t="n">
        <v>46030</v>
      </c>
      <c r="C3442" s="1" t="n">
        <v>46132</v>
      </c>
      <c r="D3442" t="inlineStr">
        <is>
          <t>ÖREBRO LÄN</t>
        </is>
      </c>
      <c r="E3442" t="inlineStr">
        <is>
          <t>ASKERSUND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3252-2026</t>
        </is>
      </c>
      <c r="B3443" s="1" t="n">
        <v>46041.58626157408</v>
      </c>
      <c r="C3443" s="1" t="n">
        <v>46132</v>
      </c>
      <c r="D3443" t="inlineStr">
        <is>
          <t>ÖREBRO LÄN</t>
        </is>
      </c>
      <c r="E3443" t="inlineStr">
        <is>
          <t>ÖREBRO</t>
        </is>
      </c>
      <c r="F3443" t="inlineStr">
        <is>
          <t>Övriga Aktiebolag</t>
        </is>
      </c>
      <c r="G3443" t="n">
        <v>9.199999999999999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3315-2026</t>
        </is>
      </c>
      <c r="B3444" s="1" t="n">
        <v>46041.68443287037</v>
      </c>
      <c r="C3444" s="1" t="n">
        <v>46132</v>
      </c>
      <c r="D3444" t="inlineStr">
        <is>
          <t>ÖREBRO LÄN</t>
        </is>
      </c>
      <c r="E3444" t="inlineStr">
        <is>
          <t>LINDESBERG</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3236-2026</t>
        </is>
      </c>
      <c r="B3445" s="1" t="n">
        <v>46041.56473379629</v>
      </c>
      <c r="C3445" s="1" t="n">
        <v>46132</v>
      </c>
      <c r="D3445" t="inlineStr">
        <is>
          <t>ÖREBRO LÄN</t>
        </is>
      </c>
      <c r="E3445" t="inlineStr">
        <is>
          <t>HALLSBERG</t>
        </is>
      </c>
      <c r="F3445" t="inlineStr">
        <is>
          <t>Kyrkan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3259-2026</t>
        </is>
      </c>
      <c r="B3446" s="1" t="n">
        <v>46041.59275462963</v>
      </c>
      <c r="C3446" s="1" t="n">
        <v>46132</v>
      </c>
      <c r="D3446" t="inlineStr">
        <is>
          <t>ÖREBRO LÄN</t>
        </is>
      </c>
      <c r="E3446" t="inlineStr">
        <is>
          <t>HALLSBERG</t>
        </is>
      </c>
      <c r="F3446" t="inlineStr">
        <is>
          <t>Kyrkan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30015-2023</t>
        </is>
      </c>
      <c r="B3447" s="1" t="n">
        <v>45109</v>
      </c>
      <c r="C3447" s="1" t="n">
        <v>46132</v>
      </c>
      <c r="D3447" t="inlineStr">
        <is>
          <t>ÖREBRO LÄN</t>
        </is>
      </c>
      <c r="E3447" t="inlineStr">
        <is>
          <t>ÖREBRO</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56394-2024</t>
        </is>
      </c>
      <c r="B3448" s="1" t="n">
        <v>45625.34609953704</v>
      </c>
      <c r="C3448" s="1" t="n">
        <v>46132</v>
      </c>
      <c r="D3448" t="inlineStr">
        <is>
          <t>ÖREBRO LÄN</t>
        </is>
      </c>
      <c r="E3448" t="inlineStr">
        <is>
          <t>ASKERSUND</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38010-2024</t>
        </is>
      </c>
      <c r="B3449" s="1" t="n">
        <v>45544.62276620371</v>
      </c>
      <c r="C3449" s="1" t="n">
        <v>46132</v>
      </c>
      <c r="D3449" t="inlineStr">
        <is>
          <t>ÖREBRO LÄN</t>
        </is>
      </c>
      <c r="E3449" t="inlineStr">
        <is>
          <t>HÄLLEFORS</t>
        </is>
      </c>
      <c r="G3449" t="n">
        <v>22.7</v>
      </c>
      <c r="H3449" t="n">
        <v>0</v>
      </c>
      <c r="I3449" t="n">
        <v>0</v>
      </c>
      <c r="J3449" t="n">
        <v>0</v>
      </c>
      <c r="K3449" t="n">
        <v>0</v>
      </c>
      <c r="L3449" t="n">
        <v>0</v>
      </c>
      <c r="M3449" t="n">
        <v>0</v>
      </c>
      <c r="N3449" t="n">
        <v>0</v>
      </c>
      <c r="O3449" t="n">
        <v>0</v>
      </c>
      <c r="P3449" t="n">
        <v>0</v>
      </c>
      <c r="Q3449" t="n">
        <v>0</v>
      </c>
      <c r="R3449" s="2" t="inlineStr"/>
    </row>
    <row r="3450" ht="15" customHeight="1">
      <c r="A3450" t="inlineStr">
        <is>
          <t>A 1119-2026</t>
        </is>
      </c>
      <c r="B3450" s="1" t="n">
        <v>46030</v>
      </c>
      <c r="C3450" s="1" t="n">
        <v>46132</v>
      </c>
      <c r="D3450" t="inlineStr">
        <is>
          <t>ÖREBRO LÄN</t>
        </is>
      </c>
      <c r="E3450" t="inlineStr">
        <is>
          <t>ASKERSUND</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13472-2023</t>
        </is>
      </c>
      <c r="B3451" s="1" t="n">
        <v>45005</v>
      </c>
      <c r="C3451" s="1" t="n">
        <v>46132</v>
      </c>
      <c r="D3451" t="inlineStr">
        <is>
          <t>ÖREBRO LÄN</t>
        </is>
      </c>
      <c r="E3451" t="inlineStr">
        <is>
          <t>LINDESBERG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52284-2024</t>
        </is>
      </c>
      <c r="B3452" s="1" t="n">
        <v>45608</v>
      </c>
      <c r="C3452" s="1" t="n">
        <v>46132</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37968-2024</t>
        </is>
      </c>
      <c r="B3453" s="1" t="n">
        <v>45544</v>
      </c>
      <c r="C3453" s="1" t="n">
        <v>46132</v>
      </c>
      <c r="D3453" t="inlineStr">
        <is>
          <t>ÖREBRO LÄN</t>
        </is>
      </c>
      <c r="E3453" t="inlineStr">
        <is>
          <t>ÖREBRO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3365-2026</t>
        </is>
      </c>
      <c r="B3454" s="1" t="n">
        <v>46042.33357638889</v>
      </c>
      <c r="C3454" s="1" t="n">
        <v>46132</v>
      </c>
      <c r="D3454" t="inlineStr">
        <is>
          <t>ÖREBRO LÄN</t>
        </is>
      </c>
      <c r="E3454" t="inlineStr">
        <is>
          <t>HÄLLEFORS</t>
        </is>
      </c>
      <c r="F3454" t="inlineStr">
        <is>
          <t>Bergvik skog väst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1130-2026</t>
        </is>
      </c>
      <c r="B3455" s="1" t="n">
        <v>46030</v>
      </c>
      <c r="C3455" s="1" t="n">
        <v>46132</v>
      </c>
      <c r="D3455" t="inlineStr">
        <is>
          <t>ÖREBRO LÄN</t>
        </is>
      </c>
      <c r="E3455" t="inlineStr">
        <is>
          <t>ASKERSUND</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45664-2025</t>
        </is>
      </c>
      <c r="B3456" s="1" t="n">
        <v>45923.34690972222</v>
      </c>
      <c r="C3456" s="1" t="n">
        <v>46132</v>
      </c>
      <c r="D3456" t="inlineStr">
        <is>
          <t>ÖREBRO LÄN</t>
        </is>
      </c>
      <c r="E3456" t="inlineStr">
        <is>
          <t>KARLSKOGA</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3235-2026</t>
        </is>
      </c>
      <c r="B3457" s="1" t="n">
        <v>46041.56409722222</v>
      </c>
      <c r="C3457" s="1" t="n">
        <v>46132</v>
      </c>
      <c r="D3457" t="inlineStr">
        <is>
          <t>ÖREBRO LÄN</t>
        </is>
      </c>
      <c r="E3457" t="inlineStr">
        <is>
          <t>HALLSBERG</t>
        </is>
      </c>
      <c r="F3457" t="inlineStr">
        <is>
          <t>Kyrkan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3257-2026</t>
        </is>
      </c>
      <c r="B3458" s="1" t="n">
        <v>46041.59184027778</v>
      </c>
      <c r="C3458" s="1" t="n">
        <v>46132</v>
      </c>
      <c r="D3458" t="inlineStr">
        <is>
          <t>ÖREBRO LÄN</t>
        </is>
      </c>
      <c r="E3458" t="inlineStr">
        <is>
          <t>HALLSBERG</t>
        </is>
      </c>
      <c r="F3458" t="inlineStr">
        <is>
          <t>Kyrkan</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38613-2024</t>
        </is>
      </c>
      <c r="B3459" s="1" t="n">
        <v>45546.68743055555</v>
      </c>
      <c r="C3459" s="1" t="n">
        <v>46132</v>
      </c>
      <c r="D3459" t="inlineStr">
        <is>
          <t>ÖREBRO LÄN</t>
        </is>
      </c>
      <c r="E3459" t="inlineStr">
        <is>
          <t>LINDESBERG</t>
        </is>
      </c>
      <c r="F3459" t="inlineStr">
        <is>
          <t>Kyrkan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46055-2024</t>
        </is>
      </c>
      <c r="B3460" s="1" t="n">
        <v>45580</v>
      </c>
      <c r="C3460" s="1" t="n">
        <v>46132</v>
      </c>
      <c r="D3460" t="inlineStr">
        <is>
          <t>ÖREBRO LÄN</t>
        </is>
      </c>
      <c r="E3460" t="inlineStr">
        <is>
          <t>HALLSBERG</t>
        </is>
      </c>
      <c r="F3460" t="inlineStr">
        <is>
          <t>Övriga Aktiebolag</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37451-2023</t>
        </is>
      </c>
      <c r="B3461" s="1" t="n">
        <v>45156.70214120371</v>
      </c>
      <c r="C3461" s="1" t="n">
        <v>46132</v>
      </c>
      <c r="D3461" t="inlineStr">
        <is>
          <t>ÖREBRO LÄN</t>
        </is>
      </c>
      <c r="E3461" t="inlineStr">
        <is>
          <t>HALLSBERG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3686-2026</t>
        </is>
      </c>
      <c r="B3462" s="1" t="n">
        <v>46043.44011574074</v>
      </c>
      <c r="C3462" s="1" t="n">
        <v>46132</v>
      </c>
      <c r="D3462" t="inlineStr">
        <is>
          <t>ÖREBRO LÄN</t>
        </is>
      </c>
      <c r="E3462" t="inlineStr">
        <is>
          <t>NORA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5044-2022</t>
        </is>
      </c>
      <c r="B3463" s="1" t="n">
        <v>44593</v>
      </c>
      <c r="C3463" s="1" t="n">
        <v>46132</v>
      </c>
      <c r="D3463" t="inlineStr">
        <is>
          <t>ÖREBRO LÄN</t>
        </is>
      </c>
      <c r="E3463" t="inlineStr">
        <is>
          <t>ASKERSUND</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3660-2026</t>
        </is>
      </c>
      <c r="B3464" s="1" t="n">
        <v>46043.38744212963</v>
      </c>
      <c r="C3464" s="1" t="n">
        <v>46132</v>
      </c>
      <c r="D3464" t="inlineStr">
        <is>
          <t>ÖREBRO LÄN</t>
        </is>
      </c>
      <c r="E3464" t="inlineStr">
        <is>
          <t>LINDESBERG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33929-2023</t>
        </is>
      </c>
      <c r="B3465" s="1" t="n">
        <v>45134.49677083334</v>
      </c>
      <c r="C3465" s="1" t="n">
        <v>46132</v>
      </c>
      <c r="D3465" t="inlineStr">
        <is>
          <t>ÖREBRO LÄN</t>
        </is>
      </c>
      <c r="E3465" t="inlineStr">
        <is>
          <t>LAXÅ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30592-2024</t>
        </is>
      </c>
      <c r="B3466" s="1" t="n">
        <v>45493.31666666667</v>
      </c>
      <c r="C3466" s="1" t="n">
        <v>46132</v>
      </c>
      <c r="D3466" t="inlineStr">
        <is>
          <t>ÖREBRO LÄN</t>
        </is>
      </c>
      <c r="E3466" t="inlineStr">
        <is>
          <t>HÄLLEFORS</t>
        </is>
      </c>
      <c r="G3466" t="n">
        <v>7.1</v>
      </c>
      <c r="H3466" t="n">
        <v>0</v>
      </c>
      <c r="I3466" t="n">
        <v>0</v>
      </c>
      <c r="J3466" t="n">
        <v>0</v>
      </c>
      <c r="K3466" t="n">
        <v>0</v>
      </c>
      <c r="L3466" t="n">
        <v>0</v>
      </c>
      <c r="M3466" t="n">
        <v>0</v>
      </c>
      <c r="N3466" t="n">
        <v>0</v>
      </c>
      <c r="O3466" t="n">
        <v>0</v>
      </c>
      <c r="P3466" t="n">
        <v>0</v>
      </c>
      <c r="Q3466" t="n">
        <v>0</v>
      </c>
      <c r="R3466" s="2" t="inlineStr"/>
    </row>
    <row r="3467" ht="15" customHeight="1">
      <c r="A3467" t="inlineStr">
        <is>
          <t>A 4013-2026</t>
        </is>
      </c>
      <c r="B3467" s="1" t="n">
        <v>46044.41157407407</v>
      </c>
      <c r="C3467" s="1" t="n">
        <v>46132</v>
      </c>
      <c r="D3467" t="inlineStr">
        <is>
          <t>ÖREBRO LÄN</t>
        </is>
      </c>
      <c r="E3467" t="inlineStr">
        <is>
          <t>LJUSNARSBERG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36516-2023</t>
        </is>
      </c>
      <c r="B3468" s="1" t="n">
        <v>45153</v>
      </c>
      <c r="C3468" s="1" t="n">
        <v>46132</v>
      </c>
      <c r="D3468" t="inlineStr">
        <is>
          <t>ÖREBRO LÄN</t>
        </is>
      </c>
      <c r="E3468" t="inlineStr">
        <is>
          <t>LEKEBERG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31326-2024</t>
        </is>
      </c>
      <c r="B3469" s="1" t="n">
        <v>45504.5934375</v>
      </c>
      <c r="C3469" s="1" t="n">
        <v>46132</v>
      </c>
      <c r="D3469" t="inlineStr">
        <is>
          <t>ÖREBRO LÄN</t>
        </is>
      </c>
      <c r="E3469" t="inlineStr">
        <is>
          <t>ÖREBRO</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33658-2024</t>
        </is>
      </c>
      <c r="B3470" s="1" t="n">
        <v>45520.46899305555</v>
      </c>
      <c r="C3470" s="1" t="n">
        <v>46132</v>
      </c>
      <c r="D3470" t="inlineStr">
        <is>
          <t>ÖREBRO LÄN</t>
        </is>
      </c>
      <c r="E3470" t="inlineStr">
        <is>
          <t>DEGERFORS</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3896-2026</t>
        </is>
      </c>
      <c r="B3471" s="1" t="n">
        <v>46043.68329861111</v>
      </c>
      <c r="C3471" s="1" t="n">
        <v>46132</v>
      </c>
      <c r="D3471" t="inlineStr">
        <is>
          <t>ÖREBRO LÄN</t>
        </is>
      </c>
      <c r="E3471" t="inlineStr">
        <is>
          <t>HALLSBERG</t>
        </is>
      </c>
      <c r="F3471" t="inlineStr">
        <is>
          <t>Övriga Aktiebolag</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3897-2026</t>
        </is>
      </c>
      <c r="B3472" s="1" t="n">
        <v>46043.68909722222</v>
      </c>
      <c r="C3472" s="1" t="n">
        <v>46132</v>
      </c>
      <c r="D3472" t="inlineStr">
        <is>
          <t>ÖREBRO LÄN</t>
        </is>
      </c>
      <c r="E3472" t="inlineStr">
        <is>
          <t>HALLSBERG</t>
        </is>
      </c>
      <c r="F3472" t="inlineStr">
        <is>
          <t>Övriga Aktiebolag</t>
        </is>
      </c>
      <c r="G3472" t="n">
        <v>11.3</v>
      </c>
      <c r="H3472" t="n">
        <v>0</v>
      </c>
      <c r="I3472" t="n">
        <v>0</v>
      </c>
      <c r="J3472" t="n">
        <v>0</v>
      </c>
      <c r="K3472" t="n">
        <v>0</v>
      </c>
      <c r="L3472" t="n">
        <v>0</v>
      </c>
      <c r="M3472" t="n">
        <v>0</v>
      </c>
      <c r="N3472" t="n">
        <v>0</v>
      </c>
      <c r="O3472" t="n">
        <v>0</v>
      </c>
      <c r="P3472" t="n">
        <v>0</v>
      </c>
      <c r="Q3472" t="n">
        <v>0</v>
      </c>
      <c r="R3472" s="2" t="inlineStr"/>
    </row>
    <row r="3473" ht="15" customHeight="1">
      <c r="A3473" t="inlineStr">
        <is>
          <t>A 4125-2026</t>
        </is>
      </c>
      <c r="B3473" s="1" t="n">
        <v>46044.61620370371</v>
      </c>
      <c r="C3473" s="1" t="n">
        <v>46132</v>
      </c>
      <c r="D3473" t="inlineStr">
        <is>
          <t>ÖREBRO LÄN</t>
        </is>
      </c>
      <c r="E3473" t="inlineStr">
        <is>
          <t>HÄLLEFORS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73500-2021</t>
        </is>
      </c>
      <c r="B3474" s="1" t="n">
        <v>44551</v>
      </c>
      <c r="C3474" s="1" t="n">
        <v>46132</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46082-2024</t>
        </is>
      </c>
      <c r="B3475" s="1" t="n">
        <v>45581</v>
      </c>
      <c r="C3475" s="1" t="n">
        <v>46132</v>
      </c>
      <c r="D3475" t="inlineStr">
        <is>
          <t>ÖREBRO LÄN</t>
        </is>
      </c>
      <c r="E3475" t="inlineStr">
        <is>
          <t>LJUSNARSBERG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56507-2021</t>
        </is>
      </c>
      <c r="B3476" s="1" t="n">
        <v>44480.58034722223</v>
      </c>
      <c r="C3476" s="1" t="n">
        <v>46132</v>
      </c>
      <c r="D3476" t="inlineStr">
        <is>
          <t>ÖREBRO LÄN</t>
        </is>
      </c>
      <c r="E3476" t="inlineStr">
        <is>
          <t>LINDESBERG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65194-2023</t>
        </is>
      </c>
      <c r="B3477" s="1" t="n">
        <v>45289</v>
      </c>
      <c r="C3477" s="1" t="n">
        <v>46132</v>
      </c>
      <c r="D3477" t="inlineStr">
        <is>
          <t>ÖREBRO LÄN</t>
        </is>
      </c>
      <c r="E3477" t="inlineStr">
        <is>
          <t>LINDESBERG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3659-2026</t>
        </is>
      </c>
      <c r="B3478" s="1" t="n">
        <v>46043</v>
      </c>
      <c r="C3478" s="1" t="n">
        <v>46132</v>
      </c>
      <c r="D3478" t="inlineStr">
        <is>
          <t>ÖREBRO LÄN</t>
        </is>
      </c>
      <c r="E3478" t="inlineStr">
        <is>
          <t>LINDESBERG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38233-2023</t>
        </is>
      </c>
      <c r="B3479" s="1" t="n">
        <v>45160</v>
      </c>
      <c r="C3479" s="1" t="n">
        <v>46132</v>
      </c>
      <c r="D3479" t="inlineStr">
        <is>
          <t>ÖREBRO LÄN</t>
        </is>
      </c>
      <c r="E3479" t="inlineStr">
        <is>
          <t>DEGERFORS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7774-2022</t>
        </is>
      </c>
      <c r="B3480" s="1" t="n">
        <v>44608.45725694444</v>
      </c>
      <c r="C3480" s="1" t="n">
        <v>46132</v>
      </c>
      <c r="D3480" t="inlineStr">
        <is>
          <t>ÖREBRO LÄN</t>
        </is>
      </c>
      <c r="E3480" t="inlineStr">
        <is>
          <t>HÄLLEFORS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12567-2023</t>
        </is>
      </c>
      <c r="B3481" s="1" t="n">
        <v>45000</v>
      </c>
      <c r="C3481" s="1" t="n">
        <v>46132</v>
      </c>
      <c r="D3481" t="inlineStr">
        <is>
          <t>ÖREBRO LÄN</t>
        </is>
      </c>
      <c r="E3481" t="inlineStr">
        <is>
          <t>ASKERSUND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289-2022</t>
        </is>
      </c>
      <c r="B3482" s="1" t="n">
        <v>44564</v>
      </c>
      <c r="C3482" s="1" t="n">
        <v>46132</v>
      </c>
      <c r="D3482" t="inlineStr">
        <is>
          <t>ÖREBRO LÄN</t>
        </is>
      </c>
      <c r="E3482" t="inlineStr">
        <is>
          <t>LJUSNARSBERG</t>
        </is>
      </c>
      <c r="F3482" t="inlineStr">
        <is>
          <t>Bergvik skog väst AB</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41193-2023</t>
        </is>
      </c>
      <c r="B3483" s="1" t="n">
        <v>45174</v>
      </c>
      <c r="C3483" s="1" t="n">
        <v>46132</v>
      </c>
      <c r="D3483" t="inlineStr">
        <is>
          <t>ÖREBRO LÄN</t>
        </is>
      </c>
      <c r="E3483" t="inlineStr">
        <is>
          <t>HÄLLEFORS</t>
        </is>
      </c>
      <c r="F3483" t="inlineStr">
        <is>
          <t>Bergvik skog väst AB</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47222-2024</t>
        </is>
      </c>
      <c r="B3484" s="1" t="n">
        <v>45586</v>
      </c>
      <c r="C3484" s="1" t="n">
        <v>46132</v>
      </c>
      <c r="D3484" t="inlineStr">
        <is>
          <t>ÖREBRO LÄN</t>
        </is>
      </c>
      <c r="E3484" t="inlineStr">
        <is>
          <t>KARLSKOGA</t>
        </is>
      </c>
      <c r="F3484" t="inlineStr">
        <is>
          <t>Sveaskog</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38288-2023</t>
        </is>
      </c>
      <c r="B3485" s="1" t="n">
        <v>45161.63891203704</v>
      </c>
      <c r="C3485" s="1" t="n">
        <v>46132</v>
      </c>
      <c r="D3485" t="inlineStr">
        <is>
          <t>ÖREBRO LÄN</t>
        </is>
      </c>
      <c r="E3485" t="inlineStr">
        <is>
          <t>LAXÅ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52072-2024</t>
        </is>
      </c>
      <c r="B3486" s="1" t="n">
        <v>45608</v>
      </c>
      <c r="C3486" s="1" t="n">
        <v>46132</v>
      </c>
      <c r="D3486" t="inlineStr">
        <is>
          <t>ÖREBRO LÄN</t>
        </is>
      </c>
      <c r="E3486" t="inlineStr">
        <is>
          <t>ASKERSUND</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9436-2023</t>
        </is>
      </c>
      <c r="B3487" s="1" t="n">
        <v>44981</v>
      </c>
      <c r="C3487" s="1" t="n">
        <v>46132</v>
      </c>
      <c r="D3487" t="inlineStr">
        <is>
          <t>ÖREBRO LÄN</t>
        </is>
      </c>
      <c r="E3487" t="inlineStr">
        <is>
          <t>LINDESBERG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3951-2026</t>
        </is>
      </c>
      <c r="B3488" s="1" t="n">
        <v>46044</v>
      </c>
      <c r="C3488" s="1" t="n">
        <v>46132</v>
      </c>
      <c r="D3488" t="inlineStr">
        <is>
          <t>ÖREBRO LÄN</t>
        </is>
      </c>
      <c r="E3488" t="inlineStr">
        <is>
          <t>LINDESBERG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39513-2024</t>
        </is>
      </c>
      <c r="B3489" s="1" t="n">
        <v>45551</v>
      </c>
      <c r="C3489" s="1" t="n">
        <v>46132</v>
      </c>
      <c r="D3489" t="inlineStr">
        <is>
          <t>ÖREBRO LÄN</t>
        </is>
      </c>
      <c r="E3489" t="inlineStr">
        <is>
          <t>HÄLLEFORS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3749-2026</t>
        </is>
      </c>
      <c r="B3490" s="1" t="n">
        <v>46043.54592592592</v>
      </c>
      <c r="C3490" s="1" t="n">
        <v>46132</v>
      </c>
      <c r="D3490" t="inlineStr">
        <is>
          <t>ÖREBRO LÄN</t>
        </is>
      </c>
      <c r="E3490" t="inlineStr">
        <is>
          <t>ASKERSUND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3863-2026</t>
        </is>
      </c>
      <c r="B3491" s="1" t="n">
        <v>46043.62747685185</v>
      </c>
      <c r="C3491" s="1" t="n">
        <v>46132</v>
      </c>
      <c r="D3491" t="inlineStr">
        <is>
          <t>ÖREBRO LÄN</t>
        </is>
      </c>
      <c r="E3491" t="inlineStr">
        <is>
          <t>HÄLLEFORS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3944-2026</t>
        </is>
      </c>
      <c r="B3492" s="1" t="n">
        <v>46043.93358796297</v>
      </c>
      <c r="C3492" s="1" t="n">
        <v>46132</v>
      </c>
      <c r="D3492" t="inlineStr">
        <is>
          <t>ÖREBRO LÄN</t>
        </is>
      </c>
      <c r="E3492" t="inlineStr">
        <is>
          <t>ÖREBRO</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3837-2026</t>
        </is>
      </c>
      <c r="B3493" s="1" t="n">
        <v>46043.59318287037</v>
      </c>
      <c r="C3493" s="1" t="n">
        <v>46132</v>
      </c>
      <c r="D3493" t="inlineStr">
        <is>
          <t>ÖREBRO LÄN</t>
        </is>
      </c>
      <c r="E3493" t="inlineStr">
        <is>
          <t>HÄLLEFORS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24820-2024</t>
        </is>
      </c>
      <c r="B3494" s="1" t="n">
        <v>45461.3465625</v>
      </c>
      <c r="C3494" s="1" t="n">
        <v>46132</v>
      </c>
      <c r="D3494" t="inlineStr">
        <is>
          <t>ÖREBRO LÄN</t>
        </is>
      </c>
      <c r="E3494" t="inlineStr">
        <is>
          <t>NORA</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36121-2023</t>
        </is>
      </c>
      <c r="B3495" s="1" t="n">
        <v>45148</v>
      </c>
      <c r="C3495" s="1" t="n">
        <v>46132</v>
      </c>
      <c r="D3495" t="inlineStr">
        <is>
          <t>ÖREBRO LÄN</t>
        </is>
      </c>
      <c r="E3495" t="inlineStr">
        <is>
          <t>LINDESBERG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26185-2024</t>
        </is>
      </c>
      <c r="B3496" s="1" t="n">
        <v>45468.56267361111</v>
      </c>
      <c r="C3496" s="1" t="n">
        <v>46132</v>
      </c>
      <c r="D3496" t="inlineStr">
        <is>
          <t>ÖREBRO LÄN</t>
        </is>
      </c>
      <c r="E3496" t="inlineStr">
        <is>
          <t>DEGERFORS</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59865-2021</t>
        </is>
      </c>
      <c r="B3497" s="1" t="n">
        <v>44494.59873842593</v>
      </c>
      <c r="C3497" s="1" t="n">
        <v>46132</v>
      </c>
      <c r="D3497" t="inlineStr">
        <is>
          <t>ÖREBRO LÄN</t>
        </is>
      </c>
      <c r="E3497" t="inlineStr">
        <is>
          <t>ASKERSUND</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1437-2024</t>
        </is>
      </c>
      <c r="B3498" s="1" t="n">
        <v>45303</v>
      </c>
      <c r="C3498" s="1" t="n">
        <v>46132</v>
      </c>
      <c r="D3498" t="inlineStr">
        <is>
          <t>ÖREBRO LÄN</t>
        </is>
      </c>
      <c r="E3498" t="inlineStr">
        <is>
          <t>ASKERSUND</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12573-2026</t>
        </is>
      </c>
      <c r="B3499" s="1" t="n">
        <v>46090.66447916667</v>
      </c>
      <c r="C3499" s="1" t="n">
        <v>46132</v>
      </c>
      <c r="D3499" t="inlineStr">
        <is>
          <t>ÖREBRO LÄN</t>
        </is>
      </c>
      <c r="E3499" t="inlineStr">
        <is>
          <t>NORA</t>
        </is>
      </c>
      <c r="G3499" t="n">
        <v>11.5</v>
      </c>
      <c r="H3499" t="n">
        <v>0</v>
      </c>
      <c r="I3499" t="n">
        <v>0</v>
      </c>
      <c r="J3499" t="n">
        <v>0</v>
      </c>
      <c r="K3499" t="n">
        <v>0</v>
      </c>
      <c r="L3499" t="n">
        <v>0</v>
      </c>
      <c r="M3499" t="n">
        <v>0</v>
      </c>
      <c r="N3499" t="n">
        <v>0</v>
      </c>
      <c r="O3499" t="n">
        <v>0</v>
      </c>
      <c r="P3499" t="n">
        <v>0</v>
      </c>
      <c r="Q3499" t="n">
        <v>0</v>
      </c>
      <c r="R3499" s="2" t="inlineStr"/>
    </row>
    <row r="3500" ht="15" customHeight="1">
      <c r="A3500" t="inlineStr">
        <is>
          <t>A 24629-2023</t>
        </is>
      </c>
      <c r="B3500" s="1" t="n">
        <v>45084.39814814815</v>
      </c>
      <c r="C3500" s="1" t="n">
        <v>46132</v>
      </c>
      <c r="D3500" t="inlineStr">
        <is>
          <t>ÖREBRO LÄN</t>
        </is>
      </c>
      <c r="E3500" t="inlineStr">
        <is>
          <t>HALLSBERG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34838-2023</t>
        </is>
      </c>
      <c r="B3501" s="1" t="n">
        <v>45141.76530092592</v>
      </c>
      <c r="C3501" s="1" t="n">
        <v>46132</v>
      </c>
      <c r="D3501" t="inlineStr">
        <is>
          <t>ÖREBRO LÄN</t>
        </is>
      </c>
      <c r="E3501" t="inlineStr">
        <is>
          <t>LINDESBERG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57639-2023</t>
        </is>
      </c>
      <c r="B3502" s="1" t="n">
        <v>45246</v>
      </c>
      <c r="C3502" s="1" t="n">
        <v>46132</v>
      </c>
      <c r="D3502" t="inlineStr">
        <is>
          <t>ÖREBRO LÄN</t>
        </is>
      </c>
      <c r="E3502" t="inlineStr">
        <is>
          <t>NORA</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12547-2026</t>
        </is>
      </c>
      <c r="B3503" s="1" t="n">
        <v>46090.63141203704</v>
      </c>
      <c r="C3503" s="1" t="n">
        <v>46132</v>
      </c>
      <c r="D3503" t="inlineStr">
        <is>
          <t>ÖREBRO LÄN</t>
        </is>
      </c>
      <c r="E3503" t="inlineStr">
        <is>
          <t>LEKEBERG</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49709-2023</t>
        </is>
      </c>
      <c r="B3504" s="1" t="n">
        <v>45212</v>
      </c>
      <c r="C3504" s="1" t="n">
        <v>46132</v>
      </c>
      <c r="D3504" t="inlineStr">
        <is>
          <t>ÖREBRO LÄN</t>
        </is>
      </c>
      <c r="E3504" t="inlineStr">
        <is>
          <t>HÄLLEFORS</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4470-2022</t>
        </is>
      </c>
      <c r="B3505" s="1" t="n">
        <v>44589</v>
      </c>
      <c r="C3505" s="1" t="n">
        <v>46132</v>
      </c>
      <c r="D3505" t="inlineStr">
        <is>
          <t>ÖREBRO LÄN</t>
        </is>
      </c>
      <c r="E3505" t="inlineStr">
        <is>
          <t>LEKEBERG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31024-2023</t>
        </is>
      </c>
      <c r="B3506" s="1" t="n">
        <v>45113</v>
      </c>
      <c r="C3506" s="1" t="n">
        <v>46132</v>
      </c>
      <c r="D3506" t="inlineStr">
        <is>
          <t>ÖREBRO LÄN</t>
        </is>
      </c>
      <c r="E3506" t="inlineStr">
        <is>
          <t>LINDESBERG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46792-2023</t>
        </is>
      </c>
      <c r="B3507" s="1" t="n">
        <v>45198</v>
      </c>
      <c r="C3507" s="1" t="n">
        <v>46132</v>
      </c>
      <c r="D3507" t="inlineStr">
        <is>
          <t>ÖREBRO LÄN</t>
        </is>
      </c>
      <c r="E3507" t="inlineStr">
        <is>
          <t>HALLSBERG</t>
        </is>
      </c>
      <c r="F3507" t="inlineStr">
        <is>
          <t>Allmännings- och besparingsskogar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27935-2023</t>
        </is>
      </c>
      <c r="B3508" s="1" t="n">
        <v>45098.65641203704</v>
      </c>
      <c r="C3508" s="1" t="n">
        <v>46132</v>
      </c>
      <c r="D3508" t="inlineStr">
        <is>
          <t>ÖREBRO LÄN</t>
        </is>
      </c>
      <c r="E3508" t="inlineStr">
        <is>
          <t>HÄLLEFORS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13757-2025</t>
        </is>
      </c>
      <c r="B3509" s="1" t="n">
        <v>45737.41730324074</v>
      </c>
      <c r="C3509" s="1" t="n">
        <v>46132</v>
      </c>
      <c r="D3509" t="inlineStr">
        <is>
          <t>ÖREBRO LÄN</t>
        </is>
      </c>
      <c r="E3509" t="inlineStr">
        <is>
          <t>LEKEBERG</t>
        </is>
      </c>
      <c r="F3509" t="inlineStr">
        <is>
          <t>Sveaskog</t>
        </is>
      </c>
      <c r="G3509" t="n">
        <v>12.8</v>
      </c>
      <c r="H3509" t="n">
        <v>0</v>
      </c>
      <c r="I3509" t="n">
        <v>0</v>
      </c>
      <c r="J3509" t="n">
        <v>0</v>
      </c>
      <c r="K3509" t="n">
        <v>0</v>
      </c>
      <c r="L3509" t="n">
        <v>0</v>
      </c>
      <c r="M3509" t="n">
        <v>0</v>
      </c>
      <c r="N3509" t="n">
        <v>0</v>
      </c>
      <c r="O3509" t="n">
        <v>0</v>
      </c>
      <c r="P3509" t="n">
        <v>0</v>
      </c>
      <c r="Q3509" t="n">
        <v>0</v>
      </c>
      <c r="R3509" s="2" t="inlineStr"/>
    </row>
    <row r="3510" ht="15" customHeight="1">
      <c r="A3510" t="inlineStr">
        <is>
          <t>A 56272-2023</t>
        </is>
      </c>
      <c r="B3510" s="1" t="n">
        <v>45241</v>
      </c>
      <c r="C3510" s="1" t="n">
        <v>46132</v>
      </c>
      <c r="D3510" t="inlineStr">
        <is>
          <t>ÖREBRO LÄN</t>
        </is>
      </c>
      <c r="E3510" t="inlineStr">
        <is>
          <t>HALLSBERG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24116-2024</t>
        </is>
      </c>
      <c r="B3511" s="1" t="n">
        <v>45456</v>
      </c>
      <c r="C3511" s="1" t="n">
        <v>46132</v>
      </c>
      <c r="D3511" t="inlineStr">
        <is>
          <t>ÖREBRO LÄN</t>
        </is>
      </c>
      <c r="E3511" t="inlineStr">
        <is>
          <t>KARLSKOGA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5414-2026</t>
        </is>
      </c>
      <c r="B3512" s="1" t="n">
        <v>46048</v>
      </c>
      <c r="C3512" s="1" t="n">
        <v>46132</v>
      </c>
      <c r="D3512" t="inlineStr">
        <is>
          <t>ÖREBRO LÄN</t>
        </is>
      </c>
      <c r="E3512" t="inlineStr">
        <is>
          <t>LAXÅ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55832-2023</t>
        </is>
      </c>
      <c r="B3513" s="1" t="n">
        <v>45239.61148148148</v>
      </c>
      <c r="C3513" s="1" t="n">
        <v>46132</v>
      </c>
      <c r="D3513" t="inlineStr">
        <is>
          <t>ÖREBRO LÄN</t>
        </is>
      </c>
      <c r="E3513" t="inlineStr">
        <is>
          <t>KARLSKOGA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18140-2025</t>
        </is>
      </c>
      <c r="B3514" s="1" t="n">
        <v>45761.60518518519</v>
      </c>
      <c r="C3514" s="1" t="n">
        <v>46132</v>
      </c>
      <c r="D3514" t="inlineStr">
        <is>
          <t>ÖREBRO LÄN</t>
        </is>
      </c>
      <c r="E3514" t="inlineStr">
        <is>
          <t>HALLSBERG</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4428-2026</t>
        </is>
      </c>
      <c r="B3515" s="1" t="n">
        <v>46045.61797453704</v>
      </c>
      <c r="C3515" s="1" t="n">
        <v>46132</v>
      </c>
      <c r="D3515" t="inlineStr">
        <is>
          <t>ÖREBRO LÄN</t>
        </is>
      </c>
      <c r="E3515" t="inlineStr">
        <is>
          <t>ASKERSUND</t>
        </is>
      </c>
      <c r="F3515" t="inlineStr">
        <is>
          <t>Sveaskog</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4417-2026</t>
        </is>
      </c>
      <c r="B3516" s="1" t="n">
        <v>46045.60472222222</v>
      </c>
      <c r="C3516" s="1" t="n">
        <v>46132</v>
      </c>
      <c r="D3516" t="inlineStr">
        <is>
          <t>ÖREBRO LÄN</t>
        </is>
      </c>
      <c r="E3516" t="inlineStr">
        <is>
          <t>LAXÅ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14452-2025</t>
        </is>
      </c>
      <c r="B3517" s="1" t="n">
        <v>45741.56143518518</v>
      </c>
      <c r="C3517" s="1" t="n">
        <v>46132</v>
      </c>
      <c r="D3517" t="inlineStr">
        <is>
          <t>ÖREBRO LÄN</t>
        </is>
      </c>
      <c r="E3517" t="inlineStr">
        <is>
          <t>DEGERFORS</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39865-2024</t>
        </is>
      </c>
      <c r="B3518" s="1" t="n">
        <v>45553.45989583333</v>
      </c>
      <c r="C3518" s="1" t="n">
        <v>46132</v>
      </c>
      <c r="D3518" t="inlineStr">
        <is>
          <t>ÖREBRO LÄN</t>
        </is>
      </c>
      <c r="E3518" t="inlineStr">
        <is>
          <t>LAXÅ</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12699-2023</t>
        </is>
      </c>
      <c r="B3519" s="1" t="n">
        <v>45000</v>
      </c>
      <c r="C3519" s="1" t="n">
        <v>46132</v>
      </c>
      <c r="D3519" t="inlineStr">
        <is>
          <t>ÖREBRO LÄN</t>
        </is>
      </c>
      <c r="E3519" t="inlineStr">
        <is>
          <t>NORA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10515-2023</t>
        </is>
      </c>
      <c r="B3520" s="1" t="n">
        <v>44987.7978125</v>
      </c>
      <c r="C3520" s="1" t="n">
        <v>46132</v>
      </c>
      <c r="D3520" t="inlineStr">
        <is>
          <t>ÖREBRO LÄN</t>
        </is>
      </c>
      <c r="E3520" t="inlineStr">
        <is>
          <t>KARLSKOGA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32214-2024</t>
        </is>
      </c>
      <c r="B3521" s="1" t="n">
        <v>45511</v>
      </c>
      <c r="C3521" s="1" t="n">
        <v>46132</v>
      </c>
      <c r="D3521" t="inlineStr">
        <is>
          <t>ÖREBRO LÄN</t>
        </is>
      </c>
      <c r="E3521" t="inlineStr">
        <is>
          <t>ASKERSUND</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33281-2024</t>
        </is>
      </c>
      <c r="B3522" s="1" t="n">
        <v>45518.71202546296</v>
      </c>
      <c r="C3522" s="1" t="n">
        <v>46132</v>
      </c>
      <c r="D3522" t="inlineStr">
        <is>
          <t>ÖREBRO LÄN</t>
        </is>
      </c>
      <c r="E3522" t="inlineStr">
        <is>
          <t>LINDESBERG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33283-2024</t>
        </is>
      </c>
      <c r="B3523" s="1" t="n">
        <v>45518.71591435185</v>
      </c>
      <c r="C3523" s="1" t="n">
        <v>46132</v>
      </c>
      <c r="D3523" t="inlineStr">
        <is>
          <t>ÖREBRO LÄN</t>
        </is>
      </c>
      <c r="E3523" t="inlineStr">
        <is>
          <t>LINDESBERG</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61960-2024</t>
        </is>
      </c>
      <c r="B3524" s="1" t="n">
        <v>45653.53664351852</v>
      </c>
      <c r="C3524" s="1" t="n">
        <v>46132</v>
      </c>
      <c r="D3524" t="inlineStr">
        <is>
          <t>ÖREBRO LÄN</t>
        </is>
      </c>
      <c r="E3524" t="inlineStr">
        <is>
          <t>LINDESBERG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48756-2024</t>
        </is>
      </c>
      <c r="B3525" s="1" t="n">
        <v>45593.59681712963</v>
      </c>
      <c r="C3525" s="1" t="n">
        <v>46132</v>
      </c>
      <c r="D3525" t="inlineStr">
        <is>
          <t>ÖREBRO LÄN</t>
        </is>
      </c>
      <c r="E3525" t="inlineStr">
        <is>
          <t>LINDESBERG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62103-2024</t>
        </is>
      </c>
      <c r="B3526" s="1" t="n">
        <v>45656</v>
      </c>
      <c r="C3526" s="1" t="n">
        <v>46132</v>
      </c>
      <c r="D3526" t="inlineStr">
        <is>
          <t>ÖREBRO LÄN</t>
        </is>
      </c>
      <c r="E3526" t="inlineStr">
        <is>
          <t>ASKERSUND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60449-2024</t>
        </is>
      </c>
      <c r="B3527" s="1" t="n">
        <v>45643</v>
      </c>
      <c r="C3527" s="1" t="n">
        <v>46132</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48792-2024</t>
        </is>
      </c>
      <c r="B3528" s="1" t="n">
        <v>45593</v>
      </c>
      <c r="C3528" s="1" t="n">
        <v>46132</v>
      </c>
      <c r="D3528" t="inlineStr">
        <is>
          <t>ÖREBRO LÄN</t>
        </is>
      </c>
      <c r="E3528" t="inlineStr">
        <is>
          <t>LAXÅ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15060-2024</t>
        </is>
      </c>
      <c r="B3529" s="1" t="n">
        <v>45399.56596064815</v>
      </c>
      <c r="C3529" s="1" t="n">
        <v>46132</v>
      </c>
      <c r="D3529" t="inlineStr">
        <is>
          <t>ÖREBRO LÄN</t>
        </is>
      </c>
      <c r="E3529" t="inlineStr">
        <is>
          <t>LINDESBERG</t>
        </is>
      </c>
      <c r="F3529" t="inlineStr">
        <is>
          <t>Sveaskog</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17017-2023</t>
        </is>
      </c>
      <c r="B3530" s="1" t="n">
        <v>45034</v>
      </c>
      <c r="C3530" s="1" t="n">
        <v>46132</v>
      </c>
      <c r="D3530" t="inlineStr">
        <is>
          <t>ÖREBRO LÄN</t>
        </is>
      </c>
      <c r="E3530" t="inlineStr">
        <is>
          <t>HALLSBERG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12536-2026</t>
        </is>
      </c>
      <c r="B3531" s="1" t="n">
        <v>46090.60851851852</v>
      </c>
      <c r="C3531" s="1" t="n">
        <v>46132</v>
      </c>
      <c r="D3531" t="inlineStr">
        <is>
          <t>ÖREBRO LÄN</t>
        </is>
      </c>
      <c r="E3531" t="inlineStr">
        <is>
          <t>ÖREBRO</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12546-2026</t>
        </is>
      </c>
      <c r="B3532" s="1" t="n">
        <v>46090.63087962963</v>
      </c>
      <c r="C3532" s="1" t="n">
        <v>46132</v>
      </c>
      <c r="D3532" t="inlineStr">
        <is>
          <t>ÖREBRO LÄN</t>
        </is>
      </c>
      <c r="E3532" t="inlineStr">
        <is>
          <t>LEKEBERG</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38429-2023</t>
        </is>
      </c>
      <c r="B3533" s="1" t="n">
        <v>45162</v>
      </c>
      <c r="C3533" s="1" t="n">
        <v>46132</v>
      </c>
      <c r="D3533" t="inlineStr">
        <is>
          <t>ÖREBRO LÄN</t>
        </is>
      </c>
      <c r="E3533" t="inlineStr">
        <is>
          <t>HÄLLEFORS</t>
        </is>
      </c>
      <c r="F3533" t="inlineStr">
        <is>
          <t>Bergvik skog väst AB</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38955-2023</t>
        </is>
      </c>
      <c r="B3534" s="1" t="n">
        <v>45163</v>
      </c>
      <c r="C3534" s="1" t="n">
        <v>46132</v>
      </c>
      <c r="D3534" t="inlineStr">
        <is>
          <t>ÖREBRO LÄN</t>
        </is>
      </c>
      <c r="E3534" t="inlineStr">
        <is>
          <t>LEKEBERG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53887-2024</t>
        </is>
      </c>
      <c r="B3535" s="1" t="n">
        <v>45614</v>
      </c>
      <c r="C3535" s="1" t="n">
        <v>46132</v>
      </c>
      <c r="D3535" t="inlineStr">
        <is>
          <t>ÖREBRO LÄN</t>
        </is>
      </c>
      <c r="E3535" t="inlineStr">
        <is>
          <t>LJUSNARSBERG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52192-2024</t>
        </is>
      </c>
      <c r="B3536" s="1" t="n">
        <v>45608.57258101852</v>
      </c>
      <c r="C3536" s="1" t="n">
        <v>46132</v>
      </c>
      <c r="D3536" t="inlineStr">
        <is>
          <t>ÖREBRO LÄN</t>
        </is>
      </c>
      <c r="E3536" t="inlineStr">
        <is>
          <t>KUMLA</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5421-2026</t>
        </is>
      </c>
      <c r="B3537" s="1" t="n">
        <v>46048</v>
      </c>
      <c r="C3537" s="1" t="n">
        <v>46132</v>
      </c>
      <c r="D3537" t="inlineStr">
        <is>
          <t>ÖREBRO LÄN</t>
        </is>
      </c>
      <c r="E3537" t="inlineStr">
        <is>
          <t>LAXÅ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4256-2026</t>
        </is>
      </c>
      <c r="B3538" s="1" t="n">
        <v>46045.33489583333</v>
      </c>
      <c r="C3538" s="1" t="n">
        <v>46132</v>
      </c>
      <c r="D3538" t="inlineStr">
        <is>
          <t>ÖREBRO LÄN</t>
        </is>
      </c>
      <c r="E3538" t="inlineStr">
        <is>
          <t>DEGERFORS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8513-2022</t>
        </is>
      </c>
      <c r="B3539" s="1" t="n">
        <v>44613</v>
      </c>
      <c r="C3539" s="1" t="n">
        <v>46132</v>
      </c>
      <c r="D3539" t="inlineStr">
        <is>
          <t>ÖREBRO LÄN</t>
        </is>
      </c>
      <c r="E3539" t="inlineStr">
        <is>
          <t>HÄLLEFORS</t>
        </is>
      </c>
      <c r="F3539" t="inlineStr">
        <is>
          <t>Bergvik skog väst AB</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18556-2024</t>
        </is>
      </c>
      <c r="B3540" s="1" t="n">
        <v>45425.65702546296</v>
      </c>
      <c r="C3540" s="1" t="n">
        <v>46132</v>
      </c>
      <c r="D3540" t="inlineStr">
        <is>
          <t>ÖREBRO LÄN</t>
        </is>
      </c>
      <c r="E3540" t="inlineStr">
        <is>
          <t>HALLSBERG</t>
        </is>
      </c>
      <c r="F3540" t="inlineStr">
        <is>
          <t>Sveaskog</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53510-2024</t>
        </is>
      </c>
      <c r="B3541" s="1" t="n">
        <v>45614.5968287037</v>
      </c>
      <c r="C3541" s="1" t="n">
        <v>46132</v>
      </c>
      <c r="D3541" t="inlineStr">
        <is>
          <t>ÖREBRO LÄN</t>
        </is>
      </c>
      <c r="E3541" t="inlineStr">
        <is>
          <t>LINDESBERG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21921-2023</t>
        </is>
      </c>
      <c r="B3542" s="1" t="n">
        <v>45068.56416666666</v>
      </c>
      <c r="C3542" s="1" t="n">
        <v>46132</v>
      </c>
      <c r="D3542" t="inlineStr">
        <is>
          <t>ÖREBRO LÄN</t>
        </is>
      </c>
      <c r="E3542" t="inlineStr">
        <is>
          <t>KUMLA</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22045-2024</t>
        </is>
      </c>
      <c r="B3543" s="1" t="n">
        <v>45443.61171296296</v>
      </c>
      <c r="C3543" s="1" t="n">
        <v>46132</v>
      </c>
      <c r="D3543" t="inlineStr">
        <is>
          <t>ÖREBRO LÄN</t>
        </is>
      </c>
      <c r="E3543" t="inlineStr">
        <is>
          <t>ÖREBRO</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50766-2024</t>
        </is>
      </c>
      <c r="B3544" s="1" t="n">
        <v>45602.43986111111</v>
      </c>
      <c r="C3544" s="1" t="n">
        <v>46132</v>
      </c>
      <c r="D3544" t="inlineStr">
        <is>
          <t>ÖREBRO LÄN</t>
        </is>
      </c>
      <c r="E3544" t="inlineStr">
        <is>
          <t>DEGERFORS</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12693-2026</t>
        </is>
      </c>
      <c r="B3545" s="1" t="n">
        <v>46091.57517361111</v>
      </c>
      <c r="C3545" s="1" t="n">
        <v>46132</v>
      </c>
      <c r="D3545" t="inlineStr">
        <is>
          <t>ÖREBRO LÄN</t>
        </is>
      </c>
      <c r="E3545" t="inlineStr">
        <is>
          <t>KARLSKOGA</t>
        </is>
      </c>
      <c r="F3545" t="inlineStr">
        <is>
          <t>Övriga Aktiebolag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12897-2026</t>
        </is>
      </c>
      <c r="B3546" s="1" t="n">
        <v>46092.56590277778</v>
      </c>
      <c r="C3546" s="1" t="n">
        <v>46132</v>
      </c>
      <c r="D3546" t="inlineStr">
        <is>
          <t>ÖREBRO LÄN</t>
        </is>
      </c>
      <c r="E3546" t="inlineStr">
        <is>
          <t>KARLSKOGA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5065-2026</t>
        </is>
      </c>
      <c r="B3547" s="1" t="n">
        <v>46049.4886574074</v>
      </c>
      <c r="C3547" s="1" t="n">
        <v>46132</v>
      </c>
      <c r="D3547" t="inlineStr">
        <is>
          <t>ÖREBRO LÄN</t>
        </is>
      </c>
      <c r="E3547" t="inlineStr">
        <is>
          <t>ASKERSUND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5235-2026</t>
        </is>
      </c>
      <c r="B3548" s="1" t="n">
        <v>46049.84017361111</v>
      </c>
      <c r="C3548" s="1" t="n">
        <v>46132</v>
      </c>
      <c r="D3548" t="inlineStr">
        <is>
          <t>ÖREBRO LÄN</t>
        </is>
      </c>
      <c r="E3548" t="inlineStr">
        <is>
          <t>LINDESBERG</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12936-2026</t>
        </is>
      </c>
      <c r="B3549" s="1" t="n">
        <v>46092.61789351852</v>
      </c>
      <c r="C3549" s="1" t="n">
        <v>46132</v>
      </c>
      <c r="D3549" t="inlineStr">
        <is>
          <t>ÖREBRO LÄN</t>
        </is>
      </c>
      <c r="E3549" t="inlineStr">
        <is>
          <t>DEGERFORS</t>
        </is>
      </c>
      <c r="F3549" t="inlineStr">
        <is>
          <t>Sveaskog</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12673-2026</t>
        </is>
      </c>
      <c r="B3550" s="1" t="n">
        <v>46090.30780092593</v>
      </c>
      <c r="C3550" s="1" t="n">
        <v>46132</v>
      </c>
      <c r="D3550" t="inlineStr">
        <is>
          <t>ÖREBRO LÄN</t>
        </is>
      </c>
      <c r="E3550" t="inlineStr">
        <is>
          <t>HÄLLEFORS</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12684-2026</t>
        </is>
      </c>
      <c r="B3551" s="1" t="n">
        <v>46091.56143518518</v>
      </c>
      <c r="C3551" s="1" t="n">
        <v>46132</v>
      </c>
      <c r="D3551" t="inlineStr">
        <is>
          <t>ÖREBRO LÄN</t>
        </is>
      </c>
      <c r="E3551" t="inlineStr">
        <is>
          <t>KARLSKOGA</t>
        </is>
      </c>
      <c r="F3551" t="inlineStr">
        <is>
          <t>Övriga Aktiebolag</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12783-2026</t>
        </is>
      </c>
      <c r="B3552" s="1" t="n">
        <v>46091.77605324074</v>
      </c>
      <c r="C3552" s="1" t="n">
        <v>46132</v>
      </c>
      <c r="D3552" t="inlineStr">
        <is>
          <t>ÖREBRO LÄN</t>
        </is>
      </c>
      <c r="E3552" t="inlineStr">
        <is>
          <t>HALLSBERG</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5094-2026</t>
        </is>
      </c>
      <c r="B3553" s="1" t="n">
        <v>46049.55398148148</v>
      </c>
      <c r="C3553" s="1" t="n">
        <v>46132</v>
      </c>
      <c r="D3553" t="inlineStr">
        <is>
          <t>ÖREBRO LÄN</t>
        </is>
      </c>
      <c r="E3553" t="inlineStr">
        <is>
          <t>LJUSNARSBERG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12784-2026</t>
        </is>
      </c>
      <c r="B3554" s="1" t="n">
        <v>46091.78168981482</v>
      </c>
      <c r="C3554" s="1" t="n">
        <v>46132</v>
      </c>
      <c r="D3554" t="inlineStr">
        <is>
          <t>ÖREBRO LÄN</t>
        </is>
      </c>
      <c r="E3554" t="inlineStr">
        <is>
          <t>HALLSBERG</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12785-2026</t>
        </is>
      </c>
      <c r="B3555" s="1" t="n">
        <v>46091.78928240741</v>
      </c>
      <c r="C3555" s="1" t="n">
        <v>46132</v>
      </c>
      <c r="D3555" t="inlineStr">
        <is>
          <t>ÖREBRO LÄN</t>
        </is>
      </c>
      <c r="E3555" t="inlineStr">
        <is>
          <t>HALLSBERG</t>
        </is>
      </c>
      <c r="F3555" t="inlineStr">
        <is>
          <t>Sveaskog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13290-2026</t>
        </is>
      </c>
      <c r="B3556" s="1" t="n">
        <v>46094.28234953704</v>
      </c>
      <c r="C3556" s="1" t="n">
        <v>46132</v>
      </c>
      <c r="D3556" t="inlineStr">
        <is>
          <t>ÖREBRO LÄN</t>
        </is>
      </c>
      <c r="E3556" t="inlineStr">
        <is>
          <t>HALLSBERG</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13293-2026</t>
        </is>
      </c>
      <c r="B3557" s="1" t="n">
        <v>46094.30127314815</v>
      </c>
      <c r="C3557" s="1" t="n">
        <v>46132</v>
      </c>
      <c r="D3557" t="inlineStr">
        <is>
          <t>ÖREBRO LÄN</t>
        </is>
      </c>
      <c r="E3557" t="inlineStr">
        <is>
          <t>DEGERFORS</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5715-2026</t>
        </is>
      </c>
      <c r="B3558" s="1" t="n">
        <v>46051.53563657407</v>
      </c>
      <c r="C3558" s="1" t="n">
        <v>46132</v>
      </c>
      <c r="D3558" t="inlineStr">
        <is>
          <t>ÖREBRO LÄN</t>
        </is>
      </c>
      <c r="E3558" t="inlineStr">
        <is>
          <t>LINDESBERG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5928-2026</t>
        </is>
      </c>
      <c r="B3559" s="1" t="n">
        <v>46052.46519675926</v>
      </c>
      <c r="C3559" s="1" t="n">
        <v>46132</v>
      </c>
      <c r="D3559" t="inlineStr">
        <is>
          <t>ÖREBRO LÄN</t>
        </is>
      </c>
      <c r="E3559" t="inlineStr">
        <is>
          <t>LINDESBERG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13040-2026</t>
        </is>
      </c>
      <c r="B3560" s="1" t="n">
        <v>46093.25034722222</v>
      </c>
      <c r="C3560" s="1" t="n">
        <v>46132</v>
      </c>
      <c r="D3560" t="inlineStr">
        <is>
          <t>ÖREBRO LÄN</t>
        </is>
      </c>
      <c r="E3560" t="inlineStr">
        <is>
          <t>DEGERFORS</t>
        </is>
      </c>
      <c r="F3560" t="inlineStr">
        <is>
          <t>Sveaskog</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48790-2024</t>
        </is>
      </c>
      <c r="B3561" s="1" t="n">
        <v>45593</v>
      </c>
      <c r="C3561" s="1" t="n">
        <v>46132</v>
      </c>
      <c r="D3561" t="inlineStr">
        <is>
          <t>ÖREBRO LÄN</t>
        </is>
      </c>
      <c r="E3561" t="inlineStr">
        <is>
          <t>LAXÅ</t>
        </is>
      </c>
      <c r="F3561" t="inlineStr">
        <is>
          <t>Sveaskog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13473-2026</t>
        </is>
      </c>
      <c r="B3562" s="1" t="n">
        <v>46094.56453703704</v>
      </c>
      <c r="C3562" s="1" t="n">
        <v>46132</v>
      </c>
      <c r="D3562" t="inlineStr">
        <is>
          <t>ÖREBRO LÄN</t>
        </is>
      </c>
      <c r="E3562" t="inlineStr">
        <is>
          <t>KARLSKOGA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5717-2026</t>
        </is>
      </c>
      <c r="B3563" s="1" t="n">
        <v>46051.53689814815</v>
      </c>
      <c r="C3563" s="1" t="n">
        <v>46132</v>
      </c>
      <c r="D3563" t="inlineStr">
        <is>
          <t>ÖREBRO LÄN</t>
        </is>
      </c>
      <c r="E3563" t="inlineStr">
        <is>
          <t>LINDESBERG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34676-2023</t>
        </is>
      </c>
      <c r="B3564" s="1" t="n">
        <v>45140</v>
      </c>
      <c r="C3564" s="1" t="n">
        <v>46132</v>
      </c>
      <c r="D3564" t="inlineStr">
        <is>
          <t>ÖREBRO LÄN</t>
        </is>
      </c>
      <c r="E3564" t="inlineStr">
        <is>
          <t>LINDESBERG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69607-2021</t>
        </is>
      </c>
      <c r="B3565" s="1" t="n">
        <v>44532.38833333334</v>
      </c>
      <c r="C3565" s="1" t="n">
        <v>46132</v>
      </c>
      <c r="D3565" t="inlineStr">
        <is>
          <t>ÖREBRO LÄN</t>
        </is>
      </c>
      <c r="E3565" t="inlineStr">
        <is>
          <t>HALLSBERG</t>
        </is>
      </c>
      <c r="F3565" t="inlineStr">
        <is>
          <t>Kommuner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58684-2023</t>
        </is>
      </c>
      <c r="B3566" s="1" t="n">
        <v>45251</v>
      </c>
      <c r="C3566" s="1" t="n">
        <v>46132</v>
      </c>
      <c r="D3566" t="inlineStr">
        <is>
          <t>ÖREBRO LÄN</t>
        </is>
      </c>
      <c r="E3566" t="inlineStr">
        <is>
          <t>ÖREBRO</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7202-2023</t>
        </is>
      </c>
      <c r="B3567" s="1" t="n">
        <v>44965</v>
      </c>
      <c r="C3567" s="1" t="n">
        <v>46132</v>
      </c>
      <c r="D3567" t="inlineStr">
        <is>
          <t>ÖREBRO LÄN</t>
        </is>
      </c>
      <c r="E3567" t="inlineStr">
        <is>
          <t>LEKEBERG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5649-2026</t>
        </is>
      </c>
      <c r="B3568" s="1" t="n">
        <v>46051.42962962963</v>
      </c>
      <c r="C3568" s="1" t="n">
        <v>46132</v>
      </c>
      <c r="D3568" t="inlineStr">
        <is>
          <t>ÖREBRO LÄN</t>
        </is>
      </c>
      <c r="E3568" t="inlineStr">
        <is>
          <t>LAXÅ</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5650-2026</t>
        </is>
      </c>
      <c r="B3569" s="1" t="n">
        <v>46051.43072916667</v>
      </c>
      <c r="C3569" s="1" t="n">
        <v>46132</v>
      </c>
      <c r="D3569" t="inlineStr">
        <is>
          <t>ÖREBRO LÄN</t>
        </is>
      </c>
      <c r="E3569" t="inlineStr">
        <is>
          <t>LAXÅ</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45234-2023</t>
        </is>
      </c>
      <c r="B3570" s="1" t="n">
        <v>45191.59268518518</v>
      </c>
      <c r="C3570" s="1" t="n">
        <v>46132</v>
      </c>
      <c r="D3570" t="inlineStr">
        <is>
          <t>ÖREBRO LÄN</t>
        </is>
      </c>
      <c r="E3570" t="inlineStr">
        <is>
          <t>NORA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46599-2024</t>
        </is>
      </c>
      <c r="B3571" s="1" t="n">
        <v>45582</v>
      </c>
      <c r="C3571" s="1" t="n">
        <v>46132</v>
      </c>
      <c r="D3571" t="inlineStr">
        <is>
          <t>ÖREBRO LÄN</t>
        </is>
      </c>
      <c r="E3571" t="inlineStr">
        <is>
          <t>HÄLLEFORS</t>
        </is>
      </c>
      <c r="F3571" t="inlineStr">
        <is>
          <t>Sveaskog</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61594-2024</t>
        </is>
      </c>
      <c r="B3572" s="1" t="n">
        <v>45646.63482638889</v>
      </c>
      <c r="C3572" s="1" t="n">
        <v>46132</v>
      </c>
      <c r="D3572" t="inlineStr">
        <is>
          <t>ÖREBRO LÄN</t>
        </is>
      </c>
      <c r="E3572" t="inlineStr">
        <is>
          <t>LINDESBERG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43830-2024</t>
        </is>
      </c>
      <c r="B3573" s="1" t="n">
        <v>45572.31850694444</v>
      </c>
      <c r="C3573" s="1" t="n">
        <v>46132</v>
      </c>
      <c r="D3573" t="inlineStr">
        <is>
          <t>ÖREBRO LÄN</t>
        </is>
      </c>
      <c r="E3573" t="inlineStr">
        <is>
          <t>ASKERSUND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38898-2023</t>
        </is>
      </c>
      <c r="B3574" s="1" t="n">
        <v>45163</v>
      </c>
      <c r="C3574" s="1" t="n">
        <v>46132</v>
      </c>
      <c r="D3574" t="inlineStr">
        <is>
          <t>ÖREBRO LÄN</t>
        </is>
      </c>
      <c r="E3574" t="inlineStr">
        <is>
          <t>ÖREBRO</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64419-2023</t>
        </is>
      </c>
      <c r="B3575" s="1" t="n">
        <v>45280.65321759259</v>
      </c>
      <c r="C3575" s="1" t="n">
        <v>46132</v>
      </c>
      <c r="D3575" t="inlineStr">
        <is>
          <t>ÖREBRO LÄN</t>
        </is>
      </c>
      <c r="E3575" t="inlineStr">
        <is>
          <t>HALLSBERG</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50578-2022</t>
        </is>
      </c>
      <c r="B3576" s="1" t="n">
        <v>44866.65612268518</v>
      </c>
      <c r="C3576" s="1" t="n">
        <v>46132</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11476-2023</t>
        </is>
      </c>
      <c r="B3577" s="1" t="n">
        <v>44993</v>
      </c>
      <c r="C3577" s="1" t="n">
        <v>46132</v>
      </c>
      <c r="D3577" t="inlineStr">
        <is>
          <t>ÖREBRO LÄN</t>
        </is>
      </c>
      <c r="E3577" t="inlineStr">
        <is>
          <t>LAXÅ</t>
        </is>
      </c>
      <c r="F3577" t="inlineStr">
        <is>
          <t>Sveaskog</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62454-2021</t>
        </is>
      </c>
      <c r="B3578" s="1" t="n">
        <v>44503.52611111111</v>
      </c>
      <c r="C3578" s="1" t="n">
        <v>46132</v>
      </c>
      <c r="D3578" t="inlineStr">
        <is>
          <t>ÖREBRO LÄN</t>
        </is>
      </c>
      <c r="E3578" t="inlineStr">
        <is>
          <t>LAXÅ</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11477-2023</t>
        </is>
      </c>
      <c r="B3579" s="1" t="n">
        <v>44993</v>
      </c>
      <c r="C3579" s="1" t="n">
        <v>46132</v>
      </c>
      <c r="D3579" t="inlineStr">
        <is>
          <t>ÖREBRO LÄN</t>
        </is>
      </c>
      <c r="E3579" t="inlineStr">
        <is>
          <t>LAXÅ</t>
        </is>
      </c>
      <c r="F3579" t="inlineStr">
        <is>
          <t>Sveaskog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11492-2023</t>
        </is>
      </c>
      <c r="B3580" s="1" t="n">
        <v>44993</v>
      </c>
      <c r="C3580" s="1" t="n">
        <v>46132</v>
      </c>
      <c r="D3580" t="inlineStr">
        <is>
          <t>ÖREBRO LÄN</t>
        </is>
      </c>
      <c r="E3580" t="inlineStr">
        <is>
          <t>ASKERSUND</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6843-2024</t>
        </is>
      </c>
      <c r="B3581" s="1" t="n">
        <v>45342.62711805556</v>
      </c>
      <c r="C3581" s="1" t="n">
        <v>46132</v>
      </c>
      <c r="D3581" t="inlineStr">
        <is>
          <t>ÖREBRO LÄN</t>
        </is>
      </c>
      <c r="E3581" t="inlineStr">
        <is>
          <t>LEKEBERG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12646-2024</t>
        </is>
      </c>
      <c r="B3582" s="1" t="n">
        <v>45384.34563657407</v>
      </c>
      <c r="C3582" s="1" t="n">
        <v>46132</v>
      </c>
      <c r="D3582" t="inlineStr">
        <is>
          <t>ÖREBRO LÄN</t>
        </is>
      </c>
      <c r="E3582" t="inlineStr">
        <is>
          <t>NORA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48783-2024</t>
        </is>
      </c>
      <c r="B3583" s="1" t="n">
        <v>45593</v>
      </c>
      <c r="C3583" s="1" t="n">
        <v>46132</v>
      </c>
      <c r="D3583" t="inlineStr">
        <is>
          <t>ÖREBRO LÄN</t>
        </is>
      </c>
      <c r="E3583" t="inlineStr">
        <is>
          <t>LAXÅ</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48788-2024</t>
        </is>
      </c>
      <c r="B3584" s="1" t="n">
        <v>45593</v>
      </c>
      <c r="C3584" s="1" t="n">
        <v>46132</v>
      </c>
      <c r="D3584" t="inlineStr">
        <is>
          <t>ÖREBRO LÄN</t>
        </is>
      </c>
      <c r="E3584" t="inlineStr">
        <is>
          <t>LAXÅ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46801-2024</t>
        </is>
      </c>
      <c r="B3585" s="1" t="n">
        <v>45583</v>
      </c>
      <c r="C3585" s="1" t="n">
        <v>46132</v>
      </c>
      <c r="D3585" t="inlineStr">
        <is>
          <t>ÖREBRO LÄN</t>
        </is>
      </c>
      <c r="E3585" t="inlineStr">
        <is>
          <t>LJUSNARSBERG</t>
        </is>
      </c>
      <c r="F3585" t="inlineStr">
        <is>
          <t>Bergvik skog väst AB</t>
        </is>
      </c>
      <c r="G3585" t="n">
        <v>16.8</v>
      </c>
      <c r="H3585" t="n">
        <v>0</v>
      </c>
      <c r="I3585" t="n">
        <v>0</v>
      </c>
      <c r="J3585" t="n">
        <v>0</v>
      </c>
      <c r="K3585" t="n">
        <v>0</v>
      </c>
      <c r="L3585" t="n">
        <v>0</v>
      </c>
      <c r="M3585" t="n">
        <v>0</v>
      </c>
      <c r="N3585" t="n">
        <v>0</v>
      </c>
      <c r="O3585" t="n">
        <v>0</v>
      </c>
      <c r="P3585" t="n">
        <v>0</v>
      </c>
      <c r="Q3585" t="n">
        <v>0</v>
      </c>
      <c r="R3585" s="2" t="inlineStr"/>
    </row>
    <row r="3586" ht="15" customHeight="1">
      <c r="A3586" t="inlineStr">
        <is>
          <t>A 46809-2024</t>
        </is>
      </c>
      <c r="B3586" s="1" t="n">
        <v>45583</v>
      </c>
      <c r="C3586" s="1" t="n">
        <v>46132</v>
      </c>
      <c r="D3586" t="inlineStr">
        <is>
          <t>ÖREBRO LÄN</t>
        </is>
      </c>
      <c r="E3586" t="inlineStr">
        <is>
          <t>LJUSNARSBERG</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13321-2024</t>
        </is>
      </c>
      <c r="B3587" s="1" t="n">
        <v>45386.83142361111</v>
      </c>
      <c r="C3587" s="1" t="n">
        <v>46132</v>
      </c>
      <c r="D3587" t="inlineStr">
        <is>
          <t>ÖREBRO LÄN</t>
        </is>
      </c>
      <c r="E3587" t="inlineStr">
        <is>
          <t>ÖREBRO</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67052-2021</t>
        </is>
      </c>
      <c r="B3588" s="1" t="n">
        <v>44522</v>
      </c>
      <c r="C3588" s="1" t="n">
        <v>46132</v>
      </c>
      <c r="D3588" t="inlineStr">
        <is>
          <t>ÖREBRO LÄN</t>
        </is>
      </c>
      <c r="E3588" t="inlineStr">
        <is>
          <t>LAXÅ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41345-2023</t>
        </is>
      </c>
      <c r="B3589" s="1" t="n">
        <v>45174</v>
      </c>
      <c r="C3589" s="1" t="n">
        <v>46132</v>
      </c>
      <c r="D3589" t="inlineStr">
        <is>
          <t>ÖREBRO LÄN</t>
        </is>
      </c>
      <c r="E3589" t="inlineStr">
        <is>
          <t>HALLSBERG</t>
        </is>
      </c>
      <c r="F3589" t="inlineStr">
        <is>
          <t>Allmännings- och besparingsskogar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13039-2026</t>
        </is>
      </c>
      <c r="B3590" s="1" t="n">
        <v>46093.24931712963</v>
      </c>
      <c r="C3590" s="1" t="n">
        <v>46132</v>
      </c>
      <c r="D3590" t="inlineStr">
        <is>
          <t>ÖREBRO LÄN</t>
        </is>
      </c>
      <c r="E3590" t="inlineStr">
        <is>
          <t>DEGERFORS</t>
        </is>
      </c>
      <c r="F3590" t="inlineStr">
        <is>
          <t>Sveaskog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38583-2023</t>
        </is>
      </c>
      <c r="B3591" s="1" t="n">
        <v>45162.62861111111</v>
      </c>
      <c r="C3591" s="1" t="n">
        <v>46132</v>
      </c>
      <c r="D3591" t="inlineStr">
        <is>
          <t>ÖREBRO LÄN</t>
        </is>
      </c>
      <c r="E3591" t="inlineStr">
        <is>
          <t>ÖREBRO</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38335-2024</t>
        </is>
      </c>
      <c r="B3592" s="1" t="n">
        <v>45545.68380787037</v>
      </c>
      <c r="C3592" s="1" t="n">
        <v>46132</v>
      </c>
      <c r="D3592" t="inlineStr">
        <is>
          <t>ÖREBRO LÄN</t>
        </is>
      </c>
      <c r="E3592" t="inlineStr">
        <is>
          <t>KUMLA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14291-2023</t>
        </is>
      </c>
      <c r="B3593" s="1" t="n">
        <v>45010</v>
      </c>
      <c r="C3593" s="1" t="n">
        <v>46132</v>
      </c>
      <c r="D3593" t="inlineStr">
        <is>
          <t>ÖREBRO LÄN</t>
        </is>
      </c>
      <c r="E3593" t="inlineStr">
        <is>
          <t>ÖREBRO</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38343-2024</t>
        </is>
      </c>
      <c r="B3594" s="1" t="n">
        <v>45545.69646990741</v>
      </c>
      <c r="C3594" s="1" t="n">
        <v>46132</v>
      </c>
      <c r="D3594" t="inlineStr">
        <is>
          <t>ÖREBRO LÄN</t>
        </is>
      </c>
      <c r="E3594" t="inlineStr">
        <is>
          <t>KUMLA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44764-2023</t>
        </is>
      </c>
      <c r="B3595" s="1" t="n">
        <v>45190.43935185186</v>
      </c>
      <c r="C3595" s="1" t="n">
        <v>46132</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40551-2023</t>
        </is>
      </c>
      <c r="B3596" s="1" t="n">
        <v>45170.45384259259</v>
      </c>
      <c r="C3596" s="1" t="n">
        <v>46132</v>
      </c>
      <c r="D3596" t="inlineStr">
        <is>
          <t>ÖREBRO LÄN</t>
        </is>
      </c>
      <c r="E3596" t="inlineStr">
        <is>
          <t>HALLSBERG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40563-2023</t>
        </is>
      </c>
      <c r="B3597" s="1" t="n">
        <v>45170.45921296296</v>
      </c>
      <c r="C3597" s="1" t="n">
        <v>46132</v>
      </c>
      <c r="D3597" t="inlineStr">
        <is>
          <t>ÖREBRO LÄN</t>
        </is>
      </c>
      <c r="E3597" t="inlineStr">
        <is>
          <t>LINDESBERG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25671-2024</t>
        </is>
      </c>
      <c r="B3598" s="1" t="n">
        <v>45463.72734953704</v>
      </c>
      <c r="C3598" s="1" t="n">
        <v>46132</v>
      </c>
      <c r="D3598" t="inlineStr">
        <is>
          <t>ÖREBRO LÄN</t>
        </is>
      </c>
      <c r="E3598" t="inlineStr">
        <is>
          <t>LJUSNARSBERG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6255-2026</t>
        </is>
      </c>
      <c r="B3599" s="1" t="n">
        <v>46055.47542824074</v>
      </c>
      <c r="C3599" s="1" t="n">
        <v>46132</v>
      </c>
      <c r="D3599" t="inlineStr">
        <is>
          <t>ÖREBRO LÄN</t>
        </is>
      </c>
      <c r="E3599" t="inlineStr">
        <is>
          <t>KARLSKOGA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14034-2026</t>
        </is>
      </c>
      <c r="B3600" s="1" t="n">
        <v>46098.79559027778</v>
      </c>
      <c r="C3600" s="1" t="n">
        <v>46132</v>
      </c>
      <c r="D3600" t="inlineStr">
        <is>
          <t>ÖREBRO LÄN</t>
        </is>
      </c>
      <c r="E3600" t="inlineStr">
        <is>
          <t>LINDESBERG</t>
        </is>
      </c>
      <c r="F3600" t="inlineStr">
        <is>
          <t>Sveaskog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13778-2026</t>
        </is>
      </c>
      <c r="B3601" s="1" t="n">
        <v>46097</v>
      </c>
      <c r="C3601" s="1" t="n">
        <v>46132</v>
      </c>
      <c r="D3601" t="inlineStr">
        <is>
          <t>ÖREBRO LÄN</t>
        </is>
      </c>
      <c r="E3601" t="inlineStr">
        <is>
          <t>ÖREBRO</t>
        </is>
      </c>
      <c r="F3601" t="inlineStr">
        <is>
          <t>Övriga Aktiebolag</t>
        </is>
      </c>
      <c r="G3601" t="n">
        <v>23.7</v>
      </c>
      <c r="H3601" t="n">
        <v>0</v>
      </c>
      <c r="I3601" t="n">
        <v>0</v>
      </c>
      <c r="J3601" t="n">
        <v>0</v>
      </c>
      <c r="K3601" t="n">
        <v>0</v>
      </c>
      <c r="L3601" t="n">
        <v>0</v>
      </c>
      <c r="M3601" t="n">
        <v>0</v>
      </c>
      <c r="N3601" t="n">
        <v>0</v>
      </c>
      <c r="O3601" t="n">
        <v>0</v>
      </c>
      <c r="P3601" t="n">
        <v>0</v>
      </c>
      <c r="Q3601" t="n">
        <v>0</v>
      </c>
      <c r="R3601" s="2" t="inlineStr"/>
    </row>
    <row r="3602" ht="15" customHeight="1">
      <c r="A3602" t="inlineStr">
        <is>
          <t>A 6220-2026</t>
        </is>
      </c>
      <c r="B3602" s="1" t="n">
        <v>46055.43789351852</v>
      </c>
      <c r="C3602" s="1" t="n">
        <v>46132</v>
      </c>
      <c r="D3602" t="inlineStr">
        <is>
          <t>ÖREBRO LÄN</t>
        </is>
      </c>
      <c r="E3602" t="inlineStr">
        <is>
          <t>ÖREBRO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19044-2023</t>
        </is>
      </c>
      <c r="B3603" s="1" t="n">
        <v>45047</v>
      </c>
      <c r="C3603" s="1" t="n">
        <v>46132</v>
      </c>
      <c r="D3603" t="inlineStr">
        <is>
          <t>ÖREBRO LÄN</t>
        </is>
      </c>
      <c r="E3603" t="inlineStr">
        <is>
          <t>LEKEBERG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38556-2024</t>
        </is>
      </c>
      <c r="B3604" s="1" t="n">
        <v>45546.61826388889</v>
      </c>
      <c r="C3604" s="1" t="n">
        <v>46132</v>
      </c>
      <c r="D3604" t="inlineStr">
        <is>
          <t>ÖREBRO LÄN</t>
        </is>
      </c>
      <c r="E3604" t="inlineStr">
        <is>
          <t>ASKERSUND</t>
        </is>
      </c>
      <c r="F3604" t="inlineStr">
        <is>
          <t>Sveaskog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9314-2023</t>
        </is>
      </c>
      <c r="B3605" s="1" t="n">
        <v>44980.67747685185</v>
      </c>
      <c r="C3605" s="1" t="n">
        <v>46132</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6605-2026</t>
        </is>
      </c>
      <c r="B3606" s="1" t="n">
        <v>46056.47820601852</v>
      </c>
      <c r="C3606" s="1" t="n">
        <v>46132</v>
      </c>
      <c r="D3606" t="inlineStr">
        <is>
          <t>ÖREBRO LÄN</t>
        </is>
      </c>
      <c r="E3606" t="inlineStr">
        <is>
          <t>KARLSKOGA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7026-2024</t>
        </is>
      </c>
      <c r="B3607" s="1" t="n">
        <v>45343.58587962963</v>
      </c>
      <c r="C3607" s="1" t="n">
        <v>46132</v>
      </c>
      <c r="D3607" t="inlineStr">
        <is>
          <t>ÖREBRO LÄN</t>
        </is>
      </c>
      <c r="E3607" t="inlineStr">
        <is>
          <t>LINDESBERG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13802-2026</t>
        </is>
      </c>
      <c r="B3608" s="1" t="n">
        <v>46097.87480324074</v>
      </c>
      <c r="C3608" s="1" t="n">
        <v>46132</v>
      </c>
      <c r="D3608" t="inlineStr">
        <is>
          <t>ÖREBRO LÄN</t>
        </is>
      </c>
      <c r="E3608" t="inlineStr">
        <is>
          <t>LJUSNARSBERG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46061-2024</t>
        </is>
      </c>
      <c r="B3609" s="1" t="n">
        <v>45580.93525462963</v>
      </c>
      <c r="C3609" s="1" t="n">
        <v>46132</v>
      </c>
      <c r="D3609" t="inlineStr">
        <is>
          <t>ÖREBRO LÄN</t>
        </is>
      </c>
      <c r="E3609" t="inlineStr">
        <is>
          <t>HALLSBERG</t>
        </is>
      </c>
      <c r="F3609" t="inlineStr">
        <is>
          <t>Övriga Aktiebolag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542-2026</t>
        </is>
      </c>
      <c r="B3610" s="1" t="n">
        <v>46029</v>
      </c>
      <c r="C3610" s="1" t="n">
        <v>46132</v>
      </c>
      <c r="D3610" t="inlineStr">
        <is>
          <t>ÖREBRO LÄN</t>
        </is>
      </c>
      <c r="E3610" t="inlineStr">
        <is>
          <t>LAXÅ</t>
        </is>
      </c>
      <c r="F3610" t="inlineStr">
        <is>
          <t>Kyrkan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6126-2026</t>
        </is>
      </c>
      <c r="B3611" s="1" t="n">
        <v>46053.93969907407</v>
      </c>
      <c r="C3611" s="1" t="n">
        <v>46132</v>
      </c>
      <c r="D3611" t="inlineStr">
        <is>
          <t>ÖREBRO LÄN</t>
        </is>
      </c>
      <c r="E3611" t="inlineStr">
        <is>
          <t>HÄLLEFORS</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13799-2026</t>
        </is>
      </c>
      <c r="B3612" s="1" t="n">
        <v>46097.87210648148</v>
      </c>
      <c r="C3612" s="1" t="n">
        <v>46132</v>
      </c>
      <c r="D3612" t="inlineStr">
        <is>
          <t>ÖREBRO LÄN</t>
        </is>
      </c>
      <c r="E3612" t="inlineStr">
        <is>
          <t>LJUSNARSBERG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33455-2023</t>
        </is>
      </c>
      <c r="B3613" s="1" t="n">
        <v>45130.98962962963</v>
      </c>
      <c r="C3613" s="1" t="n">
        <v>46132</v>
      </c>
      <c r="D3613" t="inlineStr">
        <is>
          <t>ÖREBRO LÄN</t>
        </is>
      </c>
      <c r="E3613" t="inlineStr">
        <is>
          <t>ÖREBRO</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517-2026</t>
        </is>
      </c>
      <c r="B3614" s="1" t="n">
        <v>46029</v>
      </c>
      <c r="C3614" s="1" t="n">
        <v>46132</v>
      </c>
      <c r="D3614" t="inlineStr">
        <is>
          <t>ÖREBRO LÄN</t>
        </is>
      </c>
      <c r="E3614" t="inlineStr">
        <is>
          <t>LAXÅ</t>
        </is>
      </c>
      <c r="F3614" t="inlineStr">
        <is>
          <t>Kyrkan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21306-2024</t>
        </is>
      </c>
      <c r="B3615" s="1" t="n">
        <v>45440.67883101852</v>
      </c>
      <c r="C3615" s="1" t="n">
        <v>46132</v>
      </c>
      <c r="D3615" t="inlineStr">
        <is>
          <t>ÖREBRO LÄN</t>
        </is>
      </c>
      <c r="E3615" t="inlineStr">
        <is>
          <t>ÖREBRO</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21315-2024</t>
        </is>
      </c>
      <c r="B3616" s="1" t="n">
        <v>45440</v>
      </c>
      <c r="C3616" s="1" t="n">
        <v>46132</v>
      </c>
      <c r="D3616" t="inlineStr">
        <is>
          <t>ÖREBRO LÄN</t>
        </is>
      </c>
      <c r="E3616" t="inlineStr">
        <is>
          <t>HÄLLEFORS</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6520-2026</t>
        </is>
      </c>
      <c r="B3617" s="1" t="n">
        <v>46056.40149305556</v>
      </c>
      <c r="C3617" s="1" t="n">
        <v>46132</v>
      </c>
      <c r="D3617" t="inlineStr">
        <is>
          <t>ÖREBRO LÄN</t>
        </is>
      </c>
      <c r="E3617" t="inlineStr">
        <is>
          <t>LINDESBERG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6524-2026</t>
        </is>
      </c>
      <c r="B3618" s="1" t="n">
        <v>46056.40425925926</v>
      </c>
      <c r="C3618" s="1" t="n">
        <v>46132</v>
      </c>
      <c r="D3618" t="inlineStr">
        <is>
          <t>ÖREBRO LÄN</t>
        </is>
      </c>
      <c r="E3618" t="inlineStr">
        <is>
          <t>LINDESBERG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7704-2022</t>
        </is>
      </c>
      <c r="B3619" s="1" t="n">
        <v>44608</v>
      </c>
      <c r="C3619" s="1" t="n">
        <v>46132</v>
      </c>
      <c r="D3619" t="inlineStr">
        <is>
          <t>ÖREBRO LÄN</t>
        </is>
      </c>
      <c r="E3619" t="inlineStr">
        <is>
          <t>ASKERSUND</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7713-2022</t>
        </is>
      </c>
      <c r="B3620" s="1" t="n">
        <v>44608.32383101852</v>
      </c>
      <c r="C3620" s="1" t="n">
        <v>46132</v>
      </c>
      <c r="D3620" t="inlineStr">
        <is>
          <t>ÖREBRO LÄN</t>
        </is>
      </c>
      <c r="E3620" t="inlineStr">
        <is>
          <t>ASKERSUND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6223-2026</t>
        </is>
      </c>
      <c r="B3621" s="1" t="n">
        <v>46055.44097222222</v>
      </c>
      <c r="C3621" s="1" t="n">
        <v>46132</v>
      </c>
      <c r="D3621" t="inlineStr">
        <is>
          <t>ÖREBRO LÄN</t>
        </is>
      </c>
      <c r="E3621" t="inlineStr">
        <is>
          <t>LEKEBERG</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6127-2026</t>
        </is>
      </c>
      <c r="B3622" s="1" t="n">
        <v>46053.99731481481</v>
      </c>
      <c r="C3622" s="1" t="n">
        <v>46132</v>
      </c>
      <c r="D3622" t="inlineStr">
        <is>
          <t>ÖREBRO LÄN</t>
        </is>
      </c>
      <c r="E3622" t="inlineStr">
        <is>
          <t>HÄLLEFORS</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58164-2024</t>
        </is>
      </c>
      <c r="B3623" s="1" t="n">
        <v>45632.45396990741</v>
      </c>
      <c r="C3623" s="1" t="n">
        <v>46132</v>
      </c>
      <c r="D3623" t="inlineStr">
        <is>
          <t>ÖREBRO LÄN</t>
        </is>
      </c>
      <c r="E3623" t="inlineStr">
        <is>
          <t>DEGERFORS</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13801-2026</t>
        </is>
      </c>
      <c r="B3624" s="1" t="n">
        <v>46097.87369212963</v>
      </c>
      <c r="C3624" s="1" t="n">
        <v>46132</v>
      </c>
      <c r="D3624" t="inlineStr">
        <is>
          <t>ÖREBRO LÄN</t>
        </is>
      </c>
      <c r="E3624" t="inlineStr">
        <is>
          <t>LJUSNARSBERG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33011-2023</t>
        </is>
      </c>
      <c r="B3625" s="1" t="n">
        <v>45125</v>
      </c>
      <c r="C3625" s="1" t="n">
        <v>46132</v>
      </c>
      <c r="D3625" t="inlineStr">
        <is>
          <t>ÖREBRO LÄN</t>
        </is>
      </c>
      <c r="E3625" t="inlineStr">
        <is>
          <t>KARLSKOGA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6616-2026</t>
        </is>
      </c>
      <c r="B3626" s="1" t="n">
        <v>46056.49075231481</v>
      </c>
      <c r="C3626" s="1" t="n">
        <v>46132</v>
      </c>
      <c r="D3626" t="inlineStr">
        <is>
          <t>ÖREBRO LÄN</t>
        </is>
      </c>
      <c r="E3626" t="inlineStr">
        <is>
          <t>LINDESBERG</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7634-2024</t>
        </is>
      </c>
      <c r="B3627" s="1" t="n">
        <v>45348</v>
      </c>
      <c r="C3627" s="1" t="n">
        <v>46132</v>
      </c>
      <c r="D3627" t="inlineStr">
        <is>
          <t>ÖREBRO LÄN</t>
        </is>
      </c>
      <c r="E3627" t="inlineStr">
        <is>
          <t>ÖREBRO</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5324-2024</t>
        </is>
      </c>
      <c r="B3628" s="1" t="n">
        <v>45331</v>
      </c>
      <c r="C3628" s="1" t="n">
        <v>46132</v>
      </c>
      <c r="D3628" t="inlineStr">
        <is>
          <t>ÖREBRO LÄN</t>
        </is>
      </c>
      <c r="E3628" t="inlineStr">
        <is>
          <t>ÖREBRO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13977-2026</t>
        </is>
      </c>
      <c r="B3629" s="1" t="n">
        <v>46098.59141203704</v>
      </c>
      <c r="C3629" s="1" t="n">
        <v>46132</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50207-2024</t>
        </is>
      </c>
      <c r="B3630" s="1" t="n">
        <v>45600.49782407407</v>
      </c>
      <c r="C3630" s="1" t="n">
        <v>46132</v>
      </c>
      <c r="D3630" t="inlineStr">
        <is>
          <t>ÖREBRO LÄN</t>
        </is>
      </c>
      <c r="E3630" t="inlineStr">
        <is>
          <t>DEGERFORS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50208-2024</t>
        </is>
      </c>
      <c r="B3631" s="1" t="n">
        <v>45600.49924768518</v>
      </c>
      <c r="C3631" s="1" t="n">
        <v>46132</v>
      </c>
      <c r="D3631" t="inlineStr">
        <is>
          <t>ÖREBRO LÄN</t>
        </is>
      </c>
      <c r="E3631" t="inlineStr">
        <is>
          <t>DEGERFORS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52401-2024</t>
        </is>
      </c>
      <c r="B3632" s="1" t="n">
        <v>45609.44553240741</v>
      </c>
      <c r="C3632" s="1" t="n">
        <v>46132</v>
      </c>
      <c r="D3632" t="inlineStr">
        <is>
          <t>ÖREBRO LÄN</t>
        </is>
      </c>
      <c r="E3632" t="inlineStr">
        <is>
          <t>ÖREBRO</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16470-2025</t>
        </is>
      </c>
      <c r="B3633" s="1" t="n">
        <v>45751.54487268518</v>
      </c>
      <c r="C3633" s="1" t="n">
        <v>46132</v>
      </c>
      <c r="D3633" t="inlineStr">
        <is>
          <t>ÖREBRO LÄN</t>
        </is>
      </c>
      <c r="E3633" t="inlineStr">
        <is>
          <t>LJUSNARSBERG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6821-2023</t>
        </is>
      </c>
      <c r="B3634" s="1" t="n">
        <v>44967.39028935185</v>
      </c>
      <c r="C3634" s="1" t="n">
        <v>46132</v>
      </c>
      <c r="D3634" t="inlineStr">
        <is>
          <t>ÖREBRO LÄN</t>
        </is>
      </c>
      <c r="E3634" t="inlineStr">
        <is>
          <t>ASKERSUND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41353-2024</t>
        </is>
      </c>
      <c r="B3635" s="1" t="n">
        <v>45559</v>
      </c>
      <c r="C3635" s="1" t="n">
        <v>46132</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13800-2026</t>
        </is>
      </c>
      <c r="B3636" s="1" t="n">
        <v>46097.87292824074</v>
      </c>
      <c r="C3636" s="1" t="n">
        <v>46132</v>
      </c>
      <c r="D3636" t="inlineStr">
        <is>
          <t>ÖREBRO LÄN</t>
        </is>
      </c>
      <c r="E3636" t="inlineStr">
        <is>
          <t>LJUSNARSBERG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7932-2024</t>
        </is>
      </c>
      <c r="B3637" s="1" t="n">
        <v>45349</v>
      </c>
      <c r="C3637" s="1" t="n">
        <v>46132</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555-2026</t>
        </is>
      </c>
      <c r="B3638" s="1" t="n">
        <v>46029</v>
      </c>
      <c r="C3638" s="1" t="n">
        <v>46132</v>
      </c>
      <c r="D3638" t="inlineStr">
        <is>
          <t>ÖREBRO LÄN</t>
        </is>
      </c>
      <c r="E3638" t="inlineStr">
        <is>
          <t>LAXÅ</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61733-2024</t>
        </is>
      </c>
      <c r="B3639" s="1" t="n">
        <v>45649.34486111111</v>
      </c>
      <c r="C3639" s="1" t="n">
        <v>46132</v>
      </c>
      <c r="D3639" t="inlineStr">
        <is>
          <t>ÖREBRO LÄN</t>
        </is>
      </c>
      <c r="E3639" t="inlineStr">
        <is>
          <t>LEKEBERG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38344-2024</t>
        </is>
      </c>
      <c r="B3640" s="1" t="n">
        <v>45545</v>
      </c>
      <c r="C3640" s="1" t="n">
        <v>46132</v>
      </c>
      <c r="D3640" t="inlineStr">
        <is>
          <t>ÖREBRO LÄN</t>
        </is>
      </c>
      <c r="E3640" t="inlineStr">
        <is>
          <t>HALLSBERG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16615-2025</t>
        </is>
      </c>
      <c r="B3641" s="1" t="n">
        <v>45754.28462962963</v>
      </c>
      <c r="C3641" s="1" t="n">
        <v>46132</v>
      </c>
      <c r="D3641" t="inlineStr">
        <is>
          <t>ÖREBRO LÄN</t>
        </is>
      </c>
      <c r="E3641" t="inlineStr">
        <is>
          <t>LJUSNARSBERG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51379-2023</t>
        </is>
      </c>
      <c r="B3642" s="1" t="n">
        <v>45219</v>
      </c>
      <c r="C3642" s="1" t="n">
        <v>46132</v>
      </c>
      <c r="D3642" t="inlineStr">
        <is>
          <t>ÖREBRO LÄN</t>
        </is>
      </c>
      <c r="E3642" t="inlineStr">
        <is>
          <t>LINDESBERG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13648-2026</t>
        </is>
      </c>
      <c r="B3643" s="1" t="n">
        <v>46095</v>
      </c>
      <c r="C3643" s="1" t="n">
        <v>46132</v>
      </c>
      <c r="D3643" t="inlineStr">
        <is>
          <t>ÖREBRO LÄN</t>
        </is>
      </c>
      <c r="E3643" t="inlineStr">
        <is>
          <t>ASKERSUND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60312-2024</t>
        </is>
      </c>
      <c r="B3644" s="1" t="n">
        <v>45643</v>
      </c>
      <c r="C3644" s="1" t="n">
        <v>46132</v>
      </c>
      <c r="D3644" t="inlineStr">
        <is>
          <t>ÖREBRO LÄN</t>
        </is>
      </c>
      <c r="E3644" t="inlineStr">
        <is>
          <t>HÄLLEFORS</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4467-2024</t>
        </is>
      </c>
      <c r="B3645" s="1" t="n">
        <v>45327</v>
      </c>
      <c r="C3645" s="1" t="n">
        <v>46132</v>
      </c>
      <c r="D3645" t="inlineStr">
        <is>
          <t>ÖREBRO LÄN</t>
        </is>
      </c>
      <c r="E3645" t="inlineStr">
        <is>
          <t>ASKERSUND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5080-2024</t>
        </is>
      </c>
      <c r="B3646" s="1" t="n">
        <v>45330</v>
      </c>
      <c r="C3646" s="1" t="n">
        <v>46132</v>
      </c>
      <c r="D3646" t="inlineStr">
        <is>
          <t>ÖREBRO LÄN</t>
        </is>
      </c>
      <c r="E3646" t="inlineStr">
        <is>
          <t>LINDESBERG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14963-2025</t>
        </is>
      </c>
      <c r="B3647" s="1" t="n">
        <v>45743.58699074074</v>
      </c>
      <c r="C3647" s="1" t="n">
        <v>46132</v>
      </c>
      <c r="D3647" t="inlineStr">
        <is>
          <t>ÖREBRO LÄN</t>
        </is>
      </c>
      <c r="E3647" t="inlineStr">
        <is>
          <t>ÖREBRO</t>
        </is>
      </c>
      <c r="G3647" t="n">
        <v>9.1</v>
      </c>
      <c r="H3647" t="n">
        <v>0</v>
      </c>
      <c r="I3647" t="n">
        <v>0</v>
      </c>
      <c r="J3647" t="n">
        <v>0</v>
      </c>
      <c r="K3647" t="n">
        <v>0</v>
      </c>
      <c r="L3647" t="n">
        <v>0</v>
      </c>
      <c r="M3647" t="n">
        <v>0</v>
      </c>
      <c r="N3647" t="n">
        <v>0</v>
      </c>
      <c r="O3647" t="n">
        <v>0</v>
      </c>
      <c r="P3647" t="n">
        <v>0</v>
      </c>
      <c r="Q3647" t="n">
        <v>0</v>
      </c>
      <c r="R3647" s="2" t="inlineStr"/>
    </row>
    <row r="3648" ht="15" customHeight="1">
      <c r="A3648" t="inlineStr">
        <is>
          <t>A 57944-2024</t>
        </is>
      </c>
      <c r="B3648" s="1" t="n">
        <v>45631</v>
      </c>
      <c r="C3648" s="1" t="n">
        <v>46132</v>
      </c>
      <c r="D3648" t="inlineStr">
        <is>
          <t>ÖREBRO LÄN</t>
        </is>
      </c>
      <c r="E3648" t="inlineStr">
        <is>
          <t>KUMLA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12307-2025</t>
        </is>
      </c>
      <c r="B3649" s="1" t="n">
        <v>45729.76231481481</v>
      </c>
      <c r="C3649" s="1" t="n">
        <v>46132</v>
      </c>
      <c r="D3649" t="inlineStr">
        <is>
          <t>ÖREBRO LÄN</t>
        </is>
      </c>
      <c r="E3649" t="inlineStr">
        <is>
          <t>LINDESBERG</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14567-2026</t>
        </is>
      </c>
      <c r="B3650" s="1" t="n">
        <v>46100.84047453704</v>
      </c>
      <c r="C3650" s="1" t="n">
        <v>46132</v>
      </c>
      <c r="D3650" t="inlineStr">
        <is>
          <t>ÖREBRO LÄN</t>
        </is>
      </c>
      <c r="E3650" t="inlineStr">
        <is>
          <t>NORA</t>
        </is>
      </c>
      <c r="G3650" t="n">
        <v>23.2</v>
      </c>
      <c r="H3650" t="n">
        <v>0</v>
      </c>
      <c r="I3650" t="n">
        <v>0</v>
      </c>
      <c r="J3650" t="n">
        <v>0</v>
      </c>
      <c r="K3650" t="n">
        <v>0</v>
      </c>
      <c r="L3650" t="n">
        <v>0</v>
      </c>
      <c r="M3650" t="n">
        <v>0</v>
      </c>
      <c r="N3650" t="n">
        <v>0</v>
      </c>
      <c r="O3650" t="n">
        <v>0</v>
      </c>
      <c r="P3650" t="n">
        <v>0</v>
      </c>
      <c r="Q3650" t="n">
        <v>0</v>
      </c>
      <c r="R3650" s="2" t="inlineStr"/>
    </row>
    <row r="3651" ht="15" customHeight="1">
      <c r="A3651" t="inlineStr">
        <is>
          <t>A 45056-2024</t>
        </is>
      </c>
      <c r="B3651" s="1" t="n">
        <v>45575.55273148148</v>
      </c>
      <c r="C3651" s="1" t="n">
        <v>46132</v>
      </c>
      <c r="D3651" t="inlineStr">
        <is>
          <t>ÖREBRO LÄN</t>
        </is>
      </c>
      <c r="E3651" t="inlineStr">
        <is>
          <t>LINDESBERG</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45058-2024</t>
        </is>
      </c>
      <c r="B3652" s="1" t="n">
        <v>45575.5547337963</v>
      </c>
      <c r="C3652" s="1" t="n">
        <v>46132</v>
      </c>
      <c r="D3652" t="inlineStr">
        <is>
          <t>ÖREBRO LÄN</t>
        </is>
      </c>
      <c r="E3652" t="inlineStr">
        <is>
          <t>LINDESBERG</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14032-2026</t>
        </is>
      </c>
      <c r="B3653" s="1" t="n">
        <v>46098</v>
      </c>
      <c r="C3653" s="1" t="n">
        <v>46132</v>
      </c>
      <c r="D3653" t="inlineStr">
        <is>
          <t>ÖREBRO LÄN</t>
        </is>
      </c>
      <c r="E3653" t="inlineStr">
        <is>
          <t>ÖREBRO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45063-2024</t>
        </is>
      </c>
      <c r="B3654" s="1" t="n">
        <v>45575.55684027778</v>
      </c>
      <c r="C3654" s="1" t="n">
        <v>46132</v>
      </c>
      <c r="D3654" t="inlineStr">
        <is>
          <t>ÖREBRO LÄN</t>
        </is>
      </c>
      <c r="E3654" t="inlineStr">
        <is>
          <t>LINDESBERG</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45072-2024</t>
        </is>
      </c>
      <c r="B3655" s="1" t="n">
        <v>45575.56686342593</v>
      </c>
      <c r="C3655" s="1" t="n">
        <v>46132</v>
      </c>
      <c r="D3655" t="inlineStr">
        <is>
          <t>ÖREBRO LÄN</t>
        </is>
      </c>
      <c r="E3655" t="inlineStr">
        <is>
          <t>LINDESBERG</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45075-2024</t>
        </is>
      </c>
      <c r="B3656" s="1" t="n">
        <v>45575.56820601852</v>
      </c>
      <c r="C3656" s="1" t="n">
        <v>46132</v>
      </c>
      <c r="D3656" t="inlineStr">
        <is>
          <t>ÖREBRO LÄN</t>
        </is>
      </c>
      <c r="E3656" t="inlineStr">
        <is>
          <t>LINDESBERG</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7069-2026</t>
        </is>
      </c>
      <c r="B3657" s="1" t="n">
        <v>46058.30956018518</v>
      </c>
      <c r="C3657" s="1" t="n">
        <v>46132</v>
      </c>
      <c r="D3657" t="inlineStr">
        <is>
          <t>ÖREBRO LÄN</t>
        </is>
      </c>
      <c r="E3657" t="inlineStr">
        <is>
          <t>LINDESBERG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48168-2024</t>
        </is>
      </c>
      <c r="B3658" s="1" t="n">
        <v>45589.74410879629</v>
      </c>
      <c r="C3658" s="1" t="n">
        <v>46132</v>
      </c>
      <c r="D3658" t="inlineStr">
        <is>
          <t>ÖREBRO LÄN</t>
        </is>
      </c>
      <c r="E3658" t="inlineStr">
        <is>
          <t>KARLSKOGA</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14225-2026</t>
        </is>
      </c>
      <c r="B3659" s="1" t="n">
        <v>46099.57572916667</v>
      </c>
      <c r="C3659" s="1" t="n">
        <v>46132</v>
      </c>
      <c r="D3659" t="inlineStr">
        <is>
          <t>ÖREBRO LÄN</t>
        </is>
      </c>
      <c r="E3659" t="inlineStr">
        <is>
          <t>ASKERSUND</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7098-2026</t>
        </is>
      </c>
      <c r="B3660" s="1" t="n">
        <v>46058.35196759259</v>
      </c>
      <c r="C3660" s="1" t="n">
        <v>46132</v>
      </c>
      <c r="D3660" t="inlineStr">
        <is>
          <t>ÖREBRO LÄN</t>
        </is>
      </c>
      <c r="E3660" t="inlineStr">
        <is>
          <t>LINDESBERG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3756-2026</t>
        </is>
      </c>
      <c r="B3661" s="1" t="n">
        <v>46043</v>
      </c>
      <c r="C3661" s="1" t="n">
        <v>46132</v>
      </c>
      <c r="D3661" t="inlineStr">
        <is>
          <t>ÖREBRO LÄN</t>
        </is>
      </c>
      <c r="E3661" t="inlineStr">
        <is>
          <t>LINDESBERG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7227-2026</t>
        </is>
      </c>
      <c r="B3662" s="1" t="n">
        <v>46058.56858796296</v>
      </c>
      <c r="C3662" s="1" t="n">
        <v>46132</v>
      </c>
      <c r="D3662" t="inlineStr">
        <is>
          <t>ÖREBRO LÄN</t>
        </is>
      </c>
      <c r="E3662" t="inlineStr">
        <is>
          <t>ÖREBRO</t>
        </is>
      </c>
      <c r="F3662" t="inlineStr">
        <is>
          <t>Övriga Aktiebolag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7238-2026</t>
        </is>
      </c>
      <c r="B3663" s="1" t="n">
        <v>46058.58313657407</v>
      </c>
      <c r="C3663" s="1" t="n">
        <v>46132</v>
      </c>
      <c r="D3663" t="inlineStr">
        <is>
          <t>ÖREBRO LÄN</t>
        </is>
      </c>
      <c r="E3663" t="inlineStr">
        <is>
          <t>HALLSBERG</t>
        </is>
      </c>
      <c r="F3663" t="inlineStr">
        <is>
          <t>Övriga Aktiebolag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7247-2026</t>
        </is>
      </c>
      <c r="B3664" s="1" t="n">
        <v>46058.59171296296</v>
      </c>
      <c r="C3664" s="1" t="n">
        <v>46132</v>
      </c>
      <c r="D3664" t="inlineStr">
        <is>
          <t>ÖREBRO LÄN</t>
        </is>
      </c>
      <c r="E3664" t="inlineStr">
        <is>
          <t>LAXÅ</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14242-2026</t>
        </is>
      </c>
      <c r="B3665" s="1" t="n">
        <v>46099.60429398148</v>
      </c>
      <c r="C3665" s="1" t="n">
        <v>46132</v>
      </c>
      <c r="D3665" t="inlineStr">
        <is>
          <t>ÖREBRO LÄN</t>
        </is>
      </c>
      <c r="E3665" t="inlineStr">
        <is>
          <t>NORA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38626-2023</t>
        </is>
      </c>
      <c r="B3666" s="1" t="n">
        <v>45162</v>
      </c>
      <c r="C3666" s="1" t="n">
        <v>46132</v>
      </c>
      <c r="D3666" t="inlineStr">
        <is>
          <t>ÖREBRO LÄN</t>
        </is>
      </c>
      <c r="E3666" t="inlineStr">
        <is>
          <t>ASKERSUND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41948-2023</t>
        </is>
      </c>
      <c r="B3667" s="1" t="n">
        <v>45177.33091435185</v>
      </c>
      <c r="C3667" s="1" t="n">
        <v>46132</v>
      </c>
      <c r="D3667" t="inlineStr">
        <is>
          <t>ÖREBRO LÄN</t>
        </is>
      </c>
      <c r="E3667" t="inlineStr">
        <is>
          <t>LINDESBERG</t>
        </is>
      </c>
      <c r="F3667" t="inlineStr">
        <is>
          <t>Kyrkan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55357-2024</t>
        </is>
      </c>
      <c r="B3668" s="1" t="n">
        <v>45621.81126157408</v>
      </c>
      <c r="C3668" s="1" t="n">
        <v>46132</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7182-2026</t>
        </is>
      </c>
      <c r="B3669" s="1" t="n">
        <v>46058.48521990741</v>
      </c>
      <c r="C3669" s="1" t="n">
        <v>46132</v>
      </c>
      <c r="D3669" t="inlineStr">
        <is>
          <t>ÖREBRO LÄN</t>
        </is>
      </c>
      <c r="E3669" t="inlineStr">
        <is>
          <t>ASKERSUND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6772-2026</t>
        </is>
      </c>
      <c r="B3670" s="1" t="n">
        <v>46057.2934837963</v>
      </c>
      <c r="C3670" s="1" t="n">
        <v>46132</v>
      </c>
      <c r="D3670" t="inlineStr">
        <is>
          <t>ÖREBRO LÄN</t>
        </is>
      </c>
      <c r="E3670" t="inlineStr">
        <is>
          <t>HÄLLEFORS</t>
        </is>
      </c>
      <c r="F3670" t="inlineStr">
        <is>
          <t>Bergvik skog väst AB</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33097-2023</t>
        </is>
      </c>
      <c r="B3671" s="1" t="n">
        <v>45126.54177083333</v>
      </c>
      <c r="C3671" s="1" t="n">
        <v>46132</v>
      </c>
      <c r="D3671" t="inlineStr">
        <is>
          <t>ÖREBRO LÄN</t>
        </is>
      </c>
      <c r="E3671" t="inlineStr">
        <is>
          <t>HALLSBERG</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7202-2026</t>
        </is>
      </c>
      <c r="B3672" s="1" t="n">
        <v>46058.52864583334</v>
      </c>
      <c r="C3672" s="1" t="n">
        <v>46132</v>
      </c>
      <c r="D3672" t="inlineStr">
        <is>
          <t>ÖREBRO LÄN</t>
        </is>
      </c>
      <c r="E3672" t="inlineStr">
        <is>
          <t>LINDESBERG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7270-2026</t>
        </is>
      </c>
      <c r="B3673" s="1" t="n">
        <v>46058.61078703704</v>
      </c>
      <c r="C3673" s="1" t="n">
        <v>46132</v>
      </c>
      <c r="D3673" t="inlineStr">
        <is>
          <t>ÖREBRO LÄN</t>
        </is>
      </c>
      <c r="E3673" t="inlineStr">
        <is>
          <t>KUMLA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38422-2023</t>
        </is>
      </c>
      <c r="B3674" s="1" t="n">
        <v>45162.36422453704</v>
      </c>
      <c r="C3674" s="1" t="n">
        <v>46132</v>
      </c>
      <c r="D3674" t="inlineStr">
        <is>
          <t>ÖREBRO LÄN</t>
        </is>
      </c>
      <c r="E3674" t="inlineStr">
        <is>
          <t>ÖREBRO</t>
        </is>
      </c>
      <c r="G3674" t="n">
        <v>8</v>
      </c>
      <c r="H3674" t="n">
        <v>0</v>
      </c>
      <c r="I3674" t="n">
        <v>0</v>
      </c>
      <c r="J3674" t="n">
        <v>0</v>
      </c>
      <c r="K3674" t="n">
        <v>0</v>
      </c>
      <c r="L3674" t="n">
        <v>0</v>
      </c>
      <c r="M3674" t="n">
        <v>0</v>
      </c>
      <c r="N3674" t="n">
        <v>0</v>
      </c>
      <c r="O3674" t="n">
        <v>0</v>
      </c>
      <c r="P3674" t="n">
        <v>0</v>
      </c>
      <c r="Q3674" t="n">
        <v>0</v>
      </c>
      <c r="R3674" s="2" t="inlineStr"/>
    </row>
    <row r="3675" ht="15" customHeight="1">
      <c r="A3675" t="inlineStr">
        <is>
          <t>A 73009-2021</t>
        </is>
      </c>
      <c r="B3675" s="1" t="n">
        <v>44550.33282407407</v>
      </c>
      <c r="C3675" s="1" t="n">
        <v>46132</v>
      </c>
      <c r="D3675" t="inlineStr">
        <is>
          <t>ÖREBRO LÄN</t>
        </is>
      </c>
      <c r="E3675" t="inlineStr">
        <is>
          <t>NORA</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7220-2026</t>
        </is>
      </c>
      <c r="B3676" s="1" t="n">
        <v>46058.56126157408</v>
      </c>
      <c r="C3676" s="1" t="n">
        <v>46132</v>
      </c>
      <c r="D3676" t="inlineStr">
        <is>
          <t>ÖREBRO LÄN</t>
        </is>
      </c>
      <c r="E3676" t="inlineStr">
        <is>
          <t>ÖREBRO</t>
        </is>
      </c>
      <c r="F3676" t="inlineStr">
        <is>
          <t>Övriga Aktiebolag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67016-2021</t>
        </is>
      </c>
      <c r="B3677" s="1" t="n">
        <v>44522</v>
      </c>
      <c r="C3677" s="1" t="n">
        <v>46132</v>
      </c>
      <c r="D3677" t="inlineStr">
        <is>
          <t>ÖREBRO LÄN</t>
        </is>
      </c>
      <c r="E3677" t="inlineStr">
        <is>
          <t>LINDESBERG</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46518-2023</t>
        </is>
      </c>
      <c r="B3678" s="1" t="n">
        <v>45197.72777777778</v>
      </c>
      <c r="C3678" s="1" t="n">
        <v>46132</v>
      </c>
      <c r="D3678" t="inlineStr">
        <is>
          <t>ÖREBRO LÄN</t>
        </is>
      </c>
      <c r="E3678" t="inlineStr">
        <is>
          <t>ÖREBRO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14343-2026</t>
        </is>
      </c>
      <c r="B3679" s="1" t="n">
        <v>46100.33061342593</v>
      </c>
      <c r="C3679" s="1" t="n">
        <v>46132</v>
      </c>
      <c r="D3679" t="inlineStr">
        <is>
          <t>ÖREBRO LÄN</t>
        </is>
      </c>
      <c r="E3679" t="inlineStr">
        <is>
          <t>HÄLLEFORS</t>
        </is>
      </c>
      <c r="F3679" t="inlineStr">
        <is>
          <t>Sveaskog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2282-2022</t>
        </is>
      </c>
      <c r="B3680" s="1" t="n">
        <v>44578</v>
      </c>
      <c r="C3680" s="1" t="n">
        <v>46132</v>
      </c>
      <c r="D3680" t="inlineStr">
        <is>
          <t>ÖREBRO LÄN</t>
        </is>
      </c>
      <c r="E3680" t="inlineStr">
        <is>
          <t>ASKERSUND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14253-2026</t>
        </is>
      </c>
      <c r="B3681" s="1" t="n">
        <v>46099.61896990741</v>
      </c>
      <c r="C3681" s="1" t="n">
        <v>46132</v>
      </c>
      <c r="D3681" t="inlineStr">
        <is>
          <t>ÖREBRO LÄN</t>
        </is>
      </c>
      <c r="E3681" t="inlineStr">
        <is>
          <t>NORA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10111-2022</t>
        </is>
      </c>
      <c r="B3682" s="1" t="n">
        <v>44621.85737268518</v>
      </c>
      <c r="C3682" s="1" t="n">
        <v>46132</v>
      </c>
      <c r="D3682" t="inlineStr">
        <is>
          <t>ÖREBRO LÄN</t>
        </is>
      </c>
      <c r="E3682" t="inlineStr">
        <is>
          <t>LINDESBERG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7272-2026</t>
        </is>
      </c>
      <c r="B3683" s="1" t="n">
        <v>46058.61381944444</v>
      </c>
      <c r="C3683" s="1" t="n">
        <v>46132</v>
      </c>
      <c r="D3683" t="inlineStr">
        <is>
          <t>ÖREBRO LÄN</t>
        </is>
      </c>
      <c r="E3683" t="inlineStr">
        <is>
          <t>KUMLA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54075-2024</t>
        </is>
      </c>
      <c r="B3684" s="1" t="n">
        <v>45616.48739583333</v>
      </c>
      <c r="C3684" s="1" t="n">
        <v>46132</v>
      </c>
      <c r="D3684" t="inlineStr">
        <is>
          <t>ÖREBRO LÄN</t>
        </is>
      </c>
      <c r="E3684" t="inlineStr">
        <is>
          <t>HALLSBERG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19960-2023</t>
        </is>
      </c>
      <c r="B3685" s="1" t="n">
        <v>45054</v>
      </c>
      <c r="C3685" s="1" t="n">
        <v>46132</v>
      </c>
      <c r="D3685" t="inlineStr">
        <is>
          <t>ÖREBRO LÄN</t>
        </is>
      </c>
      <c r="E3685" t="inlineStr">
        <is>
          <t>LINDESBERG</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40339-2024</t>
        </is>
      </c>
      <c r="B3686" s="1" t="n">
        <v>45555.33125</v>
      </c>
      <c r="C3686" s="1" t="n">
        <v>46132</v>
      </c>
      <c r="D3686" t="inlineStr">
        <is>
          <t>ÖREBRO LÄN</t>
        </is>
      </c>
      <c r="E3686" t="inlineStr">
        <is>
          <t>NORA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50972-2023</t>
        </is>
      </c>
      <c r="B3687" s="1" t="n">
        <v>45218</v>
      </c>
      <c r="C3687" s="1" t="n">
        <v>46132</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6774-2026</t>
        </is>
      </c>
      <c r="B3688" s="1" t="n">
        <v>46057.29586805555</v>
      </c>
      <c r="C3688" s="1" t="n">
        <v>46132</v>
      </c>
      <c r="D3688" t="inlineStr">
        <is>
          <t>ÖREBRO LÄN</t>
        </is>
      </c>
      <c r="E3688" t="inlineStr">
        <is>
          <t>HÄLLEFORS</t>
        </is>
      </c>
      <c r="F3688" t="inlineStr">
        <is>
          <t>Bergvik skog väst AB</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6989-2026</t>
        </is>
      </c>
      <c r="B3689" s="1" t="n">
        <v>46057.60342592592</v>
      </c>
      <c r="C3689" s="1" t="n">
        <v>46132</v>
      </c>
      <c r="D3689" t="inlineStr">
        <is>
          <t>ÖREBRO LÄN</t>
        </is>
      </c>
      <c r="E3689" t="inlineStr">
        <is>
          <t>LINDESBERG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7121-2026</t>
        </is>
      </c>
      <c r="B3690" s="1" t="n">
        <v>46058.38300925926</v>
      </c>
      <c r="C3690" s="1" t="n">
        <v>46132</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38010-2023</t>
        </is>
      </c>
      <c r="B3691" s="1" t="n">
        <v>45160</v>
      </c>
      <c r="C3691" s="1" t="n">
        <v>46132</v>
      </c>
      <c r="D3691" t="inlineStr">
        <is>
          <t>ÖREBRO LÄN</t>
        </is>
      </c>
      <c r="E3691" t="inlineStr">
        <is>
          <t>HALLSBERG</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57670-2024</t>
        </is>
      </c>
      <c r="B3692" s="1" t="n">
        <v>45630</v>
      </c>
      <c r="C3692" s="1" t="n">
        <v>46132</v>
      </c>
      <c r="D3692" t="inlineStr">
        <is>
          <t>ÖREBRO LÄN</t>
        </is>
      </c>
      <c r="E3692" t="inlineStr">
        <is>
          <t>LAXÅ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49943-2024</t>
        </is>
      </c>
      <c r="B3693" s="1" t="n">
        <v>45597.6003125</v>
      </c>
      <c r="C3693" s="1" t="n">
        <v>46132</v>
      </c>
      <c r="D3693" t="inlineStr">
        <is>
          <t>ÖREBRO LÄN</t>
        </is>
      </c>
      <c r="E3693" t="inlineStr">
        <is>
          <t>LAXÅ</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6310-2024</t>
        </is>
      </c>
      <c r="B3694" s="1" t="n">
        <v>45338</v>
      </c>
      <c r="C3694" s="1" t="n">
        <v>46132</v>
      </c>
      <c r="D3694" t="inlineStr">
        <is>
          <t>ÖREBRO LÄN</t>
        </is>
      </c>
      <c r="E3694" t="inlineStr">
        <is>
          <t>LJUSNARSBERG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14580-2026</t>
        </is>
      </c>
      <c r="B3695" s="1" t="n">
        <v>46101.33767361111</v>
      </c>
      <c r="C3695" s="1" t="n">
        <v>46132</v>
      </c>
      <c r="D3695" t="inlineStr">
        <is>
          <t>ÖREBRO LÄN</t>
        </is>
      </c>
      <c r="E3695" t="inlineStr">
        <is>
          <t>KARLSKOGA</t>
        </is>
      </c>
      <c r="F3695" t="inlineStr">
        <is>
          <t>Sveaskog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14876-2026</t>
        </is>
      </c>
      <c r="B3696" s="1" t="n">
        <v>46104.4419212963</v>
      </c>
      <c r="C3696" s="1" t="n">
        <v>46132</v>
      </c>
      <c r="D3696" t="inlineStr">
        <is>
          <t>ÖREBRO LÄN</t>
        </is>
      </c>
      <c r="E3696" t="inlineStr">
        <is>
          <t>LAXÅ</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14877-2026</t>
        </is>
      </c>
      <c r="B3697" s="1" t="n">
        <v>46104.44263888889</v>
      </c>
      <c r="C3697" s="1" t="n">
        <v>46132</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41853-2024</t>
        </is>
      </c>
      <c r="B3698" s="1" t="n">
        <v>45561</v>
      </c>
      <c r="C3698" s="1" t="n">
        <v>46132</v>
      </c>
      <c r="D3698" t="inlineStr">
        <is>
          <t>ÖREBRO LÄN</t>
        </is>
      </c>
      <c r="E3698" t="inlineStr">
        <is>
          <t>LAXÅ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41703-2024</t>
        </is>
      </c>
      <c r="B3699" s="1" t="n">
        <v>45560</v>
      </c>
      <c r="C3699" s="1" t="n">
        <v>46132</v>
      </c>
      <c r="D3699" t="inlineStr">
        <is>
          <t>ÖREBRO LÄN</t>
        </is>
      </c>
      <c r="E3699" t="inlineStr">
        <is>
          <t>ÖREBRO</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19763-2024</t>
        </is>
      </c>
      <c r="B3700" s="1" t="n">
        <v>45432</v>
      </c>
      <c r="C3700" s="1" t="n">
        <v>46132</v>
      </c>
      <c r="D3700" t="inlineStr">
        <is>
          <t>ÖREBRO LÄN</t>
        </is>
      </c>
      <c r="E3700" t="inlineStr">
        <is>
          <t>ÖREBRO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13454-2022</t>
        </is>
      </c>
      <c r="B3701" s="1" t="n">
        <v>44645</v>
      </c>
      <c r="C3701" s="1" t="n">
        <v>46132</v>
      </c>
      <c r="D3701" t="inlineStr">
        <is>
          <t>ÖREBRO LÄN</t>
        </is>
      </c>
      <c r="E3701" t="inlineStr">
        <is>
          <t>KARLSKOGA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7550-2026</t>
        </is>
      </c>
      <c r="B3702" s="1" t="n">
        <v>46059.68496527777</v>
      </c>
      <c r="C3702" s="1" t="n">
        <v>46132</v>
      </c>
      <c r="D3702" t="inlineStr">
        <is>
          <t>ÖREBRO LÄN</t>
        </is>
      </c>
      <c r="E3702" t="inlineStr">
        <is>
          <t>ÖREBRO</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38402-2023</t>
        </is>
      </c>
      <c r="B3703" s="1" t="n">
        <v>45162</v>
      </c>
      <c r="C3703" s="1" t="n">
        <v>46132</v>
      </c>
      <c r="D3703" t="inlineStr">
        <is>
          <t>ÖREBRO LÄN</t>
        </is>
      </c>
      <c r="E3703" t="inlineStr">
        <is>
          <t>HÄLLEFORS</t>
        </is>
      </c>
      <c r="F3703" t="inlineStr">
        <is>
          <t>Bergvik skog väst AB</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28819-2023</t>
        </is>
      </c>
      <c r="B3704" s="1" t="n">
        <v>45104.38340277778</v>
      </c>
      <c r="C3704" s="1" t="n">
        <v>46132</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43843-2023</t>
        </is>
      </c>
      <c r="B3705" s="1" t="n">
        <v>45187</v>
      </c>
      <c r="C3705" s="1" t="n">
        <v>46132</v>
      </c>
      <c r="D3705" t="inlineStr">
        <is>
          <t>ÖREBRO LÄN</t>
        </is>
      </c>
      <c r="E3705" t="inlineStr">
        <is>
          <t>NORA</t>
        </is>
      </c>
      <c r="F3705" t="inlineStr">
        <is>
          <t>Sveaskog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31247-2023</t>
        </is>
      </c>
      <c r="B3706" s="1" t="n">
        <v>45114</v>
      </c>
      <c r="C3706" s="1" t="n">
        <v>46132</v>
      </c>
      <c r="D3706" t="inlineStr">
        <is>
          <t>ÖREBRO LÄN</t>
        </is>
      </c>
      <c r="E3706" t="inlineStr">
        <is>
          <t>ÖREBRO</t>
        </is>
      </c>
      <c r="F3706" t="inlineStr">
        <is>
          <t>Allmännings- och besparingsskogar</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6828-2022</t>
        </is>
      </c>
      <c r="B3707" s="1" t="n">
        <v>44602.59796296297</v>
      </c>
      <c r="C3707" s="1" t="n">
        <v>46132</v>
      </c>
      <c r="D3707" t="inlineStr">
        <is>
          <t>ÖREBRO LÄN</t>
        </is>
      </c>
      <c r="E3707" t="inlineStr">
        <is>
          <t>ASKERSUND</t>
        </is>
      </c>
      <c r="G3707" t="n">
        <v>9.699999999999999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14739-2026</t>
        </is>
      </c>
      <c r="B3708" s="1" t="n">
        <v>46101.59451388889</v>
      </c>
      <c r="C3708" s="1" t="n">
        <v>46132</v>
      </c>
      <c r="D3708" t="inlineStr">
        <is>
          <t>ÖREBRO LÄN</t>
        </is>
      </c>
      <c r="E3708" t="inlineStr">
        <is>
          <t>LEKEBERG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55475-2024</t>
        </is>
      </c>
      <c r="B3709" s="1" t="n">
        <v>45622.43645833333</v>
      </c>
      <c r="C3709" s="1" t="n">
        <v>46132</v>
      </c>
      <c r="D3709" t="inlineStr">
        <is>
          <t>ÖREBRO LÄN</t>
        </is>
      </c>
      <c r="E3709" t="inlineStr">
        <is>
          <t>LAXÅ</t>
        </is>
      </c>
      <c r="F3709" t="inlineStr">
        <is>
          <t>Sveaskog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50237-2024</t>
        </is>
      </c>
      <c r="B3710" s="1" t="n">
        <v>45600</v>
      </c>
      <c r="C3710" s="1" t="n">
        <v>46132</v>
      </c>
      <c r="D3710" t="inlineStr">
        <is>
          <t>ÖREBRO LÄN</t>
        </is>
      </c>
      <c r="E3710" t="inlineStr">
        <is>
          <t>HALLSBERG</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50262-2024</t>
        </is>
      </c>
      <c r="B3711" s="1" t="n">
        <v>45600.58674768519</v>
      </c>
      <c r="C3711" s="1" t="n">
        <v>46132</v>
      </c>
      <c r="D3711" t="inlineStr">
        <is>
          <t>ÖREBRO LÄN</t>
        </is>
      </c>
      <c r="E3711" t="inlineStr">
        <is>
          <t>LAXÅ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15625-2022</t>
        </is>
      </c>
      <c r="B3712" s="1" t="n">
        <v>44662.70594907407</v>
      </c>
      <c r="C3712" s="1" t="n">
        <v>46132</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36635-2023</t>
        </is>
      </c>
      <c r="B3713" s="1" t="n">
        <v>45153</v>
      </c>
      <c r="C3713" s="1" t="n">
        <v>46132</v>
      </c>
      <c r="D3713" t="inlineStr">
        <is>
          <t>ÖREBRO LÄN</t>
        </is>
      </c>
      <c r="E3713" t="inlineStr">
        <is>
          <t>ÖREBRO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54149-2024</t>
        </is>
      </c>
      <c r="B3714" s="1" t="n">
        <v>45616</v>
      </c>
      <c r="C3714" s="1" t="n">
        <v>46132</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10743-2023</t>
        </is>
      </c>
      <c r="B3715" s="1" t="n">
        <v>44988.70174768518</v>
      </c>
      <c r="C3715" s="1" t="n">
        <v>46132</v>
      </c>
      <c r="D3715" t="inlineStr">
        <is>
          <t>ÖREBRO LÄN</t>
        </is>
      </c>
      <c r="E3715" t="inlineStr">
        <is>
          <t>KARLSKOGA</t>
        </is>
      </c>
      <c r="F3715" t="inlineStr">
        <is>
          <t>Kyrkan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10787-2023</t>
        </is>
      </c>
      <c r="B3716" s="1" t="n">
        <v>44989</v>
      </c>
      <c r="C3716" s="1" t="n">
        <v>46132</v>
      </c>
      <c r="D3716" t="inlineStr">
        <is>
          <t>ÖREBRO LÄN</t>
        </is>
      </c>
      <c r="E3716" t="inlineStr">
        <is>
          <t>LEKEBERG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10791-2023</t>
        </is>
      </c>
      <c r="B3717" s="1" t="n">
        <v>44989</v>
      </c>
      <c r="C3717" s="1" t="n">
        <v>46132</v>
      </c>
      <c r="D3717" t="inlineStr">
        <is>
          <t>ÖREBRO LÄN</t>
        </is>
      </c>
      <c r="E3717" t="inlineStr">
        <is>
          <t>LEKEBERG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50524-2023</t>
        </is>
      </c>
      <c r="B3718" s="1" t="n">
        <v>45217</v>
      </c>
      <c r="C3718" s="1" t="n">
        <v>46132</v>
      </c>
      <c r="D3718" t="inlineStr">
        <is>
          <t>ÖREBRO LÄN</t>
        </is>
      </c>
      <c r="E3718" t="inlineStr">
        <is>
          <t>LJUSNARSBERG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15050-2026</t>
        </is>
      </c>
      <c r="B3719" s="1" t="n">
        <v>46104.67331018519</v>
      </c>
      <c r="C3719" s="1" t="n">
        <v>46132</v>
      </c>
      <c r="D3719" t="inlineStr">
        <is>
          <t>ÖREBRO LÄN</t>
        </is>
      </c>
      <c r="E3719" t="inlineStr">
        <is>
          <t>LINDESBERG</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46619-2023</t>
        </is>
      </c>
      <c r="B3720" s="1" t="n">
        <v>45198</v>
      </c>
      <c r="C3720" s="1" t="n">
        <v>46132</v>
      </c>
      <c r="D3720" t="inlineStr">
        <is>
          <t>ÖREBRO LÄN</t>
        </is>
      </c>
      <c r="E3720" t="inlineStr">
        <is>
          <t>ASKERSUND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8615-2025</t>
        </is>
      </c>
      <c r="B3721" s="1" t="n">
        <v>45710.81305555555</v>
      </c>
      <c r="C3721" s="1" t="n">
        <v>46132</v>
      </c>
      <c r="D3721" t="inlineStr">
        <is>
          <t>ÖREBRO LÄN</t>
        </is>
      </c>
      <c r="E3721" t="inlineStr">
        <is>
          <t>HÄLLEFORS</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50611-2024</t>
        </is>
      </c>
      <c r="B3722" s="1" t="n">
        <v>45601.63069444444</v>
      </c>
      <c r="C3722" s="1" t="n">
        <v>46132</v>
      </c>
      <c r="D3722" t="inlineStr">
        <is>
          <t>ÖREBRO LÄN</t>
        </is>
      </c>
      <c r="E3722" t="inlineStr">
        <is>
          <t>KARLSKOGA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18987-2025</t>
        </is>
      </c>
      <c r="B3723" s="1" t="n">
        <v>45764.56091435185</v>
      </c>
      <c r="C3723" s="1" t="n">
        <v>46132</v>
      </c>
      <c r="D3723" t="inlineStr">
        <is>
          <t>ÖREBRO LÄN</t>
        </is>
      </c>
      <c r="E3723" t="inlineStr">
        <is>
          <t>HÄLLEFORS</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18512-2022</t>
        </is>
      </c>
      <c r="B3724" s="1" t="n">
        <v>44686.66105324074</v>
      </c>
      <c r="C3724" s="1" t="n">
        <v>46132</v>
      </c>
      <c r="D3724" t="inlineStr">
        <is>
          <t>ÖREBRO LÄN</t>
        </is>
      </c>
      <c r="E3724" t="inlineStr">
        <is>
          <t>HALLSBERG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42802-2023</t>
        </is>
      </c>
      <c r="B3725" s="1" t="n">
        <v>45182</v>
      </c>
      <c r="C3725" s="1" t="n">
        <v>46132</v>
      </c>
      <c r="D3725" t="inlineStr">
        <is>
          <t>ÖREBRO LÄN</t>
        </is>
      </c>
      <c r="E3725" t="inlineStr">
        <is>
          <t>KARLSKOGA</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16085-2022</t>
        </is>
      </c>
      <c r="B3726" s="1" t="n">
        <v>44665</v>
      </c>
      <c r="C3726" s="1" t="n">
        <v>46132</v>
      </c>
      <c r="D3726" t="inlineStr">
        <is>
          <t>ÖREBRO LÄN</t>
        </is>
      </c>
      <c r="E3726" t="inlineStr">
        <is>
          <t>HALLSBERG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12-2025</t>
        </is>
      </c>
      <c r="B3727" s="1" t="n">
        <v>45658.69398148148</v>
      </c>
      <c r="C3727" s="1" t="n">
        <v>46132</v>
      </c>
      <c r="D3727" t="inlineStr">
        <is>
          <t>ÖREBRO LÄN</t>
        </is>
      </c>
      <c r="E3727" t="inlineStr">
        <is>
          <t>KUMLA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47902-2023</t>
        </is>
      </c>
      <c r="B3728" s="1" t="n">
        <v>45204.49861111111</v>
      </c>
      <c r="C3728" s="1" t="n">
        <v>46132</v>
      </c>
      <c r="D3728" t="inlineStr">
        <is>
          <t>ÖREBRO LÄN</t>
        </is>
      </c>
      <c r="E3728" t="inlineStr">
        <is>
          <t>LEKEBERG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14680-2026</t>
        </is>
      </c>
      <c r="B3729" s="1" t="n">
        <v>46101.48212962963</v>
      </c>
      <c r="C3729" s="1" t="n">
        <v>46132</v>
      </c>
      <c r="D3729" t="inlineStr">
        <is>
          <t>ÖREBRO LÄN</t>
        </is>
      </c>
      <c r="E3729" t="inlineStr">
        <is>
          <t>LINDESBERG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33507-2023</t>
        </is>
      </c>
      <c r="B3730" s="1" t="n">
        <v>45131</v>
      </c>
      <c r="C3730" s="1" t="n">
        <v>46132</v>
      </c>
      <c r="D3730" t="inlineStr">
        <is>
          <t>ÖREBRO LÄN</t>
        </is>
      </c>
      <c r="E3730" t="inlineStr">
        <is>
          <t>LINDESBERG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2406-2024</t>
        </is>
      </c>
      <c r="B3731" s="1" t="n">
        <v>45310</v>
      </c>
      <c r="C3731" s="1" t="n">
        <v>46132</v>
      </c>
      <c r="D3731" t="inlineStr">
        <is>
          <t>ÖREBRO LÄN</t>
        </is>
      </c>
      <c r="E3731" t="inlineStr">
        <is>
          <t>LINDESBERG</t>
        </is>
      </c>
      <c r="G3731" t="n">
        <v>16.1</v>
      </c>
      <c r="H3731" t="n">
        <v>0</v>
      </c>
      <c r="I3731" t="n">
        <v>0</v>
      </c>
      <c r="J3731" t="n">
        <v>0</v>
      </c>
      <c r="K3731" t="n">
        <v>0</v>
      </c>
      <c r="L3731" t="n">
        <v>0</v>
      </c>
      <c r="M3731" t="n">
        <v>0</v>
      </c>
      <c r="N3731" t="n">
        <v>0</v>
      </c>
      <c r="O3731" t="n">
        <v>0</v>
      </c>
      <c r="P3731" t="n">
        <v>0</v>
      </c>
      <c r="Q3731" t="n">
        <v>0</v>
      </c>
      <c r="R3731" s="2" t="inlineStr"/>
    </row>
    <row r="3732" ht="15" customHeight="1">
      <c r="A3732" t="inlineStr">
        <is>
          <t>A 52829-2024</t>
        </is>
      </c>
      <c r="B3732" s="1" t="n">
        <v>45610.59344907408</v>
      </c>
      <c r="C3732" s="1" t="n">
        <v>46132</v>
      </c>
      <c r="D3732" t="inlineStr">
        <is>
          <t>ÖREBRO LÄN</t>
        </is>
      </c>
      <c r="E3732" t="inlineStr">
        <is>
          <t>KARLSKOGA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17895-2022</t>
        </is>
      </c>
      <c r="B3733" s="1" t="n">
        <v>44683</v>
      </c>
      <c r="C3733" s="1" t="n">
        <v>46132</v>
      </c>
      <c r="D3733" t="inlineStr">
        <is>
          <t>ÖREBRO LÄN</t>
        </is>
      </c>
      <c r="E3733" t="inlineStr">
        <is>
          <t>LINDESBERG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38768-2022</t>
        </is>
      </c>
      <c r="B3734" s="1" t="n">
        <v>44816.38201388889</v>
      </c>
      <c r="C3734" s="1" t="n">
        <v>46132</v>
      </c>
      <c r="D3734" t="inlineStr">
        <is>
          <t>ÖREBRO LÄN</t>
        </is>
      </c>
      <c r="E3734" t="inlineStr">
        <is>
          <t>KUMLA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49797-2024</t>
        </is>
      </c>
      <c r="B3735" s="1" t="n">
        <v>45597.37265046296</v>
      </c>
      <c r="C3735" s="1" t="n">
        <v>46132</v>
      </c>
      <c r="D3735" t="inlineStr">
        <is>
          <t>ÖREBRO LÄN</t>
        </is>
      </c>
      <c r="E3735" t="inlineStr">
        <is>
          <t>ÖREBRO</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38831-2022</t>
        </is>
      </c>
      <c r="B3736" s="1" t="n">
        <v>44814</v>
      </c>
      <c r="C3736" s="1" t="n">
        <v>46132</v>
      </c>
      <c r="D3736" t="inlineStr">
        <is>
          <t>ÖREBRO LÄN</t>
        </is>
      </c>
      <c r="E3736" t="inlineStr">
        <is>
          <t>HALLSBERG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44804.38798611111</v>
      </c>
      <c r="C3737" s="1" t="n">
        <v>46132</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6254-2026</t>
        </is>
      </c>
      <c r="B3738" s="1" t="n">
        <v>46055</v>
      </c>
      <c r="C3738" s="1" t="n">
        <v>46132</v>
      </c>
      <c r="D3738" t="inlineStr">
        <is>
          <t>ÖREBRO LÄN</t>
        </is>
      </c>
      <c r="E3738" t="inlineStr">
        <is>
          <t>ÖREBRO</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8064-2026</t>
        </is>
      </c>
      <c r="B3739" s="1" t="n">
        <v>46063.6312962963</v>
      </c>
      <c r="C3739" s="1" t="n">
        <v>46132</v>
      </c>
      <c r="D3739" t="inlineStr">
        <is>
          <t>ÖREBRO LÄN</t>
        </is>
      </c>
      <c r="E3739" t="inlineStr">
        <is>
          <t>HÄLLEFORS</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1395-2025</t>
        </is>
      </c>
      <c r="B3740" s="1" t="n">
        <v>45667</v>
      </c>
      <c r="C3740" s="1" t="n">
        <v>46132</v>
      </c>
      <c r="D3740" t="inlineStr">
        <is>
          <t>ÖREBRO LÄN</t>
        </is>
      </c>
      <c r="E3740" t="inlineStr">
        <is>
          <t>LINDESBERG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52928-2024</t>
        </is>
      </c>
      <c r="B3741" s="1" t="n">
        <v>45610</v>
      </c>
      <c r="C3741" s="1" t="n">
        <v>46132</v>
      </c>
      <c r="D3741" t="inlineStr">
        <is>
          <t>ÖREBRO LÄN</t>
        </is>
      </c>
      <c r="E3741" t="inlineStr">
        <is>
          <t>LINDESBERG</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18893-2024</t>
        </is>
      </c>
      <c r="B3742" s="1" t="n">
        <v>45427.33241898148</v>
      </c>
      <c r="C3742" s="1" t="n">
        <v>46132</v>
      </c>
      <c r="D3742" t="inlineStr">
        <is>
          <t>ÖREBRO LÄN</t>
        </is>
      </c>
      <c r="E3742" t="inlineStr">
        <is>
          <t>HALLSBERG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348-2025</t>
        </is>
      </c>
      <c r="B3743" s="1" t="n">
        <v>45660</v>
      </c>
      <c r="C3743" s="1" t="n">
        <v>46132</v>
      </c>
      <c r="D3743" t="inlineStr">
        <is>
          <t>ÖREBRO LÄN</t>
        </is>
      </c>
      <c r="E3743" t="inlineStr">
        <is>
          <t>NORA</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33716-2021</t>
        </is>
      </c>
      <c r="B3744" s="1" t="n">
        <v>44378.46857638889</v>
      </c>
      <c r="C3744" s="1" t="n">
        <v>46132</v>
      </c>
      <c r="D3744" t="inlineStr">
        <is>
          <t>ÖREBRO LÄN</t>
        </is>
      </c>
      <c r="E3744" t="inlineStr">
        <is>
          <t>LINDESBERG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53595-2024</t>
        </is>
      </c>
      <c r="B3745" s="1" t="n">
        <v>45614.67861111111</v>
      </c>
      <c r="C3745" s="1" t="n">
        <v>46132</v>
      </c>
      <c r="D3745" t="inlineStr">
        <is>
          <t>ÖREBRO LÄN</t>
        </is>
      </c>
      <c r="E3745" t="inlineStr">
        <is>
          <t>LJUSNARSBERG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40970-2023</t>
        </is>
      </c>
      <c r="B3746" s="1" t="n">
        <v>45173</v>
      </c>
      <c r="C3746" s="1" t="n">
        <v>46132</v>
      </c>
      <c r="D3746" t="inlineStr">
        <is>
          <t>ÖREBRO LÄN</t>
        </is>
      </c>
      <c r="E3746" t="inlineStr">
        <is>
          <t>LINDESBERG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32086-2023</t>
        </is>
      </c>
      <c r="B3747" s="1" t="n">
        <v>45119.59789351852</v>
      </c>
      <c r="C3747" s="1" t="n">
        <v>46132</v>
      </c>
      <c r="D3747" t="inlineStr">
        <is>
          <t>ÖREBRO LÄN</t>
        </is>
      </c>
      <c r="E3747" t="inlineStr">
        <is>
          <t>ÖREBRO</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13856-2022</t>
        </is>
      </c>
      <c r="B3748" s="1" t="n">
        <v>44649.6965162037</v>
      </c>
      <c r="C3748" s="1" t="n">
        <v>46132</v>
      </c>
      <c r="D3748" t="inlineStr">
        <is>
          <t>ÖREBRO LÄN</t>
        </is>
      </c>
      <c r="E3748" t="inlineStr">
        <is>
          <t>ÖREBRO</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11358-2025</t>
        </is>
      </c>
      <c r="B3749" s="1" t="n">
        <v>45726.5303587963</v>
      </c>
      <c r="C3749" s="1" t="n">
        <v>46132</v>
      </c>
      <c r="D3749" t="inlineStr">
        <is>
          <t>ÖREBRO LÄN</t>
        </is>
      </c>
      <c r="E3749" t="inlineStr">
        <is>
          <t>HALLSBERG</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23863-2023</t>
        </is>
      </c>
      <c r="B3750" s="1" t="n">
        <v>45078.48994212963</v>
      </c>
      <c r="C3750" s="1" t="n">
        <v>46132</v>
      </c>
      <c r="D3750" t="inlineStr">
        <is>
          <t>ÖREBRO LÄN</t>
        </is>
      </c>
      <c r="E3750" t="inlineStr">
        <is>
          <t>ÖREBRO</t>
        </is>
      </c>
      <c r="F3750" t="inlineStr">
        <is>
          <t>Övriga Aktiebolag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39130-2023</t>
        </is>
      </c>
      <c r="B3751" s="1" t="n">
        <v>45165</v>
      </c>
      <c r="C3751" s="1" t="n">
        <v>46132</v>
      </c>
      <c r="D3751" t="inlineStr">
        <is>
          <t>ÖREBRO LÄN</t>
        </is>
      </c>
      <c r="E3751" t="inlineStr">
        <is>
          <t>ÖREBRO</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61794-2024</t>
        </is>
      </c>
      <c r="B3752" s="1" t="n">
        <v>45649</v>
      </c>
      <c r="C3752" s="1" t="n">
        <v>46132</v>
      </c>
      <c r="D3752" t="inlineStr">
        <is>
          <t>ÖREBRO LÄN</t>
        </is>
      </c>
      <c r="E3752" t="inlineStr">
        <is>
          <t>LJUSNARSBERG</t>
        </is>
      </c>
      <c r="F3752" t="inlineStr">
        <is>
          <t>Bergvik skog väst AB</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15317-2026</t>
        </is>
      </c>
      <c r="B3753" s="1" t="n">
        <v>46105.64989583333</v>
      </c>
      <c r="C3753" s="1" t="n">
        <v>46132</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37849-2023</t>
        </is>
      </c>
      <c r="B3754" s="1" t="n">
        <v>45158</v>
      </c>
      <c r="C3754" s="1" t="n">
        <v>46132</v>
      </c>
      <c r="D3754" t="inlineStr">
        <is>
          <t>ÖREBRO LÄN</t>
        </is>
      </c>
      <c r="E3754" t="inlineStr">
        <is>
          <t>NORA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19997-2022</t>
        </is>
      </c>
      <c r="B3755" s="1" t="n">
        <v>44697</v>
      </c>
      <c r="C3755" s="1" t="n">
        <v>46132</v>
      </c>
      <c r="D3755" t="inlineStr">
        <is>
          <t>ÖREBRO LÄN</t>
        </is>
      </c>
      <c r="E3755" t="inlineStr">
        <is>
          <t>ASKERSUND</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24416-2023</t>
        </is>
      </c>
      <c r="B3756" s="1" t="n">
        <v>45082</v>
      </c>
      <c r="C3756" s="1" t="n">
        <v>46132</v>
      </c>
      <c r="D3756" t="inlineStr">
        <is>
          <t>ÖREBRO LÄN</t>
        </is>
      </c>
      <c r="E3756" t="inlineStr">
        <is>
          <t>HALLSBERG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56313-2024</t>
        </is>
      </c>
      <c r="B3757" s="1" t="n">
        <v>45624</v>
      </c>
      <c r="C3757" s="1" t="n">
        <v>46132</v>
      </c>
      <c r="D3757" t="inlineStr">
        <is>
          <t>ÖREBRO LÄN</t>
        </is>
      </c>
      <c r="E3757" t="inlineStr">
        <is>
          <t>KARLSKOGA</t>
        </is>
      </c>
      <c r="F3757" t="inlineStr">
        <is>
          <t>Kyrkan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51940-2024</t>
        </is>
      </c>
      <c r="B3758" s="1" t="n">
        <v>45607</v>
      </c>
      <c r="C3758" s="1" t="n">
        <v>46132</v>
      </c>
      <c r="D3758" t="inlineStr">
        <is>
          <t>ÖREBRO LÄN</t>
        </is>
      </c>
      <c r="E3758" t="inlineStr">
        <is>
          <t>KUMLA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8095-2026</t>
        </is>
      </c>
      <c r="B3759" s="1" t="n">
        <v>46063.71302083333</v>
      </c>
      <c r="C3759" s="1" t="n">
        <v>46132</v>
      </c>
      <c r="D3759" t="inlineStr">
        <is>
          <t>ÖREBRO LÄN</t>
        </is>
      </c>
      <c r="E3759" t="inlineStr">
        <is>
          <t>HÄLLEFORS</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8099-2026</t>
        </is>
      </c>
      <c r="B3760" s="1" t="n">
        <v>46063.7159837963</v>
      </c>
      <c r="C3760" s="1" t="n">
        <v>46132</v>
      </c>
      <c r="D3760" t="inlineStr">
        <is>
          <t>ÖREBRO LÄN</t>
        </is>
      </c>
      <c r="E3760" t="inlineStr">
        <is>
          <t>HÄLLEFORS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12143-2025</t>
        </is>
      </c>
      <c r="B3761" s="1" t="n">
        <v>45729</v>
      </c>
      <c r="C3761" s="1" t="n">
        <v>46132</v>
      </c>
      <c r="D3761" t="inlineStr">
        <is>
          <t>ÖREBRO LÄN</t>
        </is>
      </c>
      <c r="E3761" t="inlineStr">
        <is>
          <t>DEGERFORS</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7371-2022</t>
        </is>
      </c>
      <c r="B3762" s="1" t="n">
        <v>44606.59517361111</v>
      </c>
      <c r="C3762" s="1" t="n">
        <v>46132</v>
      </c>
      <c r="D3762" t="inlineStr">
        <is>
          <t>ÖREBRO LÄN</t>
        </is>
      </c>
      <c r="E3762" t="inlineStr">
        <is>
          <t>ASKERSUND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7989-2026</t>
        </is>
      </c>
      <c r="B3763" s="1" t="n">
        <v>46063.49473379629</v>
      </c>
      <c r="C3763" s="1" t="n">
        <v>46132</v>
      </c>
      <c r="D3763" t="inlineStr">
        <is>
          <t>ÖREBRO LÄN</t>
        </is>
      </c>
      <c r="E3763" t="inlineStr">
        <is>
          <t>HALLSBERG</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38382-2022</t>
        </is>
      </c>
      <c r="B3764" s="1" t="n">
        <v>44812</v>
      </c>
      <c r="C3764" s="1" t="n">
        <v>46132</v>
      </c>
      <c r="D3764" t="inlineStr">
        <is>
          <t>ÖREBRO LÄN</t>
        </is>
      </c>
      <c r="E3764" t="inlineStr">
        <is>
          <t>KARLSKOGA</t>
        </is>
      </c>
      <c r="F3764" t="inlineStr">
        <is>
          <t>Kyrkan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12735-2022</t>
        </is>
      </c>
      <c r="B3765" s="1" t="n">
        <v>44641</v>
      </c>
      <c r="C3765" s="1" t="n">
        <v>46132</v>
      </c>
      <c r="D3765" t="inlineStr">
        <is>
          <t>ÖREBRO LÄN</t>
        </is>
      </c>
      <c r="E3765" t="inlineStr">
        <is>
          <t>ASKERSUND</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31295-2023</t>
        </is>
      </c>
      <c r="B3766" s="1" t="n">
        <v>45103</v>
      </c>
      <c r="C3766" s="1" t="n">
        <v>46132</v>
      </c>
      <c r="D3766" t="inlineStr">
        <is>
          <t>ÖREBRO LÄN</t>
        </is>
      </c>
      <c r="E3766" t="inlineStr">
        <is>
          <t>LJUSNARSBERG</t>
        </is>
      </c>
      <c r="F3766" t="inlineStr">
        <is>
          <t>Bergvik skog väst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13599-2025</t>
        </is>
      </c>
      <c r="B3767" s="1" t="n">
        <v>45736.60597222222</v>
      </c>
      <c r="C3767" s="1" t="n">
        <v>46132</v>
      </c>
      <c r="D3767" t="inlineStr">
        <is>
          <t>ÖREBRO LÄN</t>
        </is>
      </c>
      <c r="E3767" t="inlineStr">
        <is>
          <t>ÖREBRO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40042-2023</t>
        </is>
      </c>
      <c r="B3768" s="1" t="n">
        <v>45167</v>
      </c>
      <c r="C3768" s="1" t="n">
        <v>46132</v>
      </c>
      <c r="D3768" t="inlineStr">
        <is>
          <t>ÖREBRO LÄN</t>
        </is>
      </c>
      <c r="E3768" t="inlineStr">
        <is>
          <t>KUMLA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13729-2025</t>
        </is>
      </c>
      <c r="B3769" s="1" t="n">
        <v>45737.3846412037</v>
      </c>
      <c r="C3769" s="1" t="n">
        <v>46132</v>
      </c>
      <c r="D3769" t="inlineStr">
        <is>
          <t>ÖREBRO LÄN</t>
        </is>
      </c>
      <c r="E3769" t="inlineStr">
        <is>
          <t>LINDESBERG</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18535-2025</t>
        </is>
      </c>
      <c r="B3770" s="1" t="n">
        <v>45763</v>
      </c>
      <c r="C3770" s="1" t="n">
        <v>46132</v>
      </c>
      <c r="D3770" t="inlineStr">
        <is>
          <t>ÖREBRO LÄN</t>
        </is>
      </c>
      <c r="E3770" t="inlineStr">
        <is>
          <t>HÄLLEFORS</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15314-2026</t>
        </is>
      </c>
      <c r="B3771" s="1" t="n">
        <v>46105.64900462963</v>
      </c>
      <c r="C3771" s="1" t="n">
        <v>46132</v>
      </c>
      <c r="D3771" t="inlineStr">
        <is>
          <t>ÖREBRO LÄN</t>
        </is>
      </c>
      <c r="E3771" t="inlineStr">
        <is>
          <t>LAXÅ</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52523-2024</t>
        </is>
      </c>
      <c r="B3772" s="1" t="n">
        <v>45609</v>
      </c>
      <c r="C3772" s="1" t="n">
        <v>46132</v>
      </c>
      <c r="D3772" t="inlineStr">
        <is>
          <t>ÖREBRO LÄN</t>
        </is>
      </c>
      <c r="E3772" t="inlineStr">
        <is>
          <t>DEGERFORS</t>
        </is>
      </c>
      <c r="F3772" t="inlineStr">
        <is>
          <t>Sveaskog</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14333-2022</t>
        </is>
      </c>
      <c r="B3773" s="1" t="n">
        <v>44651</v>
      </c>
      <c r="C3773" s="1" t="n">
        <v>46132</v>
      </c>
      <c r="D3773" t="inlineStr">
        <is>
          <t>ÖREBRO LÄN</t>
        </is>
      </c>
      <c r="E3773" t="inlineStr">
        <is>
          <t>HALLSBERG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27110-2023</t>
        </is>
      </c>
      <c r="B3774" s="1" t="n">
        <v>45096.43236111111</v>
      </c>
      <c r="C3774" s="1" t="n">
        <v>46132</v>
      </c>
      <c r="D3774" t="inlineStr">
        <is>
          <t>ÖREBRO LÄN</t>
        </is>
      </c>
      <c r="E3774" t="inlineStr">
        <is>
          <t>HALLSBERG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7992-2026</t>
        </is>
      </c>
      <c r="B3775" s="1" t="n">
        <v>46063.49729166667</v>
      </c>
      <c r="C3775" s="1" t="n">
        <v>46132</v>
      </c>
      <c r="D3775" t="inlineStr">
        <is>
          <t>ÖREBRO LÄN</t>
        </is>
      </c>
      <c r="E3775" t="inlineStr">
        <is>
          <t>HALLSBERG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15433-2026</t>
        </is>
      </c>
      <c r="B3776" s="1" t="n">
        <v>46106.38983796296</v>
      </c>
      <c r="C3776" s="1" t="n">
        <v>46132</v>
      </c>
      <c r="D3776" t="inlineStr">
        <is>
          <t>ÖREBRO LÄN</t>
        </is>
      </c>
      <c r="E3776" t="inlineStr">
        <is>
          <t>LAXÅ</t>
        </is>
      </c>
      <c r="F3776" t="inlineStr">
        <is>
          <t>Sveaskog</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15341-2026</t>
        </is>
      </c>
      <c r="B3777" s="1" t="n">
        <v>46105.68055555555</v>
      </c>
      <c r="C3777" s="1" t="n">
        <v>46132</v>
      </c>
      <c r="D3777" t="inlineStr">
        <is>
          <t>ÖREBRO LÄN</t>
        </is>
      </c>
      <c r="E3777" t="inlineStr">
        <is>
          <t>LAXÅ</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7991-2026</t>
        </is>
      </c>
      <c r="B3778" s="1" t="n">
        <v>46063.49616898148</v>
      </c>
      <c r="C3778" s="1" t="n">
        <v>46132</v>
      </c>
      <c r="D3778" t="inlineStr">
        <is>
          <t>ÖREBRO LÄN</t>
        </is>
      </c>
      <c r="E3778" t="inlineStr">
        <is>
          <t>HALLSBERG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15808-2026</t>
        </is>
      </c>
      <c r="B3779" s="1" t="n">
        <v>46107.49006944444</v>
      </c>
      <c r="C3779" s="1" t="n">
        <v>46132</v>
      </c>
      <c r="D3779" t="inlineStr">
        <is>
          <t>ÖREBRO LÄN</t>
        </is>
      </c>
      <c r="E3779" t="inlineStr">
        <is>
          <t>DEGERFORS</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60492-2024</t>
        </is>
      </c>
      <c r="B3780" s="1" t="n">
        <v>45642</v>
      </c>
      <c r="C3780" s="1" t="n">
        <v>46132</v>
      </c>
      <c r="D3780" t="inlineStr">
        <is>
          <t>ÖREBRO LÄN</t>
        </is>
      </c>
      <c r="E3780" t="inlineStr">
        <is>
          <t>LINDESBERG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40117-2023</t>
        </is>
      </c>
      <c r="B3781" s="1" t="n">
        <v>45168.94197916667</v>
      </c>
      <c r="C3781" s="1" t="n">
        <v>46132</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8677-2026</t>
        </is>
      </c>
      <c r="B3782" s="1" t="n">
        <v>46066.40994212963</v>
      </c>
      <c r="C3782" s="1" t="n">
        <v>46132</v>
      </c>
      <c r="D3782" t="inlineStr">
        <is>
          <t>ÖREBRO LÄN</t>
        </is>
      </c>
      <c r="E3782" t="inlineStr">
        <is>
          <t>ÖREBRO</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15702-2026</t>
        </is>
      </c>
      <c r="B3783" s="1" t="n">
        <v>46107.34780092593</v>
      </c>
      <c r="C3783" s="1" t="n">
        <v>46132</v>
      </c>
      <c r="D3783" t="inlineStr">
        <is>
          <t>ÖREBRO LÄN</t>
        </is>
      </c>
      <c r="E3783" t="inlineStr">
        <is>
          <t>NORA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11366-2024</t>
        </is>
      </c>
      <c r="B3784" s="1" t="n">
        <v>45372.40246527778</v>
      </c>
      <c r="C3784" s="1" t="n">
        <v>46132</v>
      </c>
      <c r="D3784" t="inlineStr">
        <is>
          <t>ÖREBRO LÄN</t>
        </is>
      </c>
      <c r="E3784" t="inlineStr">
        <is>
          <t>LINDESBERG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28474-2023</t>
        </is>
      </c>
      <c r="B3785" s="1" t="n">
        <v>45103.42020833334</v>
      </c>
      <c r="C3785" s="1" t="n">
        <v>46132</v>
      </c>
      <c r="D3785" t="inlineStr">
        <is>
          <t>ÖREBRO LÄN</t>
        </is>
      </c>
      <c r="E3785" t="inlineStr">
        <is>
          <t>KARLSKOGA</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16088-2026</t>
        </is>
      </c>
      <c r="B3786" s="1" t="n">
        <v>46108.57201388889</v>
      </c>
      <c r="C3786" s="1" t="n">
        <v>46132</v>
      </c>
      <c r="D3786" t="inlineStr">
        <is>
          <t>ÖREBRO LÄN</t>
        </is>
      </c>
      <c r="E3786" t="inlineStr">
        <is>
          <t>HÄLLEFORS</t>
        </is>
      </c>
      <c r="F3786" t="inlineStr">
        <is>
          <t>Sveaskog</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49881-2024</t>
        </is>
      </c>
      <c r="B3787" s="1" t="n">
        <v>45597.50105324074</v>
      </c>
      <c r="C3787" s="1" t="n">
        <v>46132</v>
      </c>
      <c r="D3787" t="inlineStr">
        <is>
          <t>ÖREBRO LÄN</t>
        </is>
      </c>
      <c r="E3787" t="inlineStr">
        <is>
          <t>LAXÅ</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59957-2024</t>
        </is>
      </c>
      <c r="B3788" s="1" t="n">
        <v>45642.35061342592</v>
      </c>
      <c r="C3788" s="1" t="n">
        <v>46132</v>
      </c>
      <c r="D3788" t="inlineStr">
        <is>
          <t>ÖREBRO LÄN</t>
        </is>
      </c>
      <c r="E3788" t="inlineStr">
        <is>
          <t>HÄLLEFORS</t>
        </is>
      </c>
      <c r="F3788" t="inlineStr">
        <is>
          <t>Bergvik skog väst AB</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59959-2024</t>
        </is>
      </c>
      <c r="B3789" s="1" t="n">
        <v>45642.35097222222</v>
      </c>
      <c r="C3789" s="1" t="n">
        <v>46132</v>
      </c>
      <c r="D3789" t="inlineStr">
        <is>
          <t>ÖREBRO LÄN</t>
        </is>
      </c>
      <c r="E3789" t="inlineStr">
        <is>
          <t>HÄLLEFORS</t>
        </is>
      </c>
      <c r="F3789" t="inlineStr">
        <is>
          <t>Bergvik skog väst AB</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19849-2022</t>
        </is>
      </c>
      <c r="B3790" s="1" t="n">
        <v>44696</v>
      </c>
      <c r="C3790" s="1" t="n">
        <v>46132</v>
      </c>
      <c r="D3790" t="inlineStr">
        <is>
          <t>ÖREBRO LÄN</t>
        </is>
      </c>
      <c r="E3790" t="inlineStr">
        <is>
          <t>HALLSBERG</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13023-2024</t>
        </is>
      </c>
      <c r="B3791" s="1" t="n">
        <v>45385.58478009259</v>
      </c>
      <c r="C3791" s="1" t="n">
        <v>46132</v>
      </c>
      <c r="D3791" t="inlineStr">
        <is>
          <t>ÖREBRO LÄN</t>
        </is>
      </c>
      <c r="E3791" t="inlineStr">
        <is>
          <t>LAXÅ</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8184-2022</t>
        </is>
      </c>
      <c r="B3792" s="1" t="n">
        <v>44609</v>
      </c>
      <c r="C3792" s="1" t="n">
        <v>46132</v>
      </c>
      <c r="D3792" t="inlineStr">
        <is>
          <t>ÖREBRO LÄN</t>
        </is>
      </c>
      <c r="E3792" t="inlineStr">
        <is>
          <t>DEGERFORS</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15692-2026</t>
        </is>
      </c>
      <c r="B3793" s="1" t="n">
        <v>46107.34225694444</v>
      </c>
      <c r="C3793" s="1" t="n">
        <v>46132</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15712-2026</t>
        </is>
      </c>
      <c r="B3794" s="1" t="n">
        <v>46107.35884259259</v>
      </c>
      <c r="C3794" s="1" t="n">
        <v>46132</v>
      </c>
      <c r="D3794" t="inlineStr">
        <is>
          <t>ÖREBRO LÄN</t>
        </is>
      </c>
      <c r="E3794" t="inlineStr">
        <is>
          <t>NORA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60937-2024</t>
        </is>
      </c>
      <c r="B3795" s="1" t="n">
        <v>45645.3683912037</v>
      </c>
      <c r="C3795" s="1" t="n">
        <v>46132</v>
      </c>
      <c r="D3795" t="inlineStr">
        <is>
          <t>ÖREBRO LÄN</t>
        </is>
      </c>
      <c r="E3795" t="inlineStr">
        <is>
          <t>DEGERFORS</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60940-2024</t>
        </is>
      </c>
      <c r="B3796" s="1" t="n">
        <v>45645.37079861111</v>
      </c>
      <c r="C3796" s="1" t="n">
        <v>46132</v>
      </c>
      <c r="D3796" t="inlineStr">
        <is>
          <t>ÖREBRO LÄN</t>
        </is>
      </c>
      <c r="E3796" t="inlineStr">
        <is>
          <t>DEGERFORS</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60943-2024</t>
        </is>
      </c>
      <c r="B3797" s="1" t="n">
        <v>45645.3737962963</v>
      </c>
      <c r="C3797" s="1" t="n">
        <v>46132</v>
      </c>
      <c r="D3797" t="inlineStr">
        <is>
          <t>ÖREBRO LÄN</t>
        </is>
      </c>
      <c r="E3797" t="inlineStr">
        <is>
          <t>LINDESBERG</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50599-2023</t>
        </is>
      </c>
      <c r="B3798" s="1" t="n">
        <v>45217.42408564815</v>
      </c>
      <c r="C3798" s="1" t="n">
        <v>46132</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16090-2026</t>
        </is>
      </c>
      <c r="B3799" s="1" t="n">
        <v>46108</v>
      </c>
      <c r="C3799" s="1" t="n">
        <v>46132</v>
      </c>
      <c r="D3799" t="inlineStr">
        <is>
          <t>ÖREBRO LÄN</t>
        </is>
      </c>
      <c r="E3799" t="inlineStr">
        <is>
          <t>LINDESBERG</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22137-2022</t>
        </is>
      </c>
      <c r="B3800" s="1" t="n">
        <v>44712</v>
      </c>
      <c r="C3800" s="1" t="n">
        <v>46132</v>
      </c>
      <c r="D3800" t="inlineStr">
        <is>
          <t>ÖREBRO LÄN</t>
        </is>
      </c>
      <c r="E3800" t="inlineStr">
        <is>
          <t>LEKEBERG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15805-2026</t>
        </is>
      </c>
      <c r="B3801" s="1" t="n">
        <v>46107.48753472222</v>
      </c>
      <c r="C3801" s="1" t="n">
        <v>46132</v>
      </c>
      <c r="D3801" t="inlineStr">
        <is>
          <t>ÖREBRO LÄN</t>
        </is>
      </c>
      <c r="E3801" t="inlineStr">
        <is>
          <t>DEGERFORS</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8503-2022</t>
        </is>
      </c>
      <c r="B3802" s="1" t="n">
        <v>44613</v>
      </c>
      <c r="C3802" s="1" t="n">
        <v>46132</v>
      </c>
      <c r="D3802" t="inlineStr">
        <is>
          <t>ÖREBRO LÄN</t>
        </is>
      </c>
      <c r="E3802" t="inlineStr">
        <is>
          <t>HÄLLEFORS</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56886-2024</t>
        </is>
      </c>
      <c r="B3803" s="1" t="n">
        <v>45628.57332175926</v>
      </c>
      <c r="C3803" s="1" t="n">
        <v>46132</v>
      </c>
      <c r="D3803" t="inlineStr">
        <is>
          <t>ÖREBRO LÄN</t>
        </is>
      </c>
      <c r="E3803" t="inlineStr">
        <is>
          <t>DEGERFORS</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56912-2024</t>
        </is>
      </c>
      <c r="B3804" s="1" t="n">
        <v>45628.59233796296</v>
      </c>
      <c r="C3804" s="1" t="n">
        <v>46132</v>
      </c>
      <c r="D3804" t="inlineStr">
        <is>
          <t>ÖREBRO LÄN</t>
        </is>
      </c>
      <c r="E3804" t="inlineStr">
        <is>
          <t>LINDESBERG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17072-2025</t>
        </is>
      </c>
      <c r="B3805" s="1" t="n">
        <v>45755.61793981482</v>
      </c>
      <c r="C3805" s="1" t="n">
        <v>46132</v>
      </c>
      <c r="D3805" t="inlineStr">
        <is>
          <t>ÖREBRO LÄN</t>
        </is>
      </c>
      <c r="E3805" t="inlineStr">
        <is>
          <t>HÄLLEFORS</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26763-2023</t>
        </is>
      </c>
      <c r="B3806" s="1" t="n">
        <v>45093.46813657408</v>
      </c>
      <c r="C3806" s="1" t="n">
        <v>46132</v>
      </c>
      <c r="D3806" t="inlineStr">
        <is>
          <t>ÖREBRO LÄN</t>
        </is>
      </c>
      <c r="E3806" t="inlineStr">
        <is>
          <t>LEKEBERG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8461-2026</t>
        </is>
      </c>
      <c r="B3807" s="1" t="n">
        <v>46065.42981481482</v>
      </c>
      <c r="C3807" s="1" t="n">
        <v>46132</v>
      </c>
      <c r="D3807" t="inlineStr">
        <is>
          <t>ÖREBRO LÄN</t>
        </is>
      </c>
      <c r="E3807" t="inlineStr">
        <is>
          <t>ÖREBRO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16092-2026</t>
        </is>
      </c>
      <c r="B3808" s="1" t="n">
        <v>46108</v>
      </c>
      <c r="C3808" s="1" t="n">
        <v>46132</v>
      </c>
      <c r="D3808" t="inlineStr">
        <is>
          <t>ÖREBRO LÄN</t>
        </is>
      </c>
      <c r="E3808" t="inlineStr">
        <is>
          <t>LINDESBERG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16094-2026</t>
        </is>
      </c>
      <c r="B3809" s="1" t="n">
        <v>46108</v>
      </c>
      <c r="C3809" s="1" t="n">
        <v>46132</v>
      </c>
      <c r="D3809" t="inlineStr">
        <is>
          <t>ÖREBRO LÄN</t>
        </is>
      </c>
      <c r="E3809" t="inlineStr">
        <is>
          <t>LINDESBERG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47620-2023</t>
        </is>
      </c>
      <c r="B3810" s="1" t="n">
        <v>45203.510625</v>
      </c>
      <c r="C3810" s="1" t="n">
        <v>46132</v>
      </c>
      <c r="D3810" t="inlineStr">
        <is>
          <t>ÖREBRO LÄN</t>
        </is>
      </c>
      <c r="E3810" t="inlineStr">
        <is>
          <t>LINDESBERG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24115-2024</t>
        </is>
      </c>
      <c r="B3811" s="1" t="n">
        <v>45456</v>
      </c>
      <c r="C3811" s="1" t="n">
        <v>46132</v>
      </c>
      <c r="D3811" t="inlineStr">
        <is>
          <t>ÖREBRO LÄN</t>
        </is>
      </c>
      <c r="E3811" t="inlineStr">
        <is>
          <t>KARLSKOGA</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50375-2024</t>
        </is>
      </c>
      <c r="B3812" s="1" t="n">
        <v>45601.29311342593</v>
      </c>
      <c r="C3812" s="1" t="n">
        <v>46132</v>
      </c>
      <c r="D3812" t="inlineStr">
        <is>
          <t>ÖREBRO LÄN</t>
        </is>
      </c>
      <c r="E3812" t="inlineStr">
        <is>
          <t>ÖREBRO</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52366-2024</t>
        </is>
      </c>
      <c r="B3813" s="1" t="n">
        <v>45608</v>
      </c>
      <c r="C3813" s="1" t="n">
        <v>46132</v>
      </c>
      <c r="D3813" t="inlineStr">
        <is>
          <t>ÖREBRO LÄN</t>
        </is>
      </c>
      <c r="E3813" t="inlineStr">
        <is>
          <t>LJUSNARSBERG</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52391-2024</t>
        </is>
      </c>
      <c r="B3814" s="1" t="n">
        <v>45609.43180555556</v>
      </c>
      <c r="C3814" s="1" t="n">
        <v>46132</v>
      </c>
      <c r="D3814" t="inlineStr">
        <is>
          <t>ÖREBRO LÄN</t>
        </is>
      </c>
      <c r="E3814" t="inlineStr">
        <is>
          <t>ÖREBRO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10617-2022</t>
        </is>
      </c>
      <c r="B3815" s="1" t="n">
        <v>44624</v>
      </c>
      <c r="C3815" s="1" t="n">
        <v>46132</v>
      </c>
      <c r="D3815" t="inlineStr">
        <is>
          <t>ÖREBRO LÄN</t>
        </is>
      </c>
      <c r="E3815" t="inlineStr">
        <is>
          <t>LEKEBERG</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8662-2026</t>
        </is>
      </c>
      <c r="B3816" s="1" t="n">
        <v>46066.38112268518</v>
      </c>
      <c r="C3816" s="1" t="n">
        <v>46132</v>
      </c>
      <c r="D3816" t="inlineStr">
        <is>
          <t>ÖREBRO LÄN</t>
        </is>
      </c>
      <c r="E3816" t="inlineStr">
        <is>
          <t>ÖREBRO</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16103-2026</t>
        </is>
      </c>
      <c r="B3817" s="1" t="n">
        <v>46108.59048611111</v>
      </c>
      <c r="C3817" s="1" t="n">
        <v>46132</v>
      </c>
      <c r="D3817" t="inlineStr">
        <is>
          <t>ÖREBRO LÄN</t>
        </is>
      </c>
      <c r="E3817" t="inlineStr">
        <is>
          <t>LINDESBERG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41526-2024</t>
        </is>
      </c>
      <c r="B3818" s="1" t="n">
        <v>45560</v>
      </c>
      <c r="C3818" s="1" t="n">
        <v>46132</v>
      </c>
      <c r="D3818" t="inlineStr">
        <is>
          <t>ÖREBRO LÄN</t>
        </is>
      </c>
      <c r="E3818" t="inlineStr">
        <is>
          <t>LAXÅ</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55745-2024</t>
        </is>
      </c>
      <c r="B3819" s="1" t="n">
        <v>45623.3168287037</v>
      </c>
      <c r="C3819" s="1" t="n">
        <v>46132</v>
      </c>
      <c r="D3819" t="inlineStr">
        <is>
          <t>ÖREBRO LÄN</t>
        </is>
      </c>
      <c r="E3819" t="inlineStr">
        <is>
          <t>HÄLLEFORS</t>
        </is>
      </c>
      <c r="F3819" t="inlineStr">
        <is>
          <t>Bergvik skog väst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55766-2024</t>
        </is>
      </c>
      <c r="B3820" s="1" t="n">
        <v>45623.37702546296</v>
      </c>
      <c r="C3820" s="1" t="n">
        <v>46132</v>
      </c>
      <c r="D3820" t="inlineStr">
        <is>
          <t>ÖREBRO LÄN</t>
        </is>
      </c>
      <c r="E3820" t="inlineStr">
        <is>
          <t>NORA</t>
        </is>
      </c>
      <c r="G3820" t="n">
        <v>18.5</v>
      </c>
      <c r="H3820" t="n">
        <v>0</v>
      </c>
      <c r="I3820" t="n">
        <v>0</v>
      </c>
      <c r="J3820" t="n">
        <v>0</v>
      </c>
      <c r="K3820" t="n">
        <v>0</v>
      </c>
      <c r="L3820" t="n">
        <v>0</v>
      </c>
      <c r="M3820" t="n">
        <v>0</v>
      </c>
      <c r="N3820" t="n">
        <v>0</v>
      </c>
      <c r="O3820" t="n">
        <v>0</v>
      </c>
      <c r="P3820" t="n">
        <v>0</v>
      </c>
      <c r="Q3820" t="n">
        <v>0</v>
      </c>
      <c r="R3820" s="2" t="inlineStr"/>
    </row>
    <row r="3821" ht="15" customHeight="1">
      <c r="A3821" t="inlineStr">
        <is>
          <t>A 41540-2024</t>
        </is>
      </c>
      <c r="B3821" s="1" t="n">
        <v>45560.50434027778</v>
      </c>
      <c r="C3821" s="1" t="n">
        <v>46132</v>
      </c>
      <c r="D3821" t="inlineStr">
        <is>
          <t>ÖREBRO LÄN</t>
        </is>
      </c>
      <c r="E3821" t="inlineStr">
        <is>
          <t>ASKERSUND</t>
        </is>
      </c>
      <c r="F3821" t="inlineStr">
        <is>
          <t>Sveaskog</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22198-2023</t>
        </is>
      </c>
      <c r="B3822" s="1" t="n">
        <v>45069.78799768518</v>
      </c>
      <c r="C3822" s="1" t="n">
        <v>46132</v>
      </c>
      <c r="D3822" t="inlineStr">
        <is>
          <t>ÖREBRO LÄN</t>
        </is>
      </c>
      <c r="E3822" t="inlineStr">
        <is>
          <t>LEKEBERG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16692-2026</t>
        </is>
      </c>
      <c r="B3823" s="1" t="n">
        <v>46112.82201388889</v>
      </c>
      <c r="C3823" s="1" t="n">
        <v>46132</v>
      </c>
      <c r="D3823" t="inlineStr">
        <is>
          <t>ÖREBRO LÄN</t>
        </is>
      </c>
      <c r="E3823" t="inlineStr">
        <is>
          <t>LINDESBERG</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22802-2023</t>
        </is>
      </c>
      <c r="B3824" s="1" t="n">
        <v>45072</v>
      </c>
      <c r="C3824" s="1" t="n">
        <v>46132</v>
      </c>
      <c r="D3824" t="inlineStr">
        <is>
          <t>ÖREBRO LÄN</t>
        </is>
      </c>
      <c r="E3824" t="inlineStr">
        <is>
          <t>ASKERSUND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22804-2023</t>
        </is>
      </c>
      <c r="B3825" s="1" t="n">
        <v>45072.39223379629</v>
      </c>
      <c r="C3825" s="1" t="n">
        <v>46132</v>
      </c>
      <c r="D3825" t="inlineStr">
        <is>
          <t>ÖREBRO LÄN</t>
        </is>
      </c>
      <c r="E3825" t="inlineStr">
        <is>
          <t>ASKERSUND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44010-2023</t>
        </is>
      </c>
      <c r="B3826" s="1" t="n">
        <v>45188</v>
      </c>
      <c r="C3826" s="1" t="n">
        <v>46132</v>
      </c>
      <c r="D3826" t="inlineStr">
        <is>
          <t>ÖREBRO LÄN</t>
        </is>
      </c>
      <c r="E3826" t="inlineStr">
        <is>
          <t>LINDESBERG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18892-2024</t>
        </is>
      </c>
      <c r="B3827" s="1" t="n">
        <v>45427.32600694444</v>
      </c>
      <c r="C3827" s="1" t="n">
        <v>46132</v>
      </c>
      <c r="D3827" t="inlineStr">
        <is>
          <t>ÖREBRO LÄN</t>
        </is>
      </c>
      <c r="E3827" t="inlineStr">
        <is>
          <t>HALLSBERG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9107-2026</t>
        </is>
      </c>
      <c r="B3828" s="1" t="n">
        <v>46069.66158564815</v>
      </c>
      <c r="C3828" s="1" t="n">
        <v>46132</v>
      </c>
      <c r="D3828" t="inlineStr">
        <is>
          <t>ÖREBRO LÄN</t>
        </is>
      </c>
      <c r="E3828" t="inlineStr">
        <is>
          <t>LAXÅ</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16595-2026</t>
        </is>
      </c>
      <c r="B3829" s="1" t="n">
        <v>46112.59224537037</v>
      </c>
      <c r="C3829" s="1" t="n">
        <v>46132</v>
      </c>
      <c r="D3829" t="inlineStr">
        <is>
          <t>ÖREBRO LÄN</t>
        </is>
      </c>
      <c r="E3829" t="inlineStr">
        <is>
          <t>ASKERSUND</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16602-2026</t>
        </is>
      </c>
      <c r="B3830" s="1" t="n">
        <v>46112.59780092593</v>
      </c>
      <c r="C3830" s="1" t="n">
        <v>46132</v>
      </c>
      <c r="D3830" t="inlineStr">
        <is>
          <t>ÖREBRO LÄN</t>
        </is>
      </c>
      <c r="E3830" t="inlineStr">
        <is>
          <t>ASKERSUND</t>
        </is>
      </c>
      <c r="F3830" t="inlineStr">
        <is>
          <t>Sveaskog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16638-2026</t>
        </is>
      </c>
      <c r="B3831" s="1" t="n">
        <v>46112.62819444444</v>
      </c>
      <c r="C3831" s="1" t="n">
        <v>46132</v>
      </c>
      <c r="D3831" t="inlineStr">
        <is>
          <t>ÖREBRO LÄN</t>
        </is>
      </c>
      <c r="E3831" t="inlineStr">
        <is>
          <t>ASKERSUND</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9108-2026</t>
        </is>
      </c>
      <c r="B3832" s="1" t="n">
        <v>46069.66291666667</v>
      </c>
      <c r="C3832" s="1" t="n">
        <v>46132</v>
      </c>
      <c r="D3832" t="inlineStr">
        <is>
          <t>ÖREBRO LÄN</t>
        </is>
      </c>
      <c r="E3832" t="inlineStr">
        <is>
          <t>LAXÅ</t>
        </is>
      </c>
      <c r="F3832" t="inlineStr">
        <is>
          <t>Sveaskog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33617-2022</t>
        </is>
      </c>
      <c r="B3833" s="1" t="n">
        <v>44782</v>
      </c>
      <c r="C3833" s="1" t="n">
        <v>46132</v>
      </c>
      <c r="D3833" t="inlineStr">
        <is>
          <t>ÖREBRO LÄN</t>
        </is>
      </c>
      <c r="E3833" t="inlineStr">
        <is>
          <t>HÄLLEFORS</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16289-2026</t>
        </is>
      </c>
      <c r="B3834" s="1" t="n">
        <v>46111.5253125</v>
      </c>
      <c r="C3834" s="1" t="n">
        <v>46132</v>
      </c>
      <c r="D3834" t="inlineStr">
        <is>
          <t>ÖREBRO LÄN</t>
        </is>
      </c>
      <c r="E3834" t="inlineStr">
        <is>
          <t>NORA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45210-2023</t>
        </is>
      </c>
      <c r="B3835" s="1" t="n">
        <v>45191</v>
      </c>
      <c r="C3835" s="1" t="n">
        <v>46132</v>
      </c>
      <c r="D3835" t="inlineStr">
        <is>
          <t>ÖREBRO LÄN</t>
        </is>
      </c>
      <c r="E3835" t="inlineStr">
        <is>
          <t>ASKERSUND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1019-2025</t>
        </is>
      </c>
      <c r="B3836" s="1" t="n">
        <v>45666.49216435185</v>
      </c>
      <c r="C3836" s="1" t="n">
        <v>46132</v>
      </c>
      <c r="D3836" t="inlineStr">
        <is>
          <t>ÖREBRO LÄN</t>
        </is>
      </c>
      <c r="E3836" t="inlineStr">
        <is>
          <t>HÄLLEFORS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9110-2026</t>
        </is>
      </c>
      <c r="B3837" s="1" t="n">
        <v>46069.66438657408</v>
      </c>
      <c r="C3837" s="1" t="n">
        <v>46132</v>
      </c>
      <c r="D3837" t="inlineStr">
        <is>
          <t>ÖREBRO LÄN</t>
        </is>
      </c>
      <c r="E3837" t="inlineStr">
        <is>
          <t>LAXÅ</t>
        </is>
      </c>
      <c r="F3837" t="inlineStr">
        <is>
          <t>Sveaskog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8892-2026</t>
        </is>
      </c>
      <c r="B3838" s="1" t="n">
        <v>46068.44726851852</v>
      </c>
      <c r="C3838" s="1" t="n">
        <v>46132</v>
      </c>
      <c r="D3838" t="inlineStr">
        <is>
          <t>ÖREBRO LÄN</t>
        </is>
      </c>
      <c r="E3838" t="inlineStr">
        <is>
          <t>HALLSBERG</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9318-2026</t>
        </is>
      </c>
      <c r="B3839" s="1" t="n">
        <v>46070.62585648148</v>
      </c>
      <c r="C3839" s="1" t="n">
        <v>46132</v>
      </c>
      <c r="D3839" t="inlineStr">
        <is>
          <t>ÖREBRO LÄN</t>
        </is>
      </c>
      <c r="E3839" t="inlineStr">
        <is>
          <t>ÖREBRO</t>
        </is>
      </c>
      <c r="F3839" t="inlineStr">
        <is>
          <t>Övriga Aktiebolag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12471-2022</t>
        </is>
      </c>
      <c r="B3840" s="1" t="n">
        <v>44638</v>
      </c>
      <c r="C3840" s="1" t="n">
        <v>46132</v>
      </c>
      <c r="D3840" t="inlineStr">
        <is>
          <t>ÖREBRO LÄN</t>
        </is>
      </c>
      <c r="E3840" t="inlineStr">
        <is>
          <t>HALLSBERG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16629-2026</t>
        </is>
      </c>
      <c r="B3841" s="1" t="n">
        <v>46112.61761574074</v>
      </c>
      <c r="C3841" s="1" t="n">
        <v>46132</v>
      </c>
      <c r="D3841" t="inlineStr">
        <is>
          <t>ÖREBRO LÄN</t>
        </is>
      </c>
      <c r="E3841" t="inlineStr">
        <is>
          <t>ASKERSUND</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16693-2026</t>
        </is>
      </c>
      <c r="B3842" s="1" t="n">
        <v>46112.83422453704</v>
      </c>
      <c r="C3842" s="1" t="n">
        <v>46132</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16630-2026</t>
        </is>
      </c>
      <c r="B3843" s="1" t="n">
        <v>46112.61958333333</v>
      </c>
      <c r="C3843" s="1" t="n">
        <v>46132</v>
      </c>
      <c r="D3843" t="inlineStr">
        <is>
          <t>ÖREBRO LÄN</t>
        </is>
      </c>
      <c r="E3843" t="inlineStr">
        <is>
          <t>ASKERSUND</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15523-2024</t>
        </is>
      </c>
      <c r="B3844" s="1" t="n">
        <v>45401.58033564815</v>
      </c>
      <c r="C3844" s="1" t="n">
        <v>46132</v>
      </c>
      <c r="D3844" t="inlineStr">
        <is>
          <t>ÖREBRO LÄN</t>
        </is>
      </c>
      <c r="E3844" t="inlineStr">
        <is>
          <t>HALLSBERG</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38572-2023</t>
        </is>
      </c>
      <c r="B3845" s="1" t="n">
        <v>45162</v>
      </c>
      <c r="C3845" s="1" t="n">
        <v>46132</v>
      </c>
      <c r="D3845" t="inlineStr">
        <is>
          <t>ÖREBRO LÄN</t>
        </is>
      </c>
      <c r="E3845" t="inlineStr">
        <is>
          <t>ASKERSUND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25563-2022</t>
        </is>
      </c>
      <c r="B3846" s="1" t="n">
        <v>44732.63936342593</v>
      </c>
      <c r="C3846" s="1" t="n">
        <v>46132</v>
      </c>
      <c r="D3846" t="inlineStr">
        <is>
          <t>ÖREBRO LÄN</t>
        </is>
      </c>
      <c r="E3846" t="inlineStr">
        <is>
          <t>LAXÅ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49959-2023</t>
        </is>
      </c>
      <c r="B3847" s="1" t="n">
        <v>45215.38530092593</v>
      </c>
      <c r="C3847" s="1" t="n">
        <v>46132</v>
      </c>
      <c r="D3847" t="inlineStr">
        <is>
          <t>ÖREBRO LÄN</t>
        </is>
      </c>
      <c r="E3847" t="inlineStr">
        <is>
          <t>NORA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19857-2022</t>
        </is>
      </c>
      <c r="B3848" s="1" t="n">
        <v>44694</v>
      </c>
      <c r="C3848" s="1" t="n">
        <v>46132</v>
      </c>
      <c r="D3848" t="inlineStr">
        <is>
          <t>ÖREBRO LÄN</t>
        </is>
      </c>
      <c r="E3848" t="inlineStr">
        <is>
          <t>LJUSNARSBERG</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16483-2026</t>
        </is>
      </c>
      <c r="B3849" s="1" t="n">
        <v>46112.40424768518</v>
      </c>
      <c r="C3849" s="1" t="n">
        <v>46132</v>
      </c>
      <c r="D3849" t="inlineStr">
        <is>
          <t>ÖREBRO LÄN</t>
        </is>
      </c>
      <c r="E3849" t="inlineStr">
        <is>
          <t>LAXÅ</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9769-2025</t>
        </is>
      </c>
      <c r="B3850" s="1" t="n">
        <v>45716.48861111111</v>
      </c>
      <c r="C3850" s="1" t="n">
        <v>46132</v>
      </c>
      <c r="D3850" t="inlineStr">
        <is>
          <t>ÖREBRO LÄN</t>
        </is>
      </c>
      <c r="E3850" t="inlineStr">
        <is>
          <t>LEKEBERG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56022-2025</t>
        </is>
      </c>
      <c r="B3851" s="1" t="n">
        <v>45973.59538194445</v>
      </c>
      <c r="C3851" s="1" t="n">
        <v>46132</v>
      </c>
      <c r="D3851" t="inlineStr">
        <is>
          <t>ÖREBRO LÄN</t>
        </is>
      </c>
      <c r="E3851" t="inlineStr">
        <is>
          <t>LAXÅ</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8961-2026</t>
        </is>
      </c>
      <c r="B3852" s="1" t="n">
        <v>46069.41380787037</v>
      </c>
      <c r="C3852" s="1" t="n">
        <v>46132</v>
      </c>
      <c r="D3852" t="inlineStr">
        <is>
          <t>ÖREBRO LÄN</t>
        </is>
      </c>
      <c r="E3852" t="inlineStr">
        <is>
          <t>ASKERSUND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8988-2026</t>
        </is>
      </c>
      <c r="B3853" s="1" t="n">
        <v>46069.45594907407</v>
      </c>
      <c r="C3853" s="1" t="n">
        <v>46132</v>
      </c>
      <c r="D3853" t="inlineStr">
        <is>
          <t>ÖREBRO LÄN</t>
        </is>
      </c>
      <c r="E3853" t="inlineStr">
        <is>
          <t>ASKERSUND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36064-2023</t>
        </is>
      </c>
      <c r="B3854" s="1" t="n">
        <v>45149</v>
      </c>
      <c r="C3854" s="1" t="n">
        <v>46132</v>
      </c>
      <c r="D3854" t="inlineStr">
        <is>
          <t>ÖREBRO LÄN</t>
        </is>
      </c>
      <c r="E3854" t="inlineStr">
        <is>
          <t>NORA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46616-2023</t>
        </is>
      </c>
      <c r="B3855" s="1" t="n">
        <v>45198.40267361111</v>
      </c>
      <c r="C3855" s="1" t="n">
        <v>46132</v>
      </c>
      <c r="D3855" t="inlineStr">
        <is>
          <t>ÖREBRO LÄN</t>
        </is>
      </c>
      <c r="E3855" t="inlineStr">
        <is>
          <t>ASKERSUND</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33976-2023</t>
        </is>
      </c>
      <c r="B3856" s="1" t="n">
        <v>45124</v>
      </c>
      <c r="C3856" s="1" t="n">
        <v>46132</v>
      </c>
      <c r="D3856" t="inlineStr">
        <is>
          <t>ÖREBRO LÄN</t>
        </is>
      </c>
      <c r="E3856" t="inlineStr">
        <is>
          <t>LJUSNARSBERG</t>
        </is>
      </c>
      <c r="F3856" t="inlineStr">
        <is>
          <t>Bergvik skog väst AB</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16618-2026</t>
        </is>
      </c>
      <c r="B3857" s="1" t="n">
        <v>46112.60657407407</v>
      </c>
      <c r="C3857" s="1" t="n">
        <v>46132</v>
      </c>
      <c r="D3857" t="inlineStr">
        <is>
          <t>ÖREBRO LÄN</t>
        </is>
      </c>
      <c r="E3857" t="inlineStr">
        <is>
          <t>ASKERSUND</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8897-2026</t>
        </is>
      </c>
      <c r="B3858" s="1" t="n">
        <v>46068.47233796296</v>
      </c>
      <c r="C3858" s="1" t="n">
        <v>46132</v>
      </c>
      <c r="D3858" t="inlineStr">
        <is>
          <t>ÖREBRO LÄN</t>
        </is>
      </c>
      <c r="E3858" t="inlineStr">
        <is>
          <t>HALLSBERG</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9112-2026</t>
        </is>
      </c>
      <c r="B3859" s="1" t="n">
        <v>46069.66487268519</v>
      </c>
      <c r="C3859" s="1" t="n">
        <v>46132</v>
      </c>
      <c r="D3859" t="inlineStr">
        <is>
          <t>ÖREBRO LÄN</t>
        </is>
      </c>
      <c r="E3859" t="inlineStr">
        <is>
          <t>LAXÅ</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24628-2023</t>
        </is>
      </c>
      <c r="B3860" s="1" t="n">
        <v>45084.39651620371</v>
      </c>
      <c r="C3860" s="1" t="n">
        <v>46132</v>
      </c>
      <c r="D3860" t="inlineStr">
        <is>
          <t>ÖREBRO LÄN</t>
        </is>
      </c>
      <c r="E3860" t="inlineStr">
        <is>
          <t>HALLSBERG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46688-2023</t>
        </is>
      </c>
      <c r="B3861" s="1" t="n">
        <v>45198.51881944444</v>
      </c>
      <c r="C3861" s="1" t="n">
        <v>46132</v>
      </c>
      <c r="D3861" t="inlineStr">
        <is>
          <t>ÖREBRO LÄN</t>
        </is>
      </c>
      <c r="E3861" t="inlineStr">
        <is>
          <t>NORA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58532-2024</t>
        </is>
      </c>
      <c r="B3862" s="1" t="n">
        <v>45635.44899305556</v>
      </c>
      <c r="C3862" s="1" t="n">
        <v>46132</v>
      </c>
      <c r="D3862" t="inlineStr">
        <is>
          <t>ÖREBRO LÄN</t>
        </is>
      </c>
      <c r="E3862" t="inlineStr">
        <is>
          <t>ÖREBRO</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2107-2022</t>
        </is>
      </c>
      <c r="B3863" s="1" t="n">
        <v>44577.83484953704</v>
      </c>
      <c r="C3863" s="1" t="n">
        <v>46132</v>
      </c>
      <c r="D3863" t="inlineStr">
        <is>
          <t>ÖREBRO LÄN</t>
        </is>
      </c>
      <c r="E3863" t="inlineStr">
        <is>
          <t>LINDESBERG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16864-2022</t>
        </is>
      </c>
      <c r="B3864" s="1" t="n">
        <v>44675</v>
      </c>
      <c r="C3864" s="1" t="n">
        <v>46132</v>
      </c>
      <c r="D3864" t="inlineStr">
        <is>
          <t>ÖREBRO LÄN</t>
        </is>
      </c>
      <c r="E3864" t="inlineStr">
        <is>
          <t>LINDESBERG</t>
        </is>
      </c>
      <c r="F3864" t="inlineStr">
        <is>
          <t>Kyrkan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32928-2023</t>
        </is>
      </c>
      <c r="B3865" s="1" t="n">
        <v>45125.41458333333</v>
      </c>
      <c r="C3865" s="1" t="n">
        <v>46132</v>
      </c>
      <c r="D3865" t="inlineStr">
        <is>
          <t>ÖREBRO LÄN</t>
        </is>
      </c>
      <c r="E3865" t="inlineStr">
        <is>
          <t>LINDESBERG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16615-2026</t>
        </is>
      </c>
      <c r="B3866" s="1" t="n">
        <v>46112.60508101852</v>
      </c>
      <c r="C3866" s="1" t="n">
        <v>46132</v>
      </c>
      <c r="D3866" t="inlineStr">
        <is>
          <t>ÖREBRO LÄN</t>
        </is>
      </c>
      <c r="E3866" t="inlineStr">
        <is>
          <t>ASKERSUND</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18137-2025</t>
        </is>
      </c>
      <c r="B3867" s="1" t="n">
        <v>45761.60311342592</v>
      </c>
      <c r="C3867" s="1" t="n">
        <v>46132</v>
      </c>
      <c r="D3867" t="inlineStr">
        <is>
          <t>ÖREBRO LÄN</t>
        </is>
      </c>
      <c r="E3867" t="inlineStr">
        <is>
          <t>HALLSBERG</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46833-2024</t>
        </is>
      </c>
      <c r="B3868" s="1" t="n">
        <v>45583.59436342592</v>
      </c>
      <c r="C3868" s="1" t="n">
        <v>46132</v>
      </c>
      <c r="D3868" t="inlineStr">
        <is>
          <t>ÖREBRO LÄN</t>
        </is>
      </c>
      <c r="E3868" t="inlineStr">
        <is>
          <t>HALLSBERG</t>
        </is>
      </c>
      <c r="F3868" t="inlineStr">
        <is>
          <t>Sveaskog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16288-2026</t>
        </is>
      </c>
      <c r="B3869" s="1" t="n">
        <v>46111.51297453704</v>
      </c>
      <c r="C3869" s="1" t="n">
        <v>46132</v>
      </c>
      <c r="D3869" t="inlineStr">
        <is>
          <t>ÖREBRO LÄN</t>
        </is>
      </c>
      <c r="E3869" t="inlineStr">
        <is>
          <t>NORA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16633-2026</t>
        </is>
      </c>
      <c r="B3870" s="1" t="n">
        <v>46112.6225</v>
      </c>
      <c r="C3870" s="1" t="n">
        <v>46132</v>
      </c>
      <c r="D3870" t="inlineStr">
        <is>
          <t>ÖREBRO LÄN</t>
        </is>
      </c>
      <c r="E3870" t="inlineStr">
        <is>
          <t>ASKERSUND</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16639-2026</t>
        </is>
      </c>
      <c r="B3871" s="1" t="n">
        <v>46112.63101851852</v>
      </c>
      <c r="C3871" s="1" t="n">
        <v>46132</v>
      </c>
      <c r="D3871" t="inlineStr">
        <is>
          <t>ÖREBRO LÄN</t>
        </is>
      </c>
      <c r="E3871" t="inlineStr">
        <is>
          <t>ASKERSUND</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20128-2024</t>
        </is>
      </c>
      <c r="B3872" s="1" t="n">
        <v>45434.5571412037</v>
      </c>
      <c r="C3872" s="1" t="n">
        <v>46132</v>
      </c>
      <c r="D3872" t="inlineStr">
        <is>
          <t>ÖREBRO LÄN</t>
        </is>
      </c>
      <c r="E3872" t="inlineStr">
        <is>
          <t>HÄLLEFORS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19809-2025</t>
        </is>
      </c>
      <c r="B3873" s="1" t="n">
        <v>45771.45527777778</v>
      </c>
      <c r="C3873" s="1" t="n">
        <v>46132</v>
      </c>
      <c r="D3873" t="inlineStr">
        <is>
          <t>ÖREBRO LÄN</t>
        </is>
      </c>
      <c r="E3873" t="inlineStr">
        <is>
          <t>LAXÅ</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19813-2025</t>
        </is>
      </c>
      <c r="B3874" s="1" t="n">
        <v>45771.45670138889</v>
      </c>
      <c r="C3874" s="1" t="n">
        <v>46132</v>
      </c>
      <c r="D3874" t="inlineStr">
        <is>
          <t>ÖREBRO LÄN</t>
        </is>
      </c>
      <c r="E3874" t="inlineStr">
        <is>
          <t>LAXÅ</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19835-2025</t>
        </is>
      </c>
      <c r="B3875" s="1" t="n">
        <v>45771.47118055556</v>
      </c>
      <c r="C3875" s="1" t="n">
        <v>46132</v>
      </c>
      <c r="D3875" t="inlineStr">
        <is>
          <t>ÖREBRO LÄN</t>
        </is>
      </c>
      <c r="E3875" t="inlineStr">
        <is>
          <t>LAXÅ</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20150-2024</t>
        </is>
      </c>
      <c r="B3876" s="1" t="n">
        <v>45434.57969907407</v>
      </c>
      <c r="C3876" s="1" t="n">
        <v>46132</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46877-2022</t>
        </is>
      </c>
      <c r="B3877" s="1" t="n">
        <v>44848</v>
      </c>
      <c r="C3877" s="1" t="n">
        <v>46132</v>
      </c>
      <c r="D3877" t="inlineStr">
        <is>
          <t>ÖREBRO LÄN</t>
        </is>
      </c>
      <c r="E3877" t="inlineStr">
        <is>
          <t>LEKEBERG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21016-2023</t>
        </is>
      </c>
      <c r="B3878" s="1" t="n">
        <v>45061.53414351852</v>
      </c>
      <c r="C3878" s="1" t="n">
        <v>46132</v>
      </c>
      <c r="D3878" t="inlineStr">
        <is>
          <t>ÖREBRO LÄN</t>
        </is>
      </c>
      <c r="E3878" t="inlineStr">
        <is>
          <t>LINDESBERG</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44807-2023</t>
        </is>
      </c>
      <c r="B3879" s="1" t="n">
        <v>45190.49269675926</v>
      </c>
      <c r="C3879" s="1" t="n">
        <v>46132</v>
      </c>
      <c r="D3879" t="inlineStr">
        <is>
          <t>ÖREBRO LÄN</t>
        </is>
      </c>
      <c r="E3879" t="inlineStr">
        <is>
          <t>DEGERFORS</t>
        </is>
      </c>
      <c r="F3879" t="inlineStr">
        <is>
          <t>Sveaskog</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40306-2022</t>
        </is>
      </c>
      <c r="B3880" s="1" t="n">
        <v>44822</v>
      </c>
      <c r="C3880" s="1" t="n">
        <v>46132</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9575-2026</t>
        </is>
      </c>
      <c r="B3881" s="1" t="n">
        <v>46071.66849537037</v>
      </c>
      <c r="C3881" s="1" t="n">
        <v>46132</v>
      </c>
      <c r="D3881" t="inlineStr">
        <is>
          <t>ÖREBRO LÄN</t>
        </is>
      </c>
      <c r="E3881" t="inlineStr">
        <is>
          <t>ASKERSUND</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9457-2025</t>
        </is>
      </c>
      <c r="B3882" s="1" t="n">
        <v>45714</v>
      </c>
      <c r="C3882" s="1" t="n">
        <v>46132</v>
      </c>
      <c r="D3882" t="inlineStr">
        <is>
          <t>ÖREBRO LÄN</t>
        </is>
      </c>
      <c r="E3882" t="inlineStr">
        <is>
          <t>NORA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9577-2026</t>
        </is>
      </c>
      <c r="B3883" s="1" t="n">
        <v>46071.67334490741</v>
      </c>
      <c r="C3883" s="1" t="n">
        <v>46132</v>
      </c>
      <c r="D3883" t="inlineStr">
        <is>
          <t>ÖREBRO LÄN</t>
        </is>
      </c>
      <c r="E3883" t="inlineStr">
        <is>
          <t>LINDESBERG</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58208-2024</t>
        </is>
      </c>
      <c r="B3884" s="1" t="n">
        <v>45632</v>
      </c>
      <c r="C3884" s="1" t="n">
        <v>46132</v>
      </c>
      <c r="D3884" t="inlineStr">
        <is>
          <t>ÖREBRO LÄN</t>
        </is>
      </c>
      <c r="E3884" t="inlineStr">
        <is>
          <t>ÖREBRO</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16783-2026</t>
        </is>
      </c>
      <c r="B3885" s="1" t="n">
        <v>46113.45881944444</v>
      </c>
      <c r="C3885" s="1" t="n">
        <v>46132</v>
      </c>
      <c r="D3885" t="inlineStr">
        <is>
          <t>ÖREBRO LÄN</t>
        </is>
      </c>
      <c r="E3885" t="inlineStr">
        <is>
          <t>KARLSKOGA</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16784-2026</t>
        </is>
      </c>
      <c r="B3886" s="1" t="n">
        <v>46113.45974537037</v>
      </c>
      <c r="C3886" s="1" t="n">
        <v>46132</v>
      </c>
      <c r="D3886" t="inlineStr">
        <is>
          <t>ÖREBRO LÄN</t>
        </is>
      </c>
      <c r="E3886" t="inlineStr">
        <is>
          <t>KARLSKOGA</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16787-2026</t>
        </is>
      </c>
      <c r="B3887" s="1" t="n">
        <v>46113.46074074074</v>
      </c>
      <c r="C3887" s="1" t="n">
        <v>46132</v>
      </c>
      <c r="D3887" t="inlineStr">
        <is>
          <t>ÖREBRO LÄN</t>
        </is>
      </c>
      <c r="E3887" t="inlineStr">
        <is>
          <t>KARLSKOGA</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19388-2024</t>
        </is>
      </c>
      <c r="B3888" s="1" t="n">
        <v>45429.37775462963</v>
      </c>
      <c r="C3888" s="1" t="n">
        <v>46132</v>
      </c>
      <c r="D3888" t="inlineStr">
        <is>
          <t>ÖREBRO LÄN</t>
        </is>
      </c>
      <c r="E3888" t="inlineStr">
        <is>
          <t>ÖREBRO</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27440-2023</t>
        </is>
      </c>
      <c r="B3889" s="1" t="n">
        <v>45097.39893518519</v>
      </c>
      <c r="C3889" s="1" t="n">
        <v>46132</v>
      </c>
      <c r="D3889" t="inlineStr">
        <is>
          <t>ÖREBRO LÄN</t>
        </is>
      </c>
      <c r="E3889" t="inlineStr">
        <is>
          <t>LINDESBERG</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34759-2024</t>
        </is>
      </c>
      <c r="B3890" s="1" t="n">
        <v>45526</v>
      </c>
      <c r="C3890" s="1" t="n">
        <v>46132</v>
      </c>
      <c r="D3890" t="inlineStr">
        <is>
          <t>ÖREBRO LÄN</t>
        </is>
      </c>
      <c r="E3890" t="inlineStr">
        <is>
          <t>NORA</t>
        </is>
      </c>
      <c r="F3890" t="inlineStr">
        <is>
          <t>Övriga Aktiebolag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16810-2026</t>
        </is>
      </c>
      <c r="B3891" s="1" t="n">
        <v>46113.49311342592</v>
      </c>
      <c r="C3891" s="1" t="n">
        <v>46132</v>
      </c>
      <c r="D3891" t="inlineStr">
        <is>
          <t>ÖREBRO LÄN</t>
        </is>
      </c>
      <c r="E3891" t="inlineStr">
        <is>
          <t>NORA</t>
        </is>
      </c>
      <c r="F3891" t="inlineStr">
        <is>
          <t>Sveaskog</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16811-2026</t>
        </is>
      </c>
      <c r="B3892" s="1" t="n">
        <v>46113.49465277778</v>
      </c>
      <c r="C3892" s="1" t="n">
        <v>46132</v>
      </c>
      <c r="D3892" t="inlineStr">
        <is>
          <t>ÖREBRO LÄN</t>
        </is>
      </c>
      <c r="E3892" t="inlineStr">
        <is>
          <t>NORA</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40905-2023</t>
        </is>
      </c>
      <c r="B3893" s="1" t="n">
        <v>45173.39315972223</v>
      </c>
      <c r="C3893" s="1" t="n">
        <v>46132</v>
      </c>
      <c r="D3893" t="inlineStr">
        <is>
          <t>ÖREBRO LÄN</t>
        </is>
      </c>
      <c r="E3893" t="inlineStr">
        <is>
          <t>LINDESBERG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7872-2025</t>
        </is>
      </c>
      <c r="B3894" s="1" t="n">
        <v>45706</v>
      </c>
      <c r="C3894" s="1" t="n">
        <v>46132</v>
      </c>
      <c r="D3894" t="inlineStr">
        <is>
          <t>ÖREBRO LÄN</t>
        </is>
      </c>
      <c r="E3894" t="inlineStr">
        <is>
          <t>ASKERSUND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6835-2025</t>
        </is>
      </c>
      <c r="B3895" s="1" t="n">
        <v>45700.78726851852</v>
      </c>
      <c r="C3895" s="1" t="n">
        <v>46132</v>
      </c>
      <c r="D3895" t="inlineStr">
        <is>
          <t>ÖREBRO LÄN</t>
        </is>
      </c>
      <c r="E3895" t="inlineStr">
        <is>
          <t>KARLSKOGA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7506-2025</t>
        </is>
      </c>
      <c r="B3896" s="1" t="n">
        <v>45705</v>
      </c>
      <c r="C3896" s="1" t="n">
        <v>46132</v>
      </c>
      <c r="D3896" t="inlineStr">
        <is>
          <t>ÖREBRO LÄN</t>
        </is>
      </c>
      <c r="E3896" t="inlineStr">
        <is>
          <t>ÖREBRO</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16815-2026</t>
        </is>
      </c>
      <c r="B3897" s="1" t="n">
        <v>46113.49802083334</v>
      </c>
      <c r="C3897" s="1" t="n">
        <v>46132</v>
      </c>
      <c r="D3897" t="inlineStr">
        <is>
          <t>ÖREBRO LÄN</t>
        </is>
      </c>
      <c r="E3897" t="inlineStr">
        <is>
          <t>NORA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16782-2026</t>
        </is>
      </c>
      <c r="B3898" s="1" t="n">
        <v>46113.45819444444</v>
      </c>
      <c r="C3898" s="1" t="n">
        <v>46132</v>
      </c>
      <c r="D3898" t="inlineStr">
        <is>
          <t>ÖREBRO LÄN</t>
        </is>
      </c>
      <c r="E3898" t="inlineStr">
        <is>
          <t>KARLSKOGA</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4344-2025</t>
        </is>
      </c>
      <c r="B3899" s="1" t="n">
        <v>45685</v>
      </c>
      <c r="C3899" s="1" t="n">
        <v>46132</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16914-2022</t>
        </is>
      </c>
      <c r="B3900" s="1" t="n">
        <v>44676.43390046297</v>
      </c>
      <c r="C3900" s="1" t="n">
        <v>46132</v>
      </c>
      <c r="D3900" t="inlineStr">
        <is>
          <t>ÖREBRO LÄN</t>
        </is>
      </c>
      <c r="E3900" t="inlineStr">
        <is>
          <t>LEKEBERG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16812-2026</t>
        </is>
      </c>
      <c r="B3901" s="1" t="n">
        <v>46113.49563657407</v>
      </c>
      <c r="C3901" s="1" t="n">
        <v>46132</v>
      </c>
      <c r="D3901" t="inlineStr">
        <is>
          <t>ÖREBRO LÄN</t>
        </is>
      </c>
      <c r="E3901" t="inlineStr">
        <is>
          <t>LINDESBERG</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45710-2023</t>
        </is>
      </c>
      <c r="B3902" s="1" t="n">
        <v>45195.35254629629</v>
      </c>
      <c r="C3902" s="1" t="n">
        <v>46132</v>
      </c>
      <c r="D3902" t="inlineStr">
        <is>
          <t>ÖREBRO LÄN</t>
        </is>
      </c>
      <c r="E3902" t="inlineStr">
        <is>
          <t>HÄLLEFORS</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59955-2024</t>
        </is>
      </c>
      <c r="B3903" s="1" t="n">
        <v>45642.34987268518</v>
      </c>
      <c r="C3903" s="1" t="n">
        <v>46132</v>
      </c>
      <c r="D3903" t="inlineStr">
        <is>
          <t>ÖREBRO LÄN</t>
        </is>
      </c>
      <c r="E3903" t="inlineStr">
        <is>
          <t>HÄLLEFORS</t>
        </is>
      </c>
      <c r="F3903" t="inlineStr">
        <is>
          <t>Bergvik skog väst AB</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12596-2025</t>
        </is>
      </c>
      <c r="B3904" s="1" t="n">
        <v>45733.28476851852</v>
      </c>
      <c r="C3904" s="1" t="n">
        <v>46132</v>
      </c>
      <c r="D3904" t="inlineStr">
        <is>
          <t>ÖREBRO LÄN</t>
        </is>
      </c>
      <c r="E3904" t="inlineStr">
        <is>
          <t>LEKEBERG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10404-2022</t>
        </is>
      </c>
      <c r="B3905" s="1" t="n">
        <v>44623.45096064815</v>
      </c>
      <c r="C3905" s="1" t="n">
        <v>46132</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51652-2023</t>
        </is>
      </c>
      <c r="B3906" s="1" t="n">
        <v>45222</v>
      </c>
      <c r="C3906" s="1" t="n">
        <v>46132</v>
      </c>
      <c r="D3906" t="inlineStr">
        <is>
          <t>ÖREBRO LÄN</t>
        </is>
      </c>
      <c r="E3906" t="inlineStr">
        <is>
          <t>DEGERFORS</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16808-2026</t>
        </is>
      </c>
      <c r="B3907" s="1" t="n">
        <v>46113.49188657408</v>
      </c>
      <c r="C3907" s="1" t="n">
        <v>46132</v>
      </c>
      <c r="D3907" t="inlineStr">
        <is>
          <t>ÖREBRO LÄN</t>
        </is>
      </c>
      <c r="E3907" t="inlineStr">
        <is>
          <t>NORA</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16300-2022</t>
        </is>
      </c>
      <c r="B3908" s="1" t="n">
        <v>44670</v>
      </c>
      <c r="C3908" s="1" t="n">
        <v>46132</v>
      </c>
      <c r="D3908" t="inlineStr">
        <is>
          <t>ÖREBRO LÄN</t>
        </is>
      </c>
      <c r="E3908" t="inlineStr">
        <is>
          <t>ÖREBRO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15126-2026</t>
        </is>
      </c>
      <c r="B3909" s="1" t="n">
        <v>46105.37195601852</v>
      </c>
      <c r="C3909" s="1" t="n">
        <v>46132</v>
      </c>
      <c r="D3909" t="inlineStr">
        <is>
          <t>ÖREBRO LÄN</t>
        </is>
      </c>
      <c r="E3909" t="inlineStr">
        <is>
          <t>LINDESBERG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46866-2024</t>
        </is>
      </c>
      <c r="B3910" s="1" t="n">
        <v>45583</v>
      </c>
      <c r="C3910" s="1" t="n">
        <v>46132</v>
      </c>
      <c r="D3910" t="inlineStr">
        <is>
          <t>ÖREBRO LÄN</t>
        </is>
      </c>
      <c r="E3910" t="inlineStr">
        <is>
          <t>HALLSBERG</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17770-2022</t>
        </is>
      </c>
      <c r="B3911" s="1" t="n">
        <v>44682.64953703704</v>
      </c>
      <c r="C3911" s="1" t="n">
        <v>46132</v>
      </c>
      <c r="D3911" t="inlineStr">
        <is>
          <t>ÖREBRO LÄN</t>
        </is>
      </c>
      <c r="E3911" t="inlineStr">
        <is>
          <t>NORA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14928-2022</t>
        </is>
      </c>
      <c r="B3912" s="1" t="n">
        <v>44657</v>
      </c>
      <c r="C3912" s="1" t="n">
        <v>46132</v>
      </c>
      <c r="D3912" t="inlineStr">
        <is>
          <t>ÖREBRO LÄN</t>
        </is>
      </c>
      <c r="E3912" t="inlineStr">
        <is>
          <t>HALLSBERG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44088-2024</t>
        </is>
      </c>
      <c r="B3913" s="1" t="n">
        <v>45572.61984953703</v>
      </c>
      <c r="C3913" s="1" t="n">
        <v>46132</v>
      </c>
      <c r="D3913" t="inlineStr">
        <is>
          <t>ÖREBRO LÄN</t>
        </is>
      </c>
      <c r="E3913" t="inlineStr">
        <is>
          <t>HÄLLEFORS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41951-2023</t>
        </is>
      </c>
      <c r="B3914" s="1" t="n">
        <v>45177.33991898148</v>
      </c>
      <c r="C3914" s="1" t="n">
        <v>46132</v>
      </c>
      <c r="D3914" t="inlineStr">
        <is>
          <t>ÖREBRO LÄN</t>
        </is>
      </c>
      <c r="E3914" t="inlineStr">
        <is>
          <t>LINDESBERG</t>
        </is>
      </c>
      <c r="F3914" t="inlineStr">
        <is>
          <t>Kyrkan</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9400-2026</t>
        </is>
      </c>
      <c r="B3915" s="1" t="n">
        <v>46071.38994212963</v>
      </c>
      <c r="C3915" s="1" t="n">
        <v>46132</v>
      </c>
      <c r="D3915" t="inlineStr">
        <is>
          <t>ÖREBRO LÄN</t>
        </is>
      </c>
      <c r="E3915" t="inlineStr">
        <is>
          <t>ASKERSUND</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4310-2025</t>
        </is>
      </c>
      <c r="B3916" s="1" t="n">
        <v>45685</v>
      </c>
      <c r="C3916" s="1" t="n">
        <v>46132</v>
      </c>
      <c r="D3916" t="inlineStr">
        <is>
          <t>ÖREBRO LÄN</t>
        </is>
      </c>
      <c r="E3916" t="inlineStr">
        <is>
          <t>LINDESBERG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16958-2022</t>
        </is>
      </c>
      <c r="B3917" s="1" t="n">
        <v>44676.50481481481</v>
      </c>
      <c r="C3917" s="1" t="n">
        <v>46132</v>
      </c>
      <c r="D3917" t="inlineStr">
        <is>
          <t>ÖREBRO LÄN</t>
        </is>
      </c>
      <c r="E3917" t="inlineStr">
        <is>
          <t>ÖREBRO</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17010-2026</t>
        </is>
      </c>
      <c r="B3918" s="1" t="n">
        <v>46114</v>
      </c>
      <c r="C3918" s="1" t="n">
        <v>46132</v>
      </c>
      <c r="D3918" t="inlineStr">
        <is>
          <t>ÖREBRO LÄN</t>
        </is>
      </c>
      <c r="E3918" t="inlineStr">
        <is>
          <t>LINDESBERG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9432-2026</t>
        </is>
      </c>
      <c r="B3919" s="1" t="n">
        <v>46071.45568287037</v>
      </c>
      <c r="C3919" s="1" t="n">
        <v>46132</v>
      </c>
      <c r="D3919" t="inlineStr">
        <is>
          <t>ÖREBRO LÄN</t>
        </is>
      </c>
      <c r="E3919" t="inlineStr">
        <is>
          <t>LINDESBERG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16813-2026</t>
        </is>
      </c>
      <c r="B3920" s="1" t="n">
        <v>46113.49621527778</v>
      </c>
      <c r="C3920" s="1" t="n">
        <v>46132</v>
      </c>
      <c r="D3920" t="inlineStr">
        <is>
          <t>ÖREBRO LÄN</t>
        </is>
      </c>
      <c r="E3920" t="inlineStr">
        <is>
          <t>NORA</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16816-2026</t>
        </is>
      </c>
      <c r="B3921" s="1" t="n">
        <v>46113.49991898148</v>
      </c>
      <c r="C3921" s="1" t="n">
        <v>46132</v>
      </c>
      <c r="D3921" t="inlineStr">
        <is>
          <t>ÖREBRO LÄN</t>
        </is>
      </c>
      <c r="E3921" t="inlineStr">
        <is>
          <t>NORA</t>
        </is>
      </c>
      <c r="F3921" t="inlineStr">
        <is>
          <t>Sveaskog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16814-2026</t>
        </is>
      </c>
      <c r="B3922" s="1" t="n">
        <v>46113.49700231481</v>
      </c>
      <c r="C3922" s="1" t="n">
        <v>46132</v>
      </c>
      <c r="D3922" t="inlineStr">
        <is>
          <t>ÖREBRO LÄN</t>
        </is>
      </c>
      <c r="E3922" t="inlineStr">
        <is>
          <t>NORA</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16529-2024</t>
        </is>
      </c>
      <c r="B3923" s="1" t="n">
        <v>45408.42216435185</v>
      </c>
      <c r="C3923" s="1" t="n">
        <v>46132</v>
      </c>
      <c r="D3923" t="inlineStr">
        <is>
          <t>ÖREBRO LÄN</t>
        </is>
      </c>
      <c r="E3923" t="inlineStr">
        <is>
          <t>NORA</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3239-2026</t>
        </is>
      </c>
      <c r="B3924" s="1" t="n">
        <v>46041</v>
      </c>
      <c r="C3924" s="1" t="n">
        <v>46132</v>
      </c>
      <c r="D3924" t="inlineStr">
        <is>
          <t>ÖREBRO LÄN</t>
        </is>
      </c>
      <c r="E3924" t="inlineStr">
        <is>
          <t>KARLSKOGA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55472-2023</t>
        </is>
      </c>
      <c r="B3925" s="1" t="n">
        <v>45238</v>
      </c>
      <c r="C3925" s="1" t="n">
        <v>46132</v>
      </c>
      <c r="D3925" t="inlineStr">
        <is>
          <t>ÖREBRO LÄN</t>
        </is>
      </c>
      <c r="E3925" t="inlineStr">
        <is>
          <t>ÖREBRO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24078-2024</t>
        </is>
      </c>
      <c r="B3926" s="1" t="n">
        <v>45456.56702546297</v>
      </c>
      <c r="C3926" s="1" t="n">
        <v>46132</v>
      </c>
      <c r="D3926" t="inlineStr">
        <is>
          <t>ÖREBRO LÄN</t>
        </is>
      </c>
      <c r="E3926" t="inlineStr">
        <is>
          <t>ASKERSUND</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40758-2021</t>
        </is>
      </c>
      <c r="B3927" s="1" t="n">
        <v>44420</v>
      </c>
      <c r="C3927" s="1" t="n">
        <v>46132</v>
      </c>
      <c r="D3927" t="inlineStr">
        <is>
          <t>ÖREBRO LÄN</t>
        </is>
      </c>
      <c r="E3927" t="inlineStr">
        <is>
          <t>LINDESBERG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21649-2024</t>
        </is>
      </c>
      <c r="B3928" s="1" t="n">
        <v>45442.3671412037</v>
      </c>
      <c r="C3928" s="1" t="n">
        <v>46132</v>
      </c>
      <c r="D3928" t="inlineStr">
        <is>
          <t>ÖREBRO LÄN</t>
        </is>
      </c>
      <c r="E3928" t="inlineStr">
        <is>
          <t>DEGERFORS</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34025-2024</t>
        </is>
      </c>
      <c r="B3929" s="1" t="n">
        <v>45523.58565972222</v>
      </c>
      <c r="C3929" s="1" t="n">
        <v>46132</v>
      </c>
      <c r="D3929" t="inlineStr">
        <is>
          <t>ÖREBRO LÄN</t>
        </is>
      </c>
      <c r="E3929" t="inlineStr">
        <is>
          <t>LINDESBERG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17155-2026</t>
        </is>
      </c>
      <c r="B3930" s="1" t="n">
        <v>46115.50295138889</v>
      </c>
      <c r="C3930" s="1" t="n">
        <v>46132</v>
      </c>
      <c r="D3930" t="inlineStr">
        <is>
          <t>ÖREBRO LÄN</t>
        </is>
      </c>
      <c r="E3930" t="inlineStr">
        <is>
          <t>LINDESBERG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17158-2026</t>
        </is>
      </c>
      <c r="B3931" s="1" t="n">
        <v>46115.55826388889</v>
      </c>
      <c r="C3931" s="1" t="n">
        <v>46132</v>
      </c>
      <c r="D3931" t="inlineStr">
        <is>
          <t>ÖREBRO LÄN</t>
        </is>
      </c>
      <c r="E3931" t="inlineStr">
        <is>
          <t>LINDESBERG</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17154-2026</t>
        </is>
      </c>
      <c r="B3932" s="1" t="n">
        <v>46115.49298611111</v>
      </c>
      <c r="C3932" s="1" t="n">
        <v>46132</v>
      </c>
      <c r="D3932" t="inlineStr">
        <is>
          <t>ÖREBRO LÄN</t>
        </is>
      </c>
      <c r="E3932" t="inlineStr">
        <is>
          <t>LINDESBERG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17157-2026</t>
        </is>
      </c>
      <c r="B3933" s="1" t="n">
        <v>46115.52068287037</v>
      </c>
      <c r="C3933" s="1" t="n">
        <v>46132</v>
      </c>
      <c r="D3933" t="inlineStr">
        <is>
          <t>ÖREBRO LÄN</t>
        </is>
      </c>
      <c r="E3933" t="inlineStr">
        <is>
          <t>LINDESBERG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17159-2026</t>
        </is>
      </c>
      <c r="B3934" s="1" t="n">
        <v>46115.57298611111</v>
      </c>
      <c r="C3934" s="1" t="n">
        <v>46132</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10108-2026</t>
        </is>
      </c>
      <c r="B3935" s="1" t="n">
        <v>46074.64310185185</v>
      </c>
      <c r="C3935" s="1" t="n">
        <v>46132</v>
      </c>
      <c r="D3935" t="inlineStr">
        <is>
          <t>ÖREBRO LÄN</t>
        </is>
      </c>
      <c r="E3935" t="inlineStr">
        <is>
          <t>ÖREBRO</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3227-2025</t>
        </is>
      </c>
      <c r="B3936" s="1" t="n">
        <v>45679</v>
      </c>
      <c r="C3936" s="1" t="n">
        <v>46132</v>
      </c>
      <c r="D3936" t="inlineStr">
        <is>
          <t>ÖREBRO LÄN</t>
        </is>
      </c>
      <c r="E3936" t="inlineStr">
        <is>
          <t>KARLSKOGA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61091-2023</t>
        </is>
      </c>
      <c r="B3937" s="1" t="n">
        <v>45261.6415625</v>
      </c>
      <c r="C3937" s="1" t="n">
        <v>46132</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63912-2025</t>
        </is>
      </c>
      <c r="B3938" s="1" t="n">
        <v>46020</v>
      </c>
      <c r="C3938" s="1" t="n">
        <v>46132</v>
      </c>
      <c r="D3938" t="inlineStr">
        <is>
          <t>ÖREBRO LÄN</t>
        </is>
      </c>
      <c r="E3938" t="inlineStr">
        <is>
          <t>HALLSBERG</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37404-2022</t>
        </is>
      </c>
      <c r="B3939" s="1" t="n">
        <v>44808</v>
      </c>
      <c r="C3939" s="1" t="n">
        <v>46132</v>
      </c>
      <c r="D3939" t="inlineStr">
        <is>
          <t>ÖREBRO LÄN</t>
        </is>
      </c>
      <c r="E3939" t="inlineStr">
        <is>
          <t>ASKERSUND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54925-2023</t>
        </is>
      </c>
      <c r="B3940" s="1" t="n">
        <v>45229</v>
      </c>
      <c r="C3940" s="1" t="n">
        <v>46132</v>
      </c>
      <c r="D3940" t="inlineStr">
        <is>
          <t>ÖREBRO LÄN</t>
        </is>
      </c>
      <c r="E3940" t="inlineStr">
        <is>
          <t>ÖREBRO</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28788-2022</t>
        </is>
      </c>
      <c r="B3941" s="1" t="n">
        <v>44749.39806712963</v>
      </c>
      <c r="C3941" s="1" t="n">
        <v>46132</v>
      </c>
      <c r="D3941" t="inlineStr">
        <is>
          <t>ÖREBRO LÄN</t>
        </is>
      </c>
      <c r="E3941" t="inlineStr">
        <is>
          <t>HÄLLEFORS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17153-2026</t>
        </is>
      </c>
      <c r="B3942" s="1" t="n">
        <v>46115.4727199074</v>
      </c>
      <c r="C3942" s="1" t="n">
        <v>46132</v>
      </c>
      <c r="D3942" t="inlineStr">
        <is>
          <t>ÖREBRO LÄN</t>
        </is>
      </c>
      <c r="E3942" t="inlineStr">
        <is>
          <t>LINDESBERG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17156-2026</t>
        </is>
      </c>
      <c r="B3943" s="1" t="n">
        <v>46115.51194444444</v>
      </c>
      <c r="C3943" s="1" t="n">
        <v>46132</v>
      </c>
      <c r="D3943" t="inlineStr">
        <is>
          <t>ÖREBRO LÄN</t>
        </is>
      </c>
      <c r="E3943" t="inlineStr">
        <is>
          <t>LINDESBERG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17161-2026</t>
        </is>
      </c>
      <c r="B3944" s="1" t="n">
        <v>46115.59534722222</v>
      </c>
      <c r="C3944" s="1" t="n">
        <v>46132</v>
      </c>
      <c r="D3944" t="inlineStr">
        <is>
          <t>ÖREBRO LÄN</t>
        </is>
      </c>
      <c r="E3944" t="inlineStr">
        <is>
          <t>LINDESBERG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60303-2024</t>
        </is>
      </c>
      <c r="B3945" s="1" t="n">
        <v>45643</v>
      </c>
      <c r="C3945" s="1" t="n">
        <v>46132</v>
      </c>
      <c r="D3945" t="inlineStr">
        <is>
          <t>ÖREBRO LÄN</t>
        </is>
      </c>
      <c r="E3945" t="inlineStr">
        <is>
          <t>HÄLLEFORS</t>
        </is>
      </c>
      <c r="F3945" t="inlineStr">
        <is>
          <t>Bergvik skog väst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17013-2026</t>
        </is>
      </c>
      <c r="B3946" s="1" t="n">
        <v>46114</v>
      </c>
      <c r="C3946" s="1" t="n">
        <v>46132</v>
      </c>
      <c r="D3946" t="inlineStr">
        <is>
          <t>ÖREBRO LÄN</t>
        </is>
      </c>
      <c r="E3946" t="inlineStr">
        <is>
          <t>LINDESBERG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10441-2026</t>
        </is>
      </c>
      <c r="B3947" s="1" t="n">
        <v>46076</v>
      </c>
      <c r="C3947" s="1" t="n">
        <v>46132</v>
      </c>
      <c r="D3947" t="inlineStr">
        <is>
          <t>ÖREBRO LÄN</t>
        </is>
      </c>
      <c r="E3947" t="inlineStr">
        <is>
          <t>NORA</t>
        </is>
      </c>
      <c r="F3947" t="inlineStr">
        <is>
          <t>Övriga Aktiebolag</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19245-2025</t>
        </is>
      </c>
      <c r="B3948" s="1" t="n">
        <v>45769</v>
      </c>
      <c r="C3948" s="1" t="n">
        <v>46132</v>
      </c>
      <c r="D3948" t="inlineStr">
        <is>
          <t>ÖREBRO LÄN</t>
        </is>
      </c>
      <c r="E3948" t="inlineStr">
        <is>
          <t>HÄLLEFORS</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46132</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16961-2022</t>
        </is>
      </c>
      <c r="B3950" s="1" t="n">
        <v>44676</v>
      </c>
      <c r="C3950" s="1" t="n">
        <v>46132</v>
      </c>
      <c r="D3950" t="inlineStr">
        <is>
          <t>ÖREBRO LÄN</t>
        </is>
      </c>
      <c r="E3950" t="inlineStr">
        <is>
          <t>ÖREBRO</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7990-2025</t>
        </is>
      </c>
      <c r="B3951" s="1" t="n">
        <v>45707</v>
      </c>
      <c r="C3951" s="1" t="n">
        <v>46132</v>
      </c>
      <c r="D3951" t="inlineStr">
        <is>
          <t>ÖREBRO LÄN</t>
        </is>
      </c>
      <c r="E3951" t="inlineStr">
        <is>
          <t>LINDESBERG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6158-2025</t>
        </is>
      </c>
      <c r="B3952" s="1" t="n">
        <v>45698</v>
      </c>
      <c r="C3952" s="1" t="n">
        <v>46132</v>
      </c>
      <c r="D3952" t="inlineStr">
        <is>
          <t>ÖREBRO LÄN</t>
        </is>
      </c>
      <c r="E3952" t="inlineStr">
        <is>
          <t>LAXÅ</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9933-2026</t>
        </is>
      </c>
      <c r="B3953" s="1" t="n">
        <v>46073.45722222222</v>
      </c>
      <c r="C3953" s="1" t="n">
        <v>46132</v>
      </c>
      <c r="D3953" t="inlineStr">
        <is>
          <t>ÖREBRO LÄN</t>
        </is>
      </c>
      <c r="E3953" t="inlineStr">
        <is>
          <t>LEKEBERG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17261-2026</t>
        </is>
      </c>
      <c r="B3954" s="1" t="n">
        <v>46119.46892361111</v>
      </c>
      <c r="C3954" s="1" t="n">
        <v>46132</v>
      </c>
      <c r="D3954" t="inlineStr">
        <is>
          <t>ÖREBRO LÄN</t>
        </is>
      </c>
      <c r="E3954" t="inlineStr">
        <is>
          <t>KARLSKOGA</t>
        </is>
      </c>
      <c r="F3954" t="inlineStr">
        <is>
          <t>Övriga Aktiebolag</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4103-2025</t>
        </is>
      </c>
      <c r="B3955" s="1" t="n">
        <v>45684.68855324074</v>
      </c>
      <c r="C3955" s="1" t="n">
        <v>46132</v>
      </c>
      <c r="D3955" t="inlineStr">
        <is>
          <t>ÖREBRO LÄN</t>
        </is>
      </c>
      <c r="E3955" t="inlineStr">
        <is>
          <t>KUMLA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59538-2023</t>
        </is>
      </c>
      <c r="B3956" s="1" t="n">
        <v>45254</v>
      </c>
      <c r="C3956" s="1" t="n">
        <v>46132</v>
      </c>
      <c r="D3956" t="inlineStr">
        <is>
          <t>ÖREBRO LÄN</t>
        </is>
      </c>
      <c r="E3956" t="inlineStr">
        <is>
          <t>ASKERSUND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15424-2022</t>
        </is>
      </c>
      <c r="B3957" s="1" t="n">
        <v>44659</v>
      </c>
      <c r="C3957" s="1" t="n">
        <v>46132</v>
      </c>
      <c r="D3957" t="inlineStr">
        <is>
          <t>ÖREBRO LÄN</t>
        </is>
      </c>
      <c r="E3957" t="inlineStr">
        <is>
          <t>ÖREBRO</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9917-2026</t>
        </is>
      </c>
      <c r="B3958" s="1" t="n">
        <v>46073.4390162037</v>
      </c>
      <c r="C3958" s="1" t="n">
        <v>46132</v>
      </c>
      <c r="D3958" t="inlineStr">
        <is>
          <t>ÖREBRO LÄN</t>
        </is>
      </c>
      <c r="E3958" t="inlineStr">
        <is>
          <t>KARLSKOGA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48746-2023</t>
        </is>
      </c>
      <c r="B3959" s="1" t="n">
        <v>45208</v>
      </c>
      <c r="C3959" s="1" t="n">
        <v>46132</v>
      </c>
      <c r="D3959" t="inlineStr">
        <is>
          <t>ÖREBRO LÄN</t>
        </is>
      </c>
      <c r="E3959" t="inlineStr">
        <is>
          <t>ASKERSUND</t>
        </is>
      </c>
      <c r="F3959" t="inlineStr">
        <is>
          <t>Sveaskog</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39869-2023</t>
        </is>
      </c>
      <c r="B3960" s="1" t="n">
        <v>45168</v>
      </c>
      <c r="C3960" s="1" t="n">
        <v>46132</v>
      </c>
      <c r="D3960" t="inlineStr">
        <is>
          <t>ÖREBRO LÄN</t>
        </is>
      </c>
      <c r="E3960" t="inlineStr">
        <is>
          <t>HÄLLEFORS</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54080-2023</t>
        </is>
      </c>
      <c r="B3961" s="1" t="n">
        <v>45225</v>
      </c>
      <c r="C3961" s="1" t="n">
        <v>46132</v>
      </c>
      <c r="D3961" t="inlineStr">
        <is>
          <t>ÖREBRO LÄN</t>
        </is>
      </c>
      <c r="E3961" t="inlineStr">
        <is>
          <t>KUMLA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9530-2025</t>
        </is>
      </c>
      <c r="B3962" s="1" t="n">
        <v>45714</v>
      </c>
      <c r="C3962" s="1" t="n">
        <v>46132</v>
      </c>
      <c r="D3962" t="inlineStr">
        <is>
          <t>ÖREBRO LÄN</t>
        </is>
      </c>
      <c r="E3962" t="inlineStr">
        <is>
          <t>ASKERSUND</t>
        </is>
      </c>
      <c r="F3962" t="inlineStr">
        <is>
          <t>Övriga Aktiebolag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17162-2026</t>
        </is>
      </c>
      <c r="B3963" s="1" t="n">
        <v>46115.60453703703</v>
      </c>
      <c r="C3963" s="1" t="n">
        <v>46132</v>
      </c>
      <c r="D3963" t="inlineStr">
        <is>
          <t>ÖREBRO LÄN</t>
        </is>
      </c>
      <c r="E3963" t="inlineStr">
        <is>
          <t>LINDESBERG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33293-2023</t>
        </is>
      </c>
      <c r="B3964" s="1" t="n">
        <v>45116</v>
      </c>
      <c r="C3964" s="1" t="n">
        <v>46132</v>
      </c>
      <c r="D3964" t="inlineStr">
        <is>
          <t>ÖREBRO LÄN</t>
        </is>
      </c>
      <c r="E3964" t="inlineStr">
        <is>
          <t>DEGERFORS</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17299-2026</t>
        </is>
      </c>
      <c r="B3965" s="1" t="n">
        <v>46119.5665162037</v>
      </c>
      <c r="C3965" s="1" t="n">
        <v>46132</v>
      </c>
      <c r="D3965" t="inlineStr">
        <is>
          <t>ÖREBRO LÄN</t>
        </is>
      </c>
      <c r="E3965" t="inlineStr">
        <is>
          <t>KARLSKOGA</t>
        </is>
      </c>
      <c r="F3965" t="inlineStr">
        <is>
          <t>Övriga Aktiebolag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61691-2023</t>
        </is>
      </c>
      <c r="B3966" s="1" t="n">
        <v>45265.64142361111</v>
      </c>
      <c r="C3966" s="1" t="n">
        <v>46132</v>
      </c>
      <c r="D3966" t="inlineStr">
        <is>
          <t>ÖREBRO LÄN</t>
        </is>
      </c>
      <c r="E3966" t="inlineStr">
        <is>
          <t>LINDESBERG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3728-2025</t>
        </is>
      </c>
      <c r="B3967" s="1" t="n">
        <v>45681</v>
      </c>
      <c r="C3967" s="1" t="n">
        <v>46132</v>
      </c>
      <c r="D3967" t="inlineStr">
        <is>
          <t>ÖREBRO LÄN</t>
        </is>
      </c>
      <c r="E3967" t="inlineStr">
        <is>
          <t>ASKERSUND</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36484-2022</t>
        </is>
      </c>
      <c r="B3968" s="1" t="n">
        <v>44804.44864583333</v>
      </c>
      <c r="C3968" s="1" t="n">
        <v>46132</v>
      </c>
      <c r="D3968" t="inlineStr">
        <is>
          <t>ÖREBRO LÄN</t>
        </is>
      </c>
      <c r="E3968" t="inlineStr">
        <is>
          <t>ASKERSUND</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11836-2025</t>
        </is>
      </c>
      <c r="B3969" s="1" t="n">
        <v>45728.35930555555</v>
      </c>
      <c r="C3969" s="1" t="n">
        <v>46132</v>
      </c>
      <c r="D3969" t="inlineStr">
        <is>
          <t>ÖREBRO LÄN</t>
        </is>
      </c>
      <c r="E3969" t="inlineStr">
        <is>
          <t>ASKERSUND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9987-2026</t>
        </is>
      </c>
      <c r="B3970" s="1" t="n">
        <v>46073.54361111111</v>
      </c>
      <c r="C3970" s="1" t="n">
        <v>46132</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15736-2025</t>
        </is>
      </c>
      <c r="B3971" s="1" t="n">
        <v>45748</v>
      </c>
      <c r="C3971" s="1" t="n">
        <v>46132</v>
      </c>
      <c r="D3971" t="inlineStr">
        <is>
          <t>ÖREBRO LÄN</t>
        </is>
      </c>
      <c r="E3971" t="inlineStr">
        <is>
          <t>LAXÅ</t>
        </is>
      </c>
      <c r="F3971" t="inlineStr">
        <is>
          <t>Sveaskog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55756-2023</t>
        </is>
      </c>
      <c r="B3972" s="1" t="n">
        <v>45239</v>
      </c>
      <c r="C3972" s="1" t="n">
        <v>46132</v>
      </c>
      <c r="D3972" t="inlineStr">
        <is>
          <t>ÖREBRO LÄN</t>
        </is>
      </c>
      <c r="E3972" t="inlineStr">
        <is>
          <t>HÄLLEFORS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18945-2025</t>
        </is>
      </c>
      <c r="B3973" s="1" t="n">
        <v>45764.50498842593</v>
      </c>
      <c r="C3973" s="1" t="n">
        <v>46132</v>
      </c>
      <c r="D3973" t="inlineStr">
        <is>
          <t>ÖREBRO LÄN</t>
        </is>
      </c>
      <c r="E3973" t="inlineStr">
        <is>
          <t>HÄLLEFORS</t>
        </is>
      </c>
      <c r="F3973" t="inlineStr">
        <is>
          <t>Bergvik skog väst AB</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9986-2026</t>
        </is>
      </c>
      <c r="B3974" s="1" t="n">
        <v>46073.54277777778</v>
      </c>
      <c r="C3974" s="1" t="n">
        <v>46132</v>
      </c>
      <c r="D3974" t="inlineStr">
        <is>
          <t>ÖREBRO LÄN</t>
        </is>
      </c>
      <c r="E3974" t="inlineStr">
        <is>
          <t>LAXÅ</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18955-2025</t>
        </is>
      </c>
      <c r="B3975" s="1" t="n">
        <v>45764.51512731481</v>
      </c>
      <c r="C3975" s="1" t="n">
        <v>46132</v>
      </c>
      <c r="D3975" t="inlineStr">
        <is>
          <t>ÖREBRO LÄN</t>
        </is>
      </c>
      <c r="E3975" t="inlineStr">
        <is>
          <t>KARLSKOGA</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29735-2023</t>
        </is>
      </c>
      <c r="B3976" s="1" t="n">
        <v>45098</v>
      </c>
      <c r="C3976" s="1" t="n">
        <v>46132</v>
      </c>
      <c r="D3976" t="inlineStr">
        <is>
          <t>ÖREBRO LÄN</t>
        </is>
      </c>
      <c r="E3976" t="inlineStr">
        <is>
          <t>HALLSBERG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37507-2023</t>
        </is>
      </c>
      <c r="B3977" s="1" t="n">
        <v>45158.41768518519</v>
      </c>
      <c r="C3977" s="1" t="n">
        <v>46132</v>
      </c>
      <c r="D3977" t="inlineStr">
        <is>
          <t>ÖREBRO LÄN</t>
        </is>
      </c>
      <c r="E3977" t="inlineStr">
        <is>
          <t>LINDESBERG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37570-2023</t>
        </is>
      </c>
      <c r="B3978" s="1" t="n">
        <v>45159.37641203704</v>
      </c>
      <c r="C3978" s="1" t="n">
        <v>46132</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13700-2024</t>
        </is>
      </c>
      <c r="B3979" s="1" t="n">
        <v>45390.59277777778</v>
      </c>
      <c r="C3979" s="1" t="n">
        <v>46132</v>
      </c>
      <c r="D3979" t="inlineStr">
        <is>
          <t>ÖREBRO LÄN</t>
        </is>
      </c>
      <c r="E3979" t="inlineStr">
        <is>
          <t>ÖREBRO</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8366-2025</t>
        </is>
      </c>
      <c r="B3980" s="1" t="n">
        <v>45708</v>
      </c>
      <c r="C3980" s="1" t="n">
        <v>46132</v>
      </c>
      <c r="D3980" t="inlineStr">
        <is>
          <t>ÖREBRO LÄN</t>
        </is>
      </c>
      <c r="E3980" t="inlineStr">
        <is>
          <t>ASKERSUND</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18274-2024</t>
        </is>
      </c>
      <c r="B3981" s="1" t="n">
        <v>45421.70460648148</v>
      </c>
      <c r="C3981" s="1" t="n">
        <v>46132</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44161-2023</t>
        </is>
      </c>
      <c r="B3982" s="1" t="n">
        <v>45188.48960648148</v>
      </c>
      <c r="C3982" s="1" t="n">
        <v>46132</v>
      </c>
      <c r="D3982" t="inlineStr">
        <is>
          <t>ÖREBRO LÄN</t>
        </is>
      </c>
      <c r="E3982" t="inlineStr">
        <is>
          <t>ASKERSUND</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41576-2021</t>
        </is>
      </c>
      <c r="B3983" s="1" t="n">
        <v>44425</v>
      </c>
      <c r="C3983" s="1" t="n">
        <v>46132</v>
      </c>
      <c r="D3983" t="inlineStr">
        <is>
          <t>ÖREBRO LÄN</t>
        </is>
      </c>
      <c r="E3983" t="inlineStr">
        <is>
          <t>LINDESBERG</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3026-2026</t>
        </is>
      </c>
      <c r="B3984" s="1" t="n">
        <v>46038</v>
      </c>
      <c r="C3984" s="1" t="n">
        <v>46132</v>
      </c>
      <c r="D3984" t="inlineStr">
        <is>
          <t>ÖREBRO LÄN</t>
        </is>
      </c>
      <c r="E3984" t="inlineStr">
        <is>
          <t>LINDESBERG</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46675-2023</t>
        </is>
      </c>
      <c r="B3985" s="1" t="n">
        <v>45194</v>
      </c>
      <c r="C3985" s="1" t="n">
        <v>46132</v>
      </c>
      <c r="D3985" t="inlineStr">
        <is>
          <t>ÖREBRO LÄN</t>
        </is>
      </c>
      <c r="E3985" t="inlineStr">
        <is>
          <t>LINDESBERG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10944-2026</t>
        </is>
      </c>
      <c r="B3986" s="1" t="n">
        <v>46079.37659722222</v>
      </c>
      <c r="C3986" s="1" t="n">
        <v>46132</v>
      </c>
      <c r="D3986" t="inlineStr">
        <is>
          <t>ÖREBRO LÄN</t>
        </is>
      </c>
      <c r="E3986" t="inlineStr">
        <is>
          <t>ÖREBRO</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3659-2025</t>
        </is>
      </c>
      <c r="B3987" s="1" t="n">
        <v>45681</v>
      </c>
      <c r="C3987" s="1" t="n">
        <v>46132</v>
      </c>
      <c r="D3987" t="inlineStr">
        <is>
          <t>ÖREBRO LÄN</t>
        </is>
      </c>
      <c r="E3987" t="inlineStr">
        <is>
          <t>ÖREBRO</t>
        </is>
      </c>
      <c r="G3987" t="n">
        <v>15.8</v>
      </c>
      <c r="H3987" t="n">
        <v>0</v>
      </c>
      <c r="I3987" t="n">
        <v>0</v>
      </c>
      <c r="J3987" t="n">
        <v>0</v>
      </c>
      <c r="K3987" t="n">
        <v>0</v>
      </c>
      <c r="L3987" t="n">
        <v>0</v>
      </c>
      <c r="M3987" t="n">
        <v>0</v>
      </c>
      <c r="N3987" t="n">
        <v>0</v>
      </c>
      <c r="O3987" t="n">
        <v>0</v>
      </c>
      <c r="P3987" t="n">
        <v>0</v>
      </c>
      <c r="Q3987" t="n">
        <v>0</v>
      </c>
      <c r="R3987" s="2" t="inlineStr"/>
    </row>
    <row r="3988" ht="15" customHeight="1">
      <c r="A3988" t="inlineStr">
        <is>
          <t>A 17338-2025</t>
        </is>
      </c>
      <c r="B3988" s="1" t="n">
        <v>45756</v>
      </c>
      <c r="C3988" s="1" t="n">
        <v>46132</v>
      </c>
      <c r="D3988" t="inlineStr">
        <is>
          <t>ÖREBRO LÄN</t>
        </is>
      </c>
      <c r="E3988" t="inlineStr">
        <is>
          <t>HÄLLEFORS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17405-2026</t>
        </is>
      </c>
      <c r="B3989" s="1" t="n">
        <v>46120.32586805556</v>
      </c>
      <c r="C3989" s="1" t="n">
        <v>46132</v>
      </c>
      <c r="D3989" t="inlineStr">
        <is>
          <t>ÖREBRO LÄN</t>
        </is>
      </c>
      <c r="E3989" t="inlineStr">
        <is>
          <t>LAXÅ</t>
        </is>
      </c>
      <c r="F3989" t="inlineStr">
        <is>
          <t>Sveaskog</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17407-2026</t>
        </is>
      </c>
      <c r="B3990" s="1" t="n">
        <v>46120.32766203704</v>
      </c>
      <c r="C3990" s="1" t="n">
        <v>46132</v>
      </c>
      <c r="D3990" t="inlineStr">
        <is>
          <t>ÖREBRO LÄN</t>
        </is>
      </c>
      <c r="E3990" t="inlineStr">
        <is>
          <t>LAXÅ</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8044-2025</t>
        </is>
      </c>
      <c r="B3991" s="1" t="n">
        <v>45707</v>
      </c>
      <c r="C3991" s="1" t="n">
        <v>46132</v>
      </c>
      <c r="D3991" t="inlineStr">
        <is>
          <t>ÖREBRO LÄN</t>
        </is>
      </c>
      <c r="E3991" t="inlineStr">
        <is>
          <t>ASKERSUND</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34434-2023</t>
        </is>
      </c>
      <c r="B3992" s="1" t="n">
        <v>45139.63480324074</v>
      </c>
      <c r="C3992" s="1" t="n">
        <v>46132</v>
      </c>
      <c r="D3992" t="inlineStr">
        <is>
          <t>ÖREBRO LÄN</t>
        </is>
      </c>
      <c r="E3992" t="inlineStr">
        <is>
          <t>LINDESBERG</t>
        </is>
      </c>
      <c r="F3992" t="inlineStr">
        <is>
          <t>Kyrkan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17721-2026</t>
        </is>
      </c>
      <c r="B3993" s="1" t="n">
        <v>46121.75065972222</v>
      </c>
      <c r="C3993" s="1" t="n">
        <v>46132</v>
      </c>
      <c r="D3993" t="inlineStr">
        <is>
          <t>ÖREBRO LÄN</t>
        </is>
      </c>
      <c r="E3993" t="inlineStr">
        <is>
          <t>HÄLLEFORS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49215-2022</t>
        </is>
      </c>
      <c r="B3994" s="1" t="n">
        <v>44861</v>
      </c>
      <c r="C3994" s="1" t="n">
        <v>46132</v>
      </c>
      <c r="D3994" t="inlineStr">
        <is>
          <t>ÖREBRO LÄN</t>
        </is>
      </c>
      <c r="E3994" t="inlineStr">
        <is>
          <t>HÄLLEFORS</t>
        </is>
      </c>
      <c r="F3994" t="inlineStr">
        <is>
          <t>Bergvik skog väst AB</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17719-2026</t>
        </is>
      </c>
      <c r="B3995" s="1" t="n">
        <v>46121.74409722222</v>
      </c>
      <c r="C3995" s="1" t="n">
        <v>46132</v>
      </c>
      <c r="D3995" t="inlineStr">
        <is>
          <t>ÖREBRO LÄN</t>
        </is>
      </c>
      <c r="E3995" t="inlineStr">
        <is>
          <t>HÄLLEFORS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32154-2023</t>
        </is>
      </c>
      <c r="B3996" s="1" t="n">
        <v>45119</v>
      </c>
      <c r="C3996" s="1" t="n">
        <v>46132</v>
      </c>
      <c r="D3996" t="inlineStr">
        <is>
          <t>ÖREBRO LÄN</t>
        </is>
      </c>
      <c r="E3996" t="inlineStr">
        <is>
          <t>DEGERFORS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1014-2024</t>
        </is>
      </c>
      <c r="B3997" s="1" t="n">
        <v>45301</v>
      </c>
      <c r="C3997" s="1" t="n">
        <v>46132</v>
      </c>
      <c r="D3997" t="inlineStr">
        <is>
          <t>ÖREBRO LÄN</t>
        </is>
      </c>
      <c r="E3997" t="inlineStr">
        <is>
          <t>ÖREBRO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17670-2026</t>
        </is>
      </c>
      <c r="B3998" s="1" t="n">
        <v>46120</v>
      </c>
      <c r="C3998" s="1" t="n">
        <v>46132</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39257-2023</t>
        </is>
      </c>
      <c r="B3999" s="1" t="n">
        <v>45166.48097222222</v>
      </c>
      <c r="C3999" s="1" t="n">
        <v>46132</v>
      </c>
      <c r="D3999" t="inlineStr">
        <is>
          <t>ÖREBRO LÄN</t>
        </is>
      </c>
      <c r="E3999" t="inlineStr">
        <is>
          <t>NORA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43661-2023</t>
        </is>
      </c>
      <c r="B4000" s="1" t="n">
        <v>45187.35303240741</v>
      </c>
      <c r="C4000" s="1" t="n">
        <v>46132</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10816-2026</t>
        </is>
      </c>
      <c r="B4001" s="1" t="n">
        <v>46078.61224537037</v>
      </c>
      <c r="C4001" s="1" t="n">
        <v>46132</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34437-2022</t>
        </is>
      </c>
      <c r="B4002" s="1" t="n">
        <v>44792</v>
      </c>
      <c r="C4002" s="1" t="n">
        <v>46132</v>
      </c>
      <c r="D4002" t="inlineStr">
        <is>
          <t>ÖREBRO LÄN</t>
        </is>
      </c>
      <c r="E4002" t="inlineStr">
        <is>
          <t>LAXÅ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14462-2025</t>
        </is>
      </c>
      <c r="B4003" s="1" t="n">
        <v>45741.56908564815</v>
      </c>
      <c r="C4003" s="1" t="n">
        <v>46132</v>
      </c>
      <c r="D4003" t="inlineStr">
        <is>
          <t>ÖREBRO LÄN</t>
        </is>
      </c>
      <c r="E4003" t="inlineStr">
        <is>
          <t>LAXÅ</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17663-2026</t>
        </is>
      </c>
      <c r="B4004" s="1" t="n">
        <v>46121.57420138889</v>
      </c>
      <c r="C4004" s="1" t="n">
        <v>46132</v>
      </c>
      <c r="D4004" t="inlineStr">
        <is>
          <t>ÖREBRO LÄN</t>
        </is>
      </c>
      <c r="E4004" t="inlineStr">
        <is>
          <t>LINDESBERG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10970-2026</t>
        </is>
      </c>
      <c r="B4005" s="1" t="n">
        <v>46079.44788194444</v>
      </c>
      <c r="C4005" s="1" t="n">
        <v>46132</v>
      </c>
      <c r="D4005" t="inlineStr">
        <is>
          <t>ÖREBRO LÄN</t>
        </is>
      </c>
      <c r="E4005" t="inlineStr">
        <is>
          <t>ÖREBRO</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10972-2026</t>
        </is>
      </c>
      <c r="B4006" s="1" t="n">
        <v>46079.45015046297</v>
      </c>
      <c r="C4006" s="1" t="n">
        <v>46132</v>
      </c>
      <c r="D4006" t="inlineStr">
        <is>
          <t>ÖREBRO LÄN</t>
        </is>
      </c>
      <c r="E4006" t="inlineStr">
        <is>
          <t>ÖREBRO</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1813-2024</t>
        </is>
      </c>
      <c r="B4007" s="1" t="n">
        <v>45307.60575231481</v>
      </c>
      <c r="C4007" s="1" t="n">
        <v>46132</v>
      </c>
      <c r="D4007" t="inlineStr">
        <is>
          <t>ÖREBRO LÄN</t>
        </is>
      </c>
      <c r="E4007" t="inlineStr">
        <is>
          <t>ASKERSUND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40897-2023</t>
        </is>
      </c>
      <c r="B4008" s="1" t="n">
        <v>45173</v>
      </c>
      <c r="C4008" s="1" t="n">
        <v>46132</v>
      </c>
      <c r="D4008" t="inlineStr">
        <is>
          <t>ÖREBRO LÄN</t>
        </is>
      </c>
      <c r="E4008" t="inlineStr">
        <is>
          <t>KUMLA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63188-2025</t>
        </is>
      </c>
      <c r="B4009" s="1" t="n">
        <v>46010.44494212963</v>
      </c>
      <c r="C4009" s="1" t="n">
        <v>46132</v>
      </c>
      <c r="D4009" t="inlineStr">
        <is>
          <t>ÖREBRO LÄN</t>
        </is>
      </c>
      <c r="E4009" t="inlineStr">
        <is>
          <t>KARLSKOGA</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54843-2023</t>
        </is>
      </c>
      <c r="B4010" s="1" t="n">
        <v>45236.58434027778</v>
      </c>
      <c r="C4010" s="1" t="n">
        <v>46132</v>
      </c>
      <c r="D4010" t="inlineStr">
        <is>
          <t>ÖREBRO LÄN</t>
        </is>
      </c>
      <c r="E4010" t="inlineStr">
        <is>
          <t>HÄLLEFORS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54640-2023</t>
        </is>
      </c>
      <c r="B4011" s="1" t="n">
        <v>45234</v>
      </c>
      <c r="C4011" s="1" t="n">
        <v>46132</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54432-2023</t>
        </is>
      </c>
      <c r="B4012" s="1" t="n">
        <v>45233.42121527778</v>
      </c>
      <c r="C4012" s="1" t="n">
        <v>46132</v>
      </c>
      <c r="D4012" t="inlineStr">
        <is>
          <t>ÖREBRO LÄN</t>
        </is>
      </c>
      <c r="E4012" t="inlineStr">
        <is>
          <t>LINDESBERG</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15061-2026</t>
        </is>
      </c>
      <c r="B4013" s="1" t="n">
        <v>46104</v>
      </c>
      <c r="C4013" s="1" t="n">
        <v>46132</v>
      </c>
      <c r="D4013" t="inlineStr">
        <is>
          <t>ÖREBRO LÄN</t>
        </is>
      </c>
      <c r="E4013" t="inlineStr">
        <is>
          <t>KARLSKOGA</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24760-2024</t>
        </is>
      </c>
      <c r="B4014" s="1" t="n">
        <v>45460.68122685186</v>
      </c>
      <c r="C4014" s="1" t="n">
        <v>46132</v>
      </c>
      <c r="D4014" t="inlineStr">
        <is>
          <t>ÖREBRO LÄN</t>
        </is>
      </c>
      <c r="E4014" t="inlineStr">
        <is>
          <t>HALLSBERG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15933-2025</t>
        </is>
      </c>
      <c r="B4015" s="1" t="n">
        <v>45749.47251157407</v>
      </c>
      <c r="C4015" s="1" t="n">
        <v>46132</v>
      </c>
      <c r="D4015" t="inlineStr">
        <is>
          <t>ÖREBRO LÄN</t>
        </is>
      </c>
      <c r="E4015" t="inlineStr">
        <is>
          <t>LINDESBERG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15936-2025</t>
        </is>
      </c>
      <c r="B4016" s="1" t="n">
        <v>45749.4737962963</v>
      </c>
      <c r="C4016" s="1" t="n">
        <v>46132</v>
      </c>
      <c r="D4016" t="inlineStr">
        <is>
          <t>ÖREBRO LÄN</t>
        </is>
      </c>
      <c r="E4016" t="inlineStr">
        <is>
          <t>LINDESBERG</t>
        </is>
      </c>
      <c r="G4016" t="n">
        <v>22.3</v>
      </c>
      <c r="H4016" t="n">
        <v>0</v>
      </c>
      <c r="I4016" t="n">
        <v>0</v>
      </c>
      <c r="J4016" t="n">
        <v>0</v>
      </c>
      <c r="K4016" t="n">
        <v>0</v>
      </c>
      <c r="L4016" t="n">
        <v>0</v>
      </c>
      <c r="M4016" t="n">
        <v>0</v>
      </c>
      <c r="N4016" t="n">
        <v>0</v>
      </c>
      <c r="O4016" t="n">
        <v>0</v>
      </c>
      <c r="P4016" t="n">
        <v>0</v>
      </c>
      <c r="Q4016" t="n">
        <v>0</v>
      </c>
      <c r="R4016" s="2" t="inlineStr"/>
    </row>
    <row r="4017" ht="15" customHeight="1">
      <c r="A4017" t="inlineStr">
        <is>
          <t>A 17503-2026</t>
        </is>
      </c>
      <c r="B4017" s="1" t="n">
        <v>46120.61810185185</v>
      </c>
      <c r="C4017" s="1" t="n">
        <v>46132</v>
      </c>
      <c r="D4017" t="inlineStr">
        <is>
          <t>ÖREBRO LÄN</t>
        </is>
      </c>
      <c r="E4017" t="inlineStr">
        <is>
          <t>ASKERSUND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24818-2024</t>
        </is>
      </c>
      <c r="B4018" s="1" t="n">
        <v>45461.33123842593</v>
      </c>
      <c r="C4018" s="1" t="n">
        <v>46132</v>
      </c>
      <c r="D4018" t="inlineStr">
        <is>
          <t>ÖREBRO LÄN</t>
        </is>
      </c>
      <c r="E4018" t="inlineStr">
        <is>
          <t>NORA</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11864-2025</t>
        </is>
      </c>
      <c r="B4019" s="1" t="n">
        <v>45728.41668981482</v>
      </c>
      <c r="C4019" s="1" t="n">
        <v>46132</v>
      </c>
      <c r="D4019" t="inlineStr">
        <is>
          <t>ÖREBRO LÄN</t>
        </is>
      </c>
      <c r="E4019" t="inlineStr">
        <is>
          <t>NORA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1490-2024</t>
        </is>
      </c>
      <c r="B4020" s="1" t="n">
        <v>45305</v>
      </c>
      <c r="C4020" s="1" t="n">
        <v>46132</v>
      </c>
      <c r="D4020" t="inlineStr">
        <is>
          <t>ÖREBRO LÄN</t>
        </is>
      </c>
      <c r="E4020" t="inlineStr">
        <is>
          <t>LINDESBERG</t>
        </is>
      </c>
      <c r="G4020" t="n">
        <v>17.6</v>
      </c>
      <c r="H4020" t="n">
        <v>0</v>
      </c>
      <c r="I4020" t="n">
        <v>0</v>
      </c>
      <c r="J4020" t="n">
        <v>0</v>
      </c>
      <c r="K4020" t="n">
        <v>0</v>
      </c>
      <c r="L4020" t="n">
        <v>0</v>
      </c>
      <c r="M4020" t="n">
        <v>0</v>
      </c>
      <c r="N4020" t="n">
        <v>0</v>
      </c>
      <c r="O4020" t="n">
        <v>0</v>
      </c>
      <c r="P4020" t="n">
        <v>0</v>
      </c>
      <c r="Q4020" t="n">
        <v>0</v>
      </c>
      <c r="R4020" s="2" t="inlineStr"/>
    </row>
    <row r="4021" ht="15" customHeight="1">
      <c r="A4021" t="inlineStr">
        <is>
          <t>A 55787-2023</t>
        </is>
      </c>
      <c r="B4021" s="1" t="n">
        <v>45239.51128472222</v>
      </c>
      <c r="C4021" s="1" t="n">
        <v>46132</v>
      </c>
      <c r="D4021" t="inlineStr">
        <is>
          <t>ÖREBRO LÄN</t>
        </is>
      </c>
      <c r="E4021" t="inlineStr">
        <is>
          <t>LJUSNARSBERG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65068-2023</t>
        </is>
      </c>
      <c r="B4022" s="1" t="n">
        <v>45285</v>
      </c>
      <c r="C4022" s="1" t="n">
        <v>46132</v>
      </c>
      <c r="D4022" t="inlineStr">
        <is>
          <t>ÖREBRO LÄN</t>
        </is>
      </c>
      <c r="E4022" t="inlineStr">
        <is>
          <t>ASKERSUND</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15058-2026</t>
        </is>
      </c>
      <c r="B4023" s="1" t="n">
        <v>46104</v>
      </c>
      <c r="C4023" s="1" t="n">
        <v>46132</v>
      </c>
      <c r="D4023" t="inlineStr">
        <is>
          <t>ÖREBRO LÄN</t>
        </is>
      </c>
      <c r="E4023" t="inlineStr">
        <is>
          <t>KARLSKOGA</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33861-2022</t>
        </is>
      </c>
      <c r="B4024" s="1" t="n">
        <v>44790</v>
      </c>
      <c r="C4024" s="1" t="n">
        <v>46132</v>
      </c>
      <c r="D4024" t="inlineStr">
        <is>
          <t>ÖREBRO LÄN</t>
        </is>
      </c>
      <c r="E4024" t="inlineStr">
        <is>
          <t>LJUSNARSBERG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767-2024</t>
        </is>
      </c>
      <c r="B4025" s="1" t="n">
        <v>45300.51892361111</v>
      </c>
      <c r="C4025" s="1" t="n">
        <v>46132</v>
      </c>
      <c r="D4025" t="inlineStr">
        <is>
          <t>ÖREBRO LÄN</t>
        </is>
      </c>
      <c r="E4025" t="inlineStr">
        <is>
          <t>ÖREBRO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22867-2022</t>
        </is>
      </c>
      <c r="B4026" s="1" t="n">
        <v>44715.49313657408</v>
      </c>
      <c r="C4026" s="1" t="n">
        <v>46132</v>
      </c>
      <c r="D4026" t="inlineStr">
        <is>
          <t>ÖREBRO LÄN</t>
        </is>
      </c>
      <c r="E4026" t="inlineStr">
        <is>
          <t>KARLSKOGA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15060-2026</t>
        </is>
      </c>
      <c r="B4027" s="1" t="n">
        <v>46104</v>
      </c>
      <c r="C4027" s="1" t="n">
        <v>46132</v>
      </c>
      <c r="D4027" t="inlineStr">
        <is>
          <t>ÖREBRO LÄN</t>
        </is>
      </c>
      <c r="E4027" t="inlineStr">
        <is>
          <t>KARLSKOGA</t>
        </is>
      </c>
      <c r="G4027" t="n">
        <v>11.5</v>
      </c>
      <c r="H4027" t="n">
        <v>0</v>
      </c>
      <c r="I4027" t="n">
        <v>0</v>
      </c>
      <c r="J4027" t="n">
        <v>0</v>
      </c>
      <c r="K4027" t="n">
        <v>0</v>
      </c>
      <c r="L4027" t="n">
        <v>0</v>
      </c>
      <c r="M4027" t="n">
        <v>0</v>
      </c>
      <c r="N4027" t="n">
        <v>0</v>
      </c>
      <c r="O4027" t="n">
        <v>0</v>
      </c>
      <c r="P4027" t="n">
        <v>0</v>
      </c>
      <c r="Q4027" t="n">
        <v>0</v>
      </c>
      <c r="R4027" s="2" t="inlineStr"/>
    </row>
    <row r="4028" ht="15" customHeight="1">
      <c r="A4028" t="inlineStr">
        <is>
          <t>A 15062-2026</t>
        </is>
      </c>
      <c r="B4028" s="1" t="n">
        <v>46104</v>
      </c>
      <c r="C4028" s="1" t="n">
        <v>46132</v>
      </c>
      <c r="D4028" t="inlineStr">
        <is>
          <t>ÖREBRO LÄN</t>
        </is>
      </c>
      <c r="E4028" t="inlineStr">
        <is>
          <t>KARLSKOGA</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11229-2026</t>
        </is>
      </c>
      <c r="B4029" s="1" t="n">
        <v>46080</v>
      </c>
      <c r="C4029" s="1" t="n">
        <v>46132</v>
      </c>
      <c r="D4029" t="inlineStr">
        <is>
          <t>ÖREBRO LÄN</t>
        </is>
      </c>
      <c r="E4029" t="inlineStr">
        <is>
          <t>ASKERSUND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17734-2026</t>
        </is>
      </c>
      <c r="B4030" s="1" t="n">
        <v>46122.25068287037</v>
      </c>
      <c r="C4030" s="1" t="n">
        <v>46132</v>
      </c>
      <c r="D4030" t="inlineStr">
        <is>
          <t>ÖREBRO LÄN</t>
        </is>
      </c>
      <c r="E4030" t="inlineStr">
        <is>
          <t>KARLSKOGA</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11094-2025</t>
        </is>
      </c>
      <c r="B4031" s="1" t="n">
        <v>45723.58001157407</v>
      </c>
      <c r="C4031" s="1" t="n">
        <v>46132</v>
      </c>
      <c r="D4031" t="inlineStr">
        <is>
          <t>ÖREBRO LÄN</t>
        </is>
      </c>
      <c r="E4031" t="inlineStr">
        <is>
          <t>ASKERSUND</t>
        </is>
      </c>
      <c r="F4031" t="inlineStr">
        <is>
          <t>Sveaskog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17744-2026</t>
        </is>
      </c>
      <c r="B4032" s="1" t="n">
        <v>46122.31243055555</v>
      </c>
      <c r="C4032" s="1" t="n">
        <v>46132</v>
      </c>
      <c r="D4032" t="inlineStr">
        <is>
          <t>ÖREBRO LÄN</t>
        </is>
      </c>
      <c r="E4032" t="inlineStr">
        <is>
          <t>ÖREBRO</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37066-2023</t>
        </is>
      </c>
      <c r="B4033" s="1" t="n">
        <v>45155</v>
      </c>
      <c r="C4033" s="1" t="n">
        <v>46132</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25972-2022</t>
        </is>
      </c>
      <c r="B4034" s="1" t="n">
        <v>44734</v>
      </c>
      <c r="C4034" s="1" t="n">
        <v>46132</v>
      </c>
      <c r="D4034" t="inlineStr">
        <is>
          <t>ÖREBRO LÄN</t>
        </is>
      </c>
      <c r="E4034" t="inlineStr">
        <is>
          <t>ASKERSUND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44511-2023</t>
        </is>
      </c>
      <c r="B4035" s="1" t="n">
        <v>45189</v>
      </c>
      <c r="C4035" s="1" t="n">
        <v>46132</v>
      </c>
      <c r="D4035" t="inlineStr">
        <is>
          <t>ÖREBRO LÄN</t>
        </is>
      </c>
      <c r="E4035" t="inlineStr">
        <is>
          <t>ÖREBRO</t>
        </is>
      </c>
      <c r="F4035" t="inlineStr">
        <is>
          <t>Allmännings- och besparingsskogar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53168-2023</t>
        </is>
      </c>
      <c r="B4036" s="1" t="n">
        <v>45229</v>
      </c>
      <c r="C4036" s="1" t="n">
        <v>46132</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53234-2023</t>
        </is>
      </c>
      <c r="B4037" s="1" t="n">
        <v>45229</v>
      </c>
      <c r="C4037" s="1" t="n">
        <v>46132</v>
      </c>
      <c r="D4037" t="inlineStr">
        <is>
          <t>ÖREBRO LÄN</t>
        </is>
      </c>
      <c r="E4037" t="inlineStr">
        <is>
          <t>ÖREBRO</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8512-2025</t>
        </is>
      </c>
      <c r="B4038" s="1" t="n">
        <v>45709.54873842592</v>
      </c>
      <c r="C4038" s="1" t="n">
        <v>46132</v>
      </c>
      <c r="D4038" t="inlineStr">
        <is>
          <t>ÖREBRO LÄN</t>
        </is>
      </c>
      <c r="E4038" t="inlineStr">
        <is>
          <t>ÖREBRO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29993-2023</t>
        </is>
      </c>
      <c r="B4039" s="1" t="n">
        <v>45109.58806712963</v>
      </c>
      <c r="C4039" s="1" t="n">
        <v>46132</v>
      </c>
      <c r="D4039" t="inlineStr">
        <is>
          <t>ÖREBRO LÄN</t>
        </is>
      </c>
      <c r="E4039" t="inlineStr">
        <is>
          <t>ASKERSUND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17242-2025</t>
        </is>
      </c>
      <c r="B4040" s="1" t="n">
        <v>45756.49009259259</v>
      </c>
      <c r="C4040" s="1" t="n">
        <v>46132</v>
      </c>
      <c r="D4040" t="inlineStr">
        <is>
          <t>ÖREBRO LÄN</t>
        </is>
      </c>
      <c r="E4040" t="inlineStr">
        <is>
          <t>LINDESBERG</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15130-2025</t>
        </is>
      </c>
      <c r="B4041" s="1" t="n">
        <v>45744.38372685185</v>
      </c>
      <c r="C4041" s="1" t="n">
        <v>46132</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64026-2025</t>
        </is>
      </c>
      <c r="B4042" s="1" t="n">
        <v>46021.47569444445</v>
      </c>
      <c r="C4042" s="1" t="n">
        <v>46132</v>
      </c>
      <c r="D4042" t="inlineStr">
        <is>
          <t>ÖREBRO LÄN</t>
        </is>
      </c>
      <c r="E4042" t="inlineStr">
        <is>
          <t>NORA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46132</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18048-2026</t>
        </is>
      </c>
      <c r="B4044" s="1" t="n">
        <v>46125.42628472222</v>
      </c>
      <c r="C4044" s="1" t="n">
        <v>46132</v>
      </c>
      <c r="D4044" t="inlineStr">
        <is>
          <t>ÖREBRO LÄN</t>
        </is>
      </c>
      <c r="E4044" t="inlineStr">
        <is>
          <t>HÄLLEFORS</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9814-2025</t>
        </is>
      </c>
      <c r="B4045" s="1" t="n">
        <v>45715</v>
      </c>
      <c r="C4045" s="1" t="n">
        <v>46132</v>
      </c>
      <c r="D4045" t="inlineStr">
        <is>
          <t>ÖREBRO LÄN</t>
        </is>
      </c>
      <c r="E4045" t="inlineStr">
        <is>
          <t>HALLSBERG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28054-2022</t>
        </is>
      </c>
      <c r="B4046" s="1" t="n">
        <v>44746.41938657407</v>
      </c>
      <c r="C4046" s="1" t="n">
        <v>46132</v>
      </c>
      <c r="D4046" t="inlineStr">
        <is>
          <t>ÖREBRO LÄN</t>
        </is>
      </c>
      <c r="E4046" t="inlineStr">
        <is>
          <t>ÖREBRO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17910-2026</t>
        </is>
      </c>
      <c r="B4047" s="1" t="n">
        <v>46122.59701388889</v>
      </c>
      <c r="C4047" s="1" t="n">
        <v>46132</v>
      </c>
      <c r="D4047" t="inlineStr">
        <is>
          <t>ÖREBRO LÄN</t>
        </is>
      </c>
      <c r="E4047" t="inlineStr">
        <is>
          <t>KARLSKOGA</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1647-2024</t>
        </is>
      </c>
      <c r="B4048" s="1" t="n">
        <v>45306</v>
      </c>
      <c r="C4048" s="1" t="n">
        <v>46132</v>
      </c>
      <c r="D4048" t="inlineStr">
        <is>
          <t>ÖREBRO LÄN</t>
        </is>
      </c>
      <c r="E4048" t="inlineStr">
        <is>
          <t>ÖREBRO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57485-2023</t>
        </is>
      </c>
      <c r="B4049" s="1" t="n">
        <v>45246</v>
      </c>
      <c r="C4049" s="1" t="n">
        <v>46132</v>
      </c>
      <c r="D4049" t="inlineStr">
        <is>
          <t>ÖREBRO LÄN</t>
        </is>
      </c>
      <c r="E4049" t="inlineStr">
        <is>
          <t>ÖREBRO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2653-2024</t>
        </is>
      </c>
      <c r="B4050" s="1" t="n">
        <v>45314</v>
      </c>
      <c r="C4050" s="1" t="n">
        <v>46132</v>
      </c>
      <c r="D4050" t="inlineStr">
        <is>
          <t>ÖREBRO LÄN</t>
        </is>
      </c>
      <c r="E4050" t="inlineStr">
        <is>
          <t>KUMLA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11888-2025</t>
        </is>
      </c>
      <c r="B4051" s="1" t="n">
        <v>45728.45688657407</v>
      </c>
      <c r="C4051" s="1" t="n">
        <v>46132</v>
      </c>
      <c r="D4051" t="inlineStr">
        <is>
          <t>ÖREBRO LÄN</t>
        </is>
      </c>
      <c r="E4051" t="inlineStr">
        <is>
          <t>NORA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11984-2025</t>
        </is>
      </c>
      <c r="B4052" s="1" t="n">
        <v>45728.59774305556</v>
      </c>
      <c r="C4052" s="1" t="n">
        <v>46132</v>
      </c>
      <c r="D4052" t="inlineStr">
        <is>
          <t>ÖREBRO LÄN</t>
        </is>
      </c>
      <c r="E4052" t="inlineStr">
        <is>
          <t>HALLSBERG</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29662-2022</t>
        </is>
      </c>
      <c r="B4053" s="1" t="n">
        <v>44754</v>
      </c>
      <c r="C4053" s="1" t="n">
        <v>46132</v>
      </c>
      <c r="D4053" t="inlineStr">
        <is>
          <t>ÖREBRO LÄN</t>
        </is>
      </c>
      <c r="E4053" t="inlineStr">
        <is>
          <t>HÄLLEFORS</t>
        </is>
      </c>
      <c r="F4053" t="inlineStr">
        <is>
          <t>Bergvik skog väst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18978-2025</t>
        </is>
      </c>
      <c r="B4054" s="1" t="n">
        <v>45764.54626157408</v>
      </c>
      <c r="C4054" s="1" t="n">
        <v>46132</v>
      </c>
      <c r="D4054" t="inlineStr">
        <is>
          <t>ÖREBRO LÄN</t>
        </is>
      </c>
      <c r="E4054" t="inlineStr">
        <is>
          <t>KARLSKOGA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58032-2023</t>
        </is>
      </c>
      <c r="B4055" s="1" t="n">
        <v>45247</v>
      </c>
      <c r="C4055" s="1" t="n">
        <v>46132</v>
      </c>
      <c r="D4055" t="inlineStr">
        <is>
          <t>ÖREBRO LÄN</t>
        </is>
      </c>
      <c r="E4055" t="inlineStr">
        <is>
          <t>ÖREBRO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58035-2023</t>
        </is>
      </c>
      <c r="B4056" s="1" t="n">
        <v>45247</v>
      </c>
      <c r="C4056" s="1" t="n">
        <v>46132</v>
      </c>
      <c r="D4056" t="inlineStr">
        <is>
          <t>ÖREBRO LÄN</t>
        </is>
      </c>
      <c r="E4056" t="inlineStr">
        <is>
          <t>ÖREBRO</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26260-2024</t>
        </is>
      </c>
      <c r="B4057" s="1" t="n">
        <v>45468.65731481482</v>
      </c>
      <c r="C4057" s="1" t="n">
        <v>46132</v>
      </c>
      <c r="D4057" t="inlineStr">
        <is>
          <t>ÖREBRO LÄN</t>
        </is>
      </c>
      <c r="E4057" t="inlineStr">
        <is>
          <t>LJUSNARSBERG</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18979-2025</t>
        </is>
      </c>
      <c r="B4058" s="1" t="n">
        <v>45764.55017361111</v>
      </c>
      <c r="C4058" s="1" t="n">
        <v>46132</v>
      </c>
      <c r="D4058" t="inlineStr">
        <is>
          <t>ÖREBRO LÄN</t>
        </is>
      </c>
      <c r="E4058" t="inlineStr">
        <is>
          <t>HÄLLEFORS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20800-2024</t>
        </is>
      </c>
      <c r="B4059" s="1" t="n">
        <v>45438</v>
      </c>
      <c r="C4059" s="1" t="n">
        <v>46132</v>
      </c>
      <c r="D4059" t="inlineStr">
        <is>
          <t>ÖREBRO LÄN</t>
        </is>
      </c>
      <c r="E4059" t="inlineStr">
        <is>
          <t>LEKEBERG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35130-2022</t>
        </is>
      </c>
      <c r="B4060" s="1" t="n">
        <v>44797</v>
      </c>
      <c r="C4060" s="1" t="n">
        <v>46132</v>
      </c>
      <c r="D4060" t="inlineStr">
        <is>
          <t>ÖREBRO LÄN</t>
        </is>
      </c>
      <c r="E4060" t="inlineStr">
        <is>
          <t>LAXÅ</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11289-2025</t>
        </is>
      </c>
      <c r="B4061" s="1" t="n">
        <v>45726.42762731481</v>
      </c>
      <c r="C4061" s="1" t="n">
        <v>46132</v>
      </c>
      <c r="D4061" t="inlineStr">
        <is>
          <t>ÖREBRO LÄN</t>
        </is>
      </c>
      <c r="E4061" t="inlineStr">
        <is>
          <t>LEKEBERG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62217-2023</t>
        </is>
      </c>
      <c r="B4062" s="1" t="n">
        <v>45267.51355324074</v>
      </c>
      <c r="C4062" s="1" t="n">
        <v>46132</v>
      </c>
      <c r="D4062" t="inlineStr">
        <is>
          <t>ÖREBRO LÄN</t>
        </is>
      </c>
      <c r="E4062" t="inlineStr">
        <is>
          <t>NORA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18208-2026</t>
        </is>
      </c>
      <c r="B4063" s="1" t="n">
        <v>46125.84974537037</v>
      </c>
      <c r="C4063" s="1" t="n">
        <v>46132</v>
      </c>
      <c r="D4063" t="inlineStr">
        <is>
          <t>ÖREBRO LÄN</t>
        </is>
      </c>
      <c r="E4063" t="inlineStr">
        <is>
          <t>ASKERSUND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4603-2024</t>
        </is>
      </c>
      <c r="B4064" s="1" t="n">
        <v>45328</v>
      </c>
      <c r="C4064" s="1" t="n">
        <v>46132</v>
      </c>
      <c r="D4064" t="inlineStr">
        <is>
          <t>ÖREBRO LÄN</t>
        </is>
      </c>
      <c r="E4064" t="inlineStr">
        <is>
          <t>LINDESBERG</t>
        </is>
      </c>
      <c r="F4064" t="inlineStr">
        <is>
          <t>BillerudKorsnäs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18050-2026</t>
        </is>
      </c>
      <c r="B4065" s="1" t="n">
        <v>46125.42768518518</v>
      </c>
      <c r="C4065" s="1" t="n">
        <v>46132</v>
      </c>
      <c r="D4065" t="inlineStr">
        <is>
          <t>ÖREBRO LÄN</t>
        </is>
      </c>
      <c r="E4065" t="inlineStr">
        <is>
          <t>HÄLLEFORS</t>
        </is>
      </c>
      <c r="F4065" t="inlineStr">
        <is>
          <t>Sveaskog</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18061-2026</t>
        </is>
      </c>
      <c r="B4066" s="1" t="n">
        <v>46125.46030092592</v>
      </c>
      <c r="C4066" s="1" t="n">
        <v>46132</v>
      </c>
      <c r="D4066" t="inlineStr">
        <is>
          <t>ÖREBRO LÄN</t>
        </is>
      </c>
      <c r="E4066" t="inlineStr">
        <is>
          <t>LINDESBERG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20565-2025</t>
        </is>
      </c>
      <c r="B4067" s="1" t="n">
        <v>45775.66307870371</v>
      </c>
      <c r="C4067" s="1" t="n">
        <v>46132</v>
      </c>
      <c r="D4067" t="inlineStr">
        <is>
          <t>ÖREBRO LÄN</t>
        </is>
      </c>
      <c r="E4067" t="inlineStr">
        <is>
          <t>NORA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18047-2026</t>
        </is>
      </c>
      <c r="B4068" s="1" t="n">
        <v>46125.42555555556</v>
      </c>
      <c r="C4068" s="1" t="n">
        <v>46132</v>
      </c>
      <c r="D4068" t="inlineStr">
        <is>
          <t>ÖREBRO LÄN</t>
        </is>
      </c>
      <c r="E4068" t="inlineStr">
        <is>
          <t>HÄLLEFORS</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4801-2024</t>
        </is>
      </c>
      <c r="B4069" s="1" t="n">
        <v>45328.89141203704</v>
      </c>
      <c r="C4069" s="1" t="n">
        <v>46132</v>
      </c>
      <c r="D4069" t="inlineStr">
        <is>
          <t>ÖREBRO LÄN</t>
        </is>
      </c>
      <c r="E4069" t="inlineStr">
        <is>
          <t>KARLSKOGA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4802-2024</t>
        </is>
      </c>
      <c r="B4070" s="1" t="n">
        <v>45328.8962962963</v>
      </c>
      <c r="C4070" s="1" t="n">
        <v>46132</v>
      </c>
      <c r="D4070" t="inlineStr">
        <is>
          <t>ÖREBRO LÄN</t>
        </is>
      </c>
      <c r="E4070" t="inlineStr">
        <is>
          <t>KARLSKOGA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11286-2026</t>
        </is>
      </c>
      <c r="B4071" s="1" t="n">
        <v>46080</v>
      </c>
      <c r="C4071" s="1" t="n">
        <v>46132</v>
      </c>
      <c r="D4071" t="inlineStr">
        <is>
          <t>ÖREBRO LÄN</t>
        </is>
      </c>
      <c r="E4071" t="inlineStr">
        <is>
          <t>ÖREBRO</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19807-2025</t>
        </is>
      </c>
      <c r="B4072" s="1" t="n">
        <v>45771.45430555556</v>
      </c>
      <c r="C4072" s="1" t="n">
        <v>46132</v>
      </c>
      <c r="D4072" t="inlineStr">
        <is>
          <t>ÖREBRO LÄN</t>
        </is>
      </c>
      <c r="E4072" t="inlineStr">
        <is>
          <t>LAXÅ</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22814-2024</t>
        </is>
      </c>
      <c r="B4073" s="1" t="n">
        <v>45448</v>
      </c>
      <c r="C4073" s="1" t="n">
        <v>46132</v>
      </c>
      <c r="D4073" t="inlineStr">
        <is>
          <t>ÖREBRO LÄN</t>
        </is>
      </c>
      <c r="E4073" t="inlineStr">
        <is>
          <t>ASKERSUND</t>
        </is>
      </c>
      <c r="F4073" t="inlineStr">
        <is>
          <t>Övriga Aktiebolag</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53062-2023</t>
        </is>
      </c>
      <c r="B4074" s="1" t="n">
        <v>45227.31859953704</v>
      </c>
      <c r="C4074" s="1" t="n">
        <v>46132</v>
      </c>
      <c r="D4074" t="inlineStr">
        <is>
          <t>ÖREBRO LÄN</t>
        </is>
      </c>
      <c r="E4074" t="inlineStr">
        <is>
          <t>LINDESBERG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35829-2024</t>
        </is>
      </c>
      <c r="B4075" s="1" t="n">
        <v>45532</v>
      </c>
      <c r="C4075" s="1" t="n">
        <v>46132</v>
      </c>
      <c r="D4075" t="inlineStr">
        <is>
          <t>ÖREBRO LÄN</t>
        </is>
      </c>
      <c r="E4075" t="inlineStr">
        <is>
          <t>ÖREBRO</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35833-2024</t>
        </is>
      </c>
      <c r="B4076" s="1" t="n">
        <v>45532.68699074074</v>
      </c>
      <c r="C4076" s="1" t="n">
        <v>46132</v>
      </c>
      <c r="D4076" t="inlineStr">
        <is>
          <t>ÖREBRO LÄN</t>
        </is>
      </c>
      <c r="E4076" t="inlineStr">
        <is>
          <t>ÖREBRO</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53129-2023</t>
        </is>
      </c>
      <c r="B4077" s="1" t="n">
        <v>45229</v>
      </c>
      <c r="C4077" s="1" t="n">
        <v>46132</v>
      </c>
      <c r="D4077" t="inlineStr">
        <is>
          <t>ÖREBRO LÄN</t>
        </is>
      </c>
      <c r="E4077" t="inlineStr">
        <is>
          <t>NORA</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8902-2024</t>
        </is>
      </c>
      <c r="B4078" s="1" t="n">
        <v>45357.34521990741</v>
      </c>
      <c r="C4078" s="1" t="n">
        <v>46132</v>
      </c>
      <c r="D4078" t="inlineStr">
        <is>
          <t>ÖREBRO LÄN</t>
        </is>
      </c>
      <c r="E4078" t="inlineStr">
        <is>
          <t>LINDESBERG</t>
        </is>
      </c>
      <c r="F4078" t="inlineStr">
        <is>
          <t>Kommuner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30961-2022</t>
        </is>
      </c>
      <c r="B4079" s="1" t="n">
        <v>44768</v>
      </c>
      <c r="C4079" s="1" t="n">
        <v>46132</v>
      </c>
      <c r="D4079" t="inlineStr">
        <is>
          <t>ÖREBRO LÄN</t>
        </is>
      </c>
      <c r="E4079" t="inlineStr">
        <is>
          <t>KARLSKOGA</t>
        </is>
      </c>
      <c r="F4079" t="inlineStr">
        <is>
          <t>Kommuner</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11178-2026</t>
        </is>
      </c>
      <c r="B4080" s="1" t="n">
        <v>46080.39054398148</v>
      </c>
      <c r="C4080" s="1" t="n">
        <v>46132</v>
      </c>
      <c r="D4080" t="inlineStr">
        <is>
          <t>ÖREBRO LÄN</t>
        </is>
      </c>
      <c r="E4080" t="inlineStr">
        <is>
          <t>HÄLLEFORS</t>
        </is>
      </c>
      <c r="F4080" t="inlineStr">
        <is>
          <t>Bergvik skog väst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18132-2025</t>
        </is>
      </c>
      <c r="B4081" s="1" t="n">
        <v>45761.60049768518</v>
      </c>
      <c r="C4081" s="1" t="n">
        <v>46132</v>
      </c>
      <c r="D4081" t="inlineStr">
        <is>
          <t>ÖREBRO LÄN</t>
        </is>
      </c>
      <c r="E4081" t="inlineStr">
        <is>
          <t>HALLSBERG</t>
        </is>
      </c>
      <c r="F4081" t="inlineStr">
        <is>
          <t>Sveaskog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55191-2023</t>
        </is>
      </c>
      <c r="B4082" s="1" t="n">
        <v>45237.58084490741</v>
      </c>
      <c r="C4082" s="1" t="n">
        <v>46132</v>
      </c>
      <c r="D4082" t="inlineStr">
        <is>
          <t>ÖREBRO LÄN</t>
        </is>
      </c>
      <c r="E4082" t="inlineStr">
        <is>
          <t>KARLSKOGA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50754-2023</t>
        </is>
      </c>
      <c r="B4083" s="1" t="n">
        <v>45217</v>
      </c>
      <c r="C4083" s="1" t="n">
        <v>46132</v>
      </c>
      <c r="D4083" t="inlineStr">
        <is>
          <t>ÖREBRO LÄN</t>
        </is>
      </c>
      <c r="E4083" t="inlineStr">
        <is>
          <t>HÄLLEFORS</t>
        </is>
      </c>
      <c r="F4083" t="inlineStr">
        <is>
          <t>Bergvik skog väst AB</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10076-2024</t>
        </is>
      </c>
      <c r="B4084" s="1" t="n">
        <v>45364.41105324074</v>
      </c>
      <c r="C4084" s="1" t="n">
        <v>46132</v>
      </c>
      <c r="D4084" t="inlineStr">
        <is>
          <t>ÖREBRO LÄN</t>
        </is>
      </c>
      <c r="E4084" t="inlineStr">
        <is>
          <t>ASKERSUND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36880-2022</t>
        </is>
      </c>
      <c r="B4085" s="1" t="n">
        <v>44805.65100694444</v>
      </c>
      <c r="C4085" s="1" t="n">
        <v>46132</v>
      </c>
      <c r="D4085" t="inlineStr">
        <is>
          <t>ÖREBRO LÄN</t>
        </is>
      </c>
      <c r="E4085" t="inlineStr">
        <is>
          <t>HALLSBERG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55208-2023</t>
        </is>
      </c>
      <c r="B4086" s="1" t="n">
        <v>45237.59355324074</v>
      </c>
      <c r="C4086" s="1" t="n">
        <v>46132</v>
      </c>
      <c r="D4086" t="inlineStr">
        <is>
          <t>ÖREBRO LÄN</t>
        </is>
      </c>
      <c r="E4086" t="inlineStr">
        <is>
          <t>KUMLA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46132</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14717-2024</t>
        </is>
      </c>
      <c r="B4088" s="1" t="n">
        <v>45397.55104166667</v>
      </c>
      <c r="C4088" s="1" t="n">
        <v>46132</v>
      </c>
      <c r="D4088" t="inlineStr">
        <is>
          <t>ÖREBRO LÄN</t>
        </is>
      </c>
      <c r="E4088" t="inlineStr">
        <is>
          <t>ÖREBRO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6300-2024</t>
        </is>
      </c>
      <c r="B4089" s="1" t="n">
        <v>45338.35049768518</v>
      </c>
      <c r="C4089" s="1" t="n">
        <v>46132</v>
      </c>
      <c r="D4089" t="inlineStr">
        <is>
          <t>ÖREBRO LÄN</t>
        </is>
      </c>
      <c r="E4089" t="inlineStr">
        <is>
          <t>LAXÅ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18469-2026</t>
        </is>
      </c>
      <c r="B4090" s="1" t="n">
        <v>46127.43012731482</v>
      </c>
      <c r="C4090" s="1" t="n">
        <v>46132</v>
      </c>
      <c r="D4090" t="inlineStr">
        <is>
          <t>ÖREBRO LÄN</t>
        </is>
      </c>
      <c r="E4090" t="inlineStr">
        <is>
          <t>DEGERFORS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19110-2025</t>
        </is>
      </c>
      <c r="B4091" s="1" t="n">
        <v>45768.49947916667</v>
      </c>
      <c r="C4091" s="1" t="n">
        <v>46132</v>
      </c>
      <c r="D4091" t="inlineStr">
        <is>
          <t>ÖREBRO LÄN</t>
        </is>
      </c>
      <c r="E4091" t="inlineStr">
        <is>
          <t>LINDESBERG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21245-2024</t>
        </is>
      </c>
      <c r="B4092" s="1" t="n">
        <v>45440</v>
      </c>
      <c r="C4092" s="1" t="n">
        <v>46132</v>
      </c>
      <c r="D4092" t="inlineStr">
        <is>
          <t>ÖREBRO LÄN</t>
        </is>
      </c>
      <c r="E4092" t="inlineStr">
        <is>
          <t>LINDESBERG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9273-2026</t>
        </is>
      </c>
      <c r="B4093" s="1" t="n">
        <v>46070</v>
      </c>
      <c r="C4093" s="1" t="n">
        <v>46132</v>
      </c>
      <c r="D4093" t="inlineStr">
        <is>
          <t>ÖREBRO LÄN</t>
        </is>
      </c>
      <c r="E4093" t="inlineStr">
        <is>
          <t>DEGERFORS</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29350-2022</t>
        </is>
      </c>
      <c r="B4094" s="1" t="n">
        <v>44753</v>
      </c>
      <c r="C4094" s="1" t="n">
        <v>46132</v>
      </c>
      <c r="D4094" t="inlineStr">
        <is>
          <t>ÖREBRO LÄN</t>
        </is>
      </c>
      <c r="E4094" t="inlineStr">
        <is>
          <t>LINDESBERG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8062-2024</t>
        </is>
      </c>
      <c r="B4095" s="1" t="n">
        <v>45351</v>
      </c>
      <c r="C4095" s="1" t="n">
        <v>46132</v>
      </c>
      <c r="D4095" t="inlineStr">
        <is>
          <t>ÖREBRO LÄN</t>
        </is>
      </c>
      <c r="E4095" t="inlineStr">
        <is>
          <t>DEGERFORS</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8074-2024</t>
        </is>
      </c>
      <c r="B4096" s="1" t="n">
        <v>45351.42106481481</v>
      </c>
      <c r="C4096" s="1" t="n">
        <v>46132</v>
      </c>
      <c r="D4096" t="inlineStr">
        <is>
          <t>ÖREBRO LÄN</t>
        </is>
      </c>
      <c r="E4096" t="inlineStr">
        <is>
          <t>DEGERFORS</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11683-2026</t>
        </is>
      </c>
      <c r="B4097" s="1" t="n">
        <v>46084</v>
      </c>
      <c r="C4097" s="1" t="n">
        <v>46132</v>
      </c>
      <c r="D4097" t="inlineStr">
        <is>
          <t>ÖREBRO LÄN</t>
        </is>
      </c>
      <c r="E4097" t="inlineStr">
        <is>
          <t>KUMLA</t>
        </is>
      </c>
      <c r="F4097" t="inlineStr">
        <is>
          <t>Kommuner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10672-2024</t>
        </is>
      </c>
      <c r="B4098" s="1" t="n">
        <v>45369.35207175926</v>
      </c>
      <c r="C4098" s="1" t="n">
        <v>46132</v>
      </c>
      <c r="D4098" t="inlineStr">
        <is>
          <t>ÖREBRO LÄN</t>
        </is>
      </c>
      <c r="E4098" t="inlineStr">
        <is>
          <t>DEGERFORS</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10836-2024</t>
        </is>
      </c>
      <c r="B4099" s="1" t="n">
        <v>45369</v>
      </c>
      <c r="C4099" s="1" t="n">
        <v>46132</v>
      </c>
      <c r="D4099" t="inlineStr">
        <is>
          <t>ÖREBRO LÄN</t>
        </is>
      </c>
      <c r="E4099" t="inlineStr">
        <is>
          <t>LINDESBERG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62592-2021</t>
        </is>
      </c>
      <c r="B4100" s="1" t="n">
        <v>44503</v>
      </c>
      <c r="C4100" s="1" t="n">
        <v>46132</v>
      </c>
      <c r="D4100" t="inlineStr">
        <is>
          <t>ÖREBRO LÄN</t>
        </is>
      </c>
      <c r="E4100" t="inlineStr">
        <is>
          <t>NORA</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60907-2023</t>
        </is>
      </c>
      <c r="B4101" s="1" t="n">
        <v>45261</v>
      </c>
      <c r="C4101" s="1" t="n">
        <v>46132</v>
      </c>
      <c r="D4101" t="inlineStr">
        <is>
          <t>ÖREBRO LÄN</t>
        </is>
      </c>
      <c r="E4101" t="inlineStr">
        <is>
          <t>DEGERFORS</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57129-2021</t>
        </is>
      </c>
      <c r="B4102" s="1" t="n">
        <v>44482</v>
      </c>
      <c r="C4102" s="1" t="n">
        <v>46132</v>
      </c>
      <c r="D4102" t="inlineStr">
        <is>
          <t>ÖREBRO LÄN</t>
        </is>
      </c>
      <c r="E4102" t="inlineStr">
        <is>
          <t>LJUSNARSBERG</t>
        </is>
      </c>
      <c r="F4102" t="inlineStr">
        <is>
          <t>Bergvik skog väst AB</t>
        </is>
      </c>
      <c r="G4102" t="n">
        <v>17.8</v>
      </c>
      <c r="H4102" t="n">
        <v>0</v>
      </c>
      <c r="I4102" t="n">
        <v>0</v>
      </c>
      <c r="J4102" t="n">
        <v>0</v>
      </c>
      <c r="K4102" t="n">
        <v>0</v>
      </c>
      <c r="L4102" t="n">
        <v>0</v>
      </c>
      <c r="M4102" t="n">
        <v>0</v>
      </c>
      <c r="N4102" t="n">
        <v>0</v>
      </c>
      <c r="O4102" t="n">
        <v>0</v>
      </c>
      <c r="P4102" t="n">
        <v>0</v>
      </c>
      <c r="Q4102" t="n">
        <v>0</v>
      </c>
      <c r="R4102" s="2" t="inlineStr"/>
    </row>
    <row r="4103" ht="15" customHeight="1">
      <c r="A4103" t="inlineStr">
        <is>
          <t>A 18325-2026</t>
        </is>
      </c>
      <c r="B4103" s="1" t="n">
        <v>46126.49202546296</v>
      </c>
      <c r="C4103" s="1" t="n">
        <v>46132</v>
      </c>
      <c r="D4103" t="inlineStr">
        <is>
          <t>ÖREBRO LÄN</t>
        </is>
      </c>
      <c r="E4103" t="inlineStr">
        <is>
          <t>LEKEBERG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18427-2026</t>
        </is>
      </c>
      <c r="B4104" s="1" t="n">
        <v>46127.32074074074</v>
      </c>
      <c r="C4104" s="1" t="n">
        <v>46132</v>
      </c>
      <c r="D4104" t="inlineStr">
        <is>
          <t>ÖREBRO LÄN</t>
        </is>
      </c>
      <c r="E4104" t="inlineStr">
        <is>
          <t>KARLSKOGA</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60732-2023</t>
        </is>
      </c>
      <c r="B4105" s="1" t="n">
        <v>45260</v>
      </c>
      <c r="C4105" s="1" t="n">
        <v>46132</v>
      </c>
      <c r="D4105" t="inlineStr">
        <is>
          <t>ÖREBRO LÄN</t>
        </is>
      </c>
      <c r="E4105" t="inlineStr">
        <is>
          <t>LAXÅ</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18672-2022</t>
        </is>
      </c>
      <c r="B4106" s="1" t="n">
        <v>44687.54699074074</v>
      </c>
      <c r="C4106" s="1" t="n">
        <v>46132</v>
      </c>
      <c r="D4106" t="inlineStr">
        <is>
          <t>ÖREBRO LÄN</t>
        </is>
      </c>
      <c r="E4106" t="inlineStr">
        <is>
          <t>ASKERSUND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53009-2023</t>
        </is>
      </c>
      <c r="B4107" s="1" t="n">
        <v>45226</v>
      </c>
      <c r="C4107" s="1" t="n">
        <v>46132</v>
      </c>
      <c r="D4107" t="inlineStr">
        <is>
          <t>ÖREBRO LÄN</t>
        </is>
      </c>
      <c r="E4107" t="inlineStr">
        <is>
          <t>HALLSBERG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53012-2023</t>
        </is>
      </c>
      <c r="B4108" s="1" t="n">
        <v>45226</v>
      </c>
      <c r="C4108" s="1" t="n">
        <v>46132</v>
      </c>
      <c r="D4108" t="inlineStr">
        <is>
          <t>ÖREBRO LÄN</t>
        </is>
      </c>
      <c r="E4108" t="inlineStr">
        <is>
          <t>HALLSBERG</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12516-2025</t>
        </is>
      </c>
      <c r="B4109" s="1" t="n">
        <v>45730.65107638889</v>
      </c>
      <c r="C4109" s="1" t="n">
        <v>46132</v>
      </c>
      <c r="D4109" t="inlineStr">
        <is>
          <t>ÖREBRO LÄN</t>
        </is>
      </c>
      <c r="E4109" t="inlineStr">
        <is>
          <t>LEKEBERG</t>
        </is>
      </c>
      <c r="F4109" t="inlineStr">
        <is>
          <t>Allmännings- och besparingsskogar</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11988-2026</t>
        </is>
      </c>
      <c r="B4110" s="1" t="n">
        <v>46085</v>
      </c>
      <c r="C4110" s="1" t="n">
        <v>46132</v>
      </c>
      <c r="D4110" t="inlineStr">
        <is>
          <t>ÖREBRO LÄN</t>
        </is>
      </c>
      <c r="E4110" t="inlineStr">
        <is>
          <t>ASKERSUND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18220-2026</t>
        </is>
      </c>
      <c r="B4111" s="1" t="n">
        <v>46126.30818287037</v>
      </c>
      <c r="C4111" s="1" t="n">
        <v>46132</v>
      </c>
      <c r="D4111" t="inlineStr">
        <is>
          <t>ÖREBRO LÄN</t>
        </is>
      </c>
      <c r="E4111" t="inlineStr">
        <is>
          <t>LINDESBERG</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30754-2022</t>
        </is>
      </c>
      <c r="B4112" s="1" t="n">
        <v>44764</v>
      </c>
      <c r="C4112" s="1" t="n">
        <v>46132</v>
      </c>
      <c r="D4112" t="inlineStr">
        <is>
          <t>ÖREBRO LÄN</t>
        </is>
      </c>
      <c r="E4112" t="inlineStr">
        <is>
          <t>LEKEBERG</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18232-2026</t>
        </is>
      </c>
      <c r="B4113" s="1" t="n">
        <v>46126.33628472222</v>
      </c>
      <c r="C4113" s="1" t="n">
        <v>46132</v>
      </c>
      <c r="D4113" t="inlineStr">
        <is>
          <t>ÖREBRO LÄN</t>
        </is>
      </c>
      <c r="E4113" t="inlineStr">
        <is>
          <t>ASKERSUND</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18428-2026</t>
        </is>
      </c>
      <c r="B4114" s="1" t="n">
        <v>46127.32145833333</v>
      </c>
      <c r="C4114" s="1" t="n">
        <v>46132</v>
      </c>
      <c r="D4114" t="inlineStr">
        <is>
          <t>ÖREBRO LÄN</t>
        </is>
      </c>
      <c r="E4114" t="inlineStr">
        <is>
          <t>KARLSKOGA</t>
        </is>
      </c>
      <c r="F4114" t="inlineStr">
        <is>
          <t>Sveaskog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9511-2025</t>
        </is>
      </c>
      <c r="B4115" s="1" t="n">
        <v>45715.53921296296</v>
      </c>
      <c r="C4115" s="1" t="n">
        <v>46132</v>
      </c>
      <c r="D4115" t="inlineStr">
        <is>
          <t>ÖREBRO LÄN</t>
        </is>
      </c>
      <c r="E4115" t="inlineStr">
        <is>
          <t>DEGERFORS</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11653-2026</t>
        </is>
      </c>
      <c r="B4116" s="1" t="n">
        <v>46084.52862268518</v>
      </c>
      <c r="C4116" s="1" t="n">
        <v>46132</v>
      </c>
      <c r="D4116" t="inlineStr">
        <is>
          <t>ÖREBRO LÄN</t>
        </is>
      </c>
      <c r="E4116" t="inlineStr">
        <is>
          <t>LAXÅ</t>
        </is>
      </c>
      <c r="F4116" t="inlineStr">
        <is>
          <t>Sveaskog</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2414-2024</t>
        </is>
      </c>
      <c r="B4117" s="1" t="n">
        <v>45310.87931712963</v>
      </c>
      <c r="C4117" s="1" t="n">
        <v>46132</v>
      </c>
      <c r="D4117" t="inlineStr">
        <is>
          <t>ÖREBRO LÄN</t>
        </is>
      </c>
      <c r="E4117" t="inlineStr">
        <is>
          <t>LINDESBERG</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22927-2024</t>
        </is>
      </c>
      <c r="B4118" s="1" t="n">
        <v>45448</v>
      </c>
      <c r="C4118" s="1" t="n">
        <v>46132</v>
      </c>
      <c r="D4118" t="inlineStr">
        <is>
          <t>ÖREBRO LÄN</t>
        </is>
      </c>
      <c r="E4118" t="inlineStr">
        <is>
          <t>LAXÅ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28463-2024</t>
        </is>
      </c>
      <c r="B4119" s="1" t="n">
        <v>45477.70315972222</v>
      </c>
      <c r="C4119" s="1" t="n">
        <v>46132</v>
      </c>
      <c r="D4119" t="inlineStr">
        <is>
          <t>ÖREBRO LÄN</t>
        </is>
      </c>
      <c r="E4119" t="inlineStr">
        <is>
          <t>LINDESBERG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12489-2023</t>
        </is>
      </c>
      <c r="B4120" s="1" t="n">
        <v>44999.69774305556</v>
      </c>
      <c r="C4120" s="1" t="n">
        <v>46132</v>
      </c>
      <c r="D4120" t="inlineStr">
        <is>
          <t>ÖREBRO LÄN</t>
        </is>
      </c>
      <c r="E4120" t="inlineStr">
        <is>
          <t>LJUSNARSBERG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15114-2024</t>
        </is>
      </c>
      <c r="B4121" s="1" t="n">
        <v>45399.68209490741</v>
      </c>
      <c r="C4121" s="1" t="n">
        <v>46132</v>
      </c>
      <c r="D4121" t="inlineStr">
        <is>
          <t>ÖREBRO LÄN</t>
        </is>
      </c>
      <c r="E4121" t="inlineStr">
        <is>
          <t>LJUSNARSBERG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5133-2024</t>
        </is>
      </c>
      <c r="B4122" s="1" t="n">
        <v>45330</v>
      </c>
      <c r="C4122" s="1" t="n">
        <v>46132</v>
      </c>
      <c r="D4122" t="inlineStr">
        <is>
          <t>ÖREBRO LÄN</t>
        </is>
      </c>
      <c r="E4122" t="inlineStr">
        <is>
          <t>ÖREBRO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27218-2024</t>
        </is>
      </c>
      <c r="B4123" s="1" t="n">
        <v>45471.6228587963</v>
      </c>
      <c r="C4123" s="1" t="n">
        <v>46132</v>
      </c>
      <c r="D4123" t="inlineStr">
        <is>
          <t>ÖREBRO LÄN</t>
        </is>
      </c>
      <c r="E4123" t="inlineStr">
        <is>
          <t>ASKERSUND</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39095-2022</t>
        </is>
      </c>
      <c r="B4124" s="1" t="n">
        <v>44817</v>
      </c>
      <c r="C4124" s="1" t="n">
        <v>46132</v>
      </c>
      <c r="D4124" t="inlineStr">
        <is>
          <t>ÖREBRO LÄN</t>
        </is>
      </c>
      <c r="E4124" t="inlineStr">
        <is>
          <t>LJUSNARSBERG</t>
        </is>
      </c>
      <c r="F4124" t="inlineStr">
        <is>
          <t>Bergvik skog väst AB</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6101-2024</t>
        </is>
      </c>
      <c r="B4125" s="1" t="n">
        <v>45337</v>
      </c>
      <c r="C4125" s="1" t="n">
        <v>46132</v>
      </c>
      <c r="D4125" t="inlineStr">
        <is>
          <t>ÖREBRO LÄN</t>
        </is>
      </c>
      <c r="E4125" t="inlineStr">
        <is>
          <t>LEKEBERG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52442-2022</t>
        </is>
      </c>
      <c r="B4126" s="1" t="n">
        <v>44874.4575</v>
      </c>
      <c r="C4126" s="1" t="n">
        <v>46132</v>
      </c>
      <c r="D4126" t="inlineStr">
        <is>
          <t>ÖREBRO LÄN</t>
        </is>
      </c>
      <c r="E4126" t="inlineStr">
        <is>
          <t>LAXÅ</t>
        </is>
      </c>
      <c r="F4126" t="inlineStr">
        <is>
          <t>Sveaskog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18474-2026</t>
        </is>
      </c>
      <c r="B4127" s="1" t="n">
        <v>46127.43859953704</v>
      </c>
      <c r="C4127" s="1" t="n">
        <v>46132</v>
      </c>
      <c r="D4127" t="inlineStr">
        <is>
          <t>ÖREBRO LÄN</t>
        </is>
      </c>
      <c r="E4127" t="inlineStr">
        <is>
          <t>ASKERSUND</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63668-2023</t>
        </is>
      </c>
      <c r="B4128" s="1" t="n">
        <v>45274</v>
      </c>
      <c r="C4128" s="1" t="n">
        <v>46132</v>
      </c>
      <c r="D4128" t="inlineStr">
        <is>
          <t>ÖREBRO LÄN</t>
        </is>
      </c>
      <c r="E4128" t="inlineStr">
        <is>
          <t>LINDESBERG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8139-2023</t>
        </is>
      </c>
      <c r="B4129" s="1" t="n">
        <v>44970</v>
      </c>
      <c r="C4129" s="1" t="n">
        <v>46132</v>
      </c>
      <c r="D4129" t="inlineStr">
        <is>
          <t>ÖREBRO LÄN</t>
        </is>
      </c>
      <c r="E4129" t="inlineStr">
        <is>
          <t>LINDESBERG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12276-2025</t>
        </is>
      </c>
      <c r="B4130" s="1" t="n">
        <v>45729.65061342593</v>
      </c>
      <c r="C4130" s="1" t="n">
        <v>46132</v>
      </c>
      <c r="D4130" t="inlineStr">
        <is>
          <t>ÖREBRO LÄN</t>
        </is>
      </c>
      <c r="E4130" t="inlineStr">
        <is>
          <t>LINDESBERG</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11851-2026</t>
        </is>
      </c>
      <c r="B4131" s="1" t="n">
        <v>46085</v>
      </c>
      <c r="C4131" s="1" t="n">
        <v>46132</v>
      </c>
      <c r="D4131" t="inlineStr">
        <is>
          <t>ÖREBRO LÄN</t>
        </is>
      </c>
      <c r="E4131" t="inlineStr">
        <is>
          <t>LAXÅ</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18272-2024</t>
        </is>
      </c>
      <c r="B4132" s="1" t="n">
        <v>45421.69873842593</v>
      </c>
      <c r="C4132" s="1" t="n">
        <v>46132</v>
      </c>
      <c r="D4132" t="inlineStr">
        <is>
          <t>ÖREBRO LÄN</t>
        </is>
      </c>
      <c r="E4132" t="inlineStr">
        <is>
          <t>LEKEBERG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67843-2021</t>
        </is>
      </c>
      <c r="B4133" s="1" t="n">
        <v>44525.47178240741</v>
      </c>
      <c r="C4133" s="1" t="n">
        <v>46132</v>
      </c>
      <c r="D4133" t="inlineStr">
        <is>
          <t>ÖREBRO LÄN</t>
        </is>
      </c>
      <c r="E4133" t="inlineStr">
        <is>
          <t>HÄLLEFORS</t>
        </is>
      </c>
      <c r="F4133" t="inlineStr">
        <is>
          <t>Bergvik skog väst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14432-2023</t>
        </is>
      </c>
      <c r="B4134" s="1" t="n">
        <v>45012</v>
      </c>
      <c r="C4134" s="1" t="n">
        <v>46132</v>
      </c>
      <c r="D4134" t="inlineStr">
        <is>
          <t>ÖREBRO LÄN</t>
        </is>
      </c>
      <c r="E4134" t="inlineStr">
        <is>
          <t>ÖREBRO</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10339-2023</t>
        </is>
      </c>
      <c r="B4135" s="1" t="n">
        <v>44987</v>
      </c>
      <c r="C4135" s="1" t="n">
        <v>46132</v>
      </c>
      <c r="D4135" t="inlineStr">
        <is>
          <t>ÖREBRO LÄN</t>
        </is>
      </c>
      <c r="E4135" t="inlineStr">
        <is>
          <t>ÖREBRO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18400-2026</t>
        </is>
      </c>
      <c r="B4136" s="1" t="n">
        <v>46126.66506944445</v>
      </c>
      <c r="C4136" s="1" t="n">
        <v>46132</v>
      </c>
      <c r="D4136" t="inlineStr">
        <is>
          <t>ÖREBRO LÄN</t>
        </is>
      </c>
      <c r="E4136" t="inlineStr">
        <is>
          <t>ASKERSUND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34481-2022</t>
        </is>
      </c>
      <c r="B4137" s="1" t="n">
        <v>44792</v>
      </c>
      <c r="C4137" s="1" t="n">
        <v>46132</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8347-2024</t>
        </is>
      </c>
      <c r="B4138" s="1" t="n">
        <v>45352.55664351852</v>
      </c>
      <c r="C4138" s="1" t="n">
        <v>46132</v>
      </c>
      <c r="D4138" t="inlineStr">
        <is>
          <t>ÖREBRO LÄN</t>
        </is>
      </c>
      <c r="E4138" t="inlineStr">
        <is>
          <t>HALLSBERG</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18506-2026</t>
        </is>
      </c>
      <c r="B4139" s="1" t="n">
        <v>46127.48443287037</v>
      </c>
      <c r="C4139" s="1" t="n">
        <v>46132</v>
      </c>
      <c r="D4139" t="inlineStr">
        <is>
          <t>ÖREBRO LÄN</t>
        </is>
      </c>
      <c r="E4139" t="inlineStr">
        <is>
          <t>DEGERFORS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36291-2022</t>
        </is>
      </c>
      <c r="B4140" s="1" t="n">
        <v>44803.64361111111</v>
      </c>
      <c r="C4140" s="1" t="n">
        <v>46132</v>
      </c>
      <c r="D4140" t="inlineStr">
        <is>
          <t>ÖREBRO LÄN</t>
        </is>
      </c>
      <c r="E4140" t="inlineStr">
        <is>
          <t>LINDESBERG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190-2024</t>
        </is>
      </c>
      <c r="B4141" s="1" t="n">
        <v>45294.61858796296</v>
      </c>
      <c r="C4141" s="1" t="n">
        <v>46132</v>
      </c>
      <c r="D4141" t="inlineStr">
        <is>
          <t>ÖREBRO LÄN</t>
        </is>
      </c>
      <c r="E4141" t="inlineStr">
        <is>
          <t>ÖREBRO</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18555-2025</t>
        </is>
      </c>
      <c r="B4142" s="1" t="n">
        <v>45763</v>
      </c>
      <c r="C4142" s="1" t="n">
        <v>46132</v>
      </c>
      <c r="D4142" t="inlineStr">
        <is>
          <t>ÖREBRO LÄN</t>
        </is>
      </c>
      <c r="E4142" t="inlineStr">
        <is>
          <t>HÄLLEFORS</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18640-2026</t>
        </is>
      </c>
      <c r="B4143" s="1" t="n">
        <v>46128.32461805556</v>
      </c>
      <c r="C4143" s="1" t="n">
        <v>46132</v>
      </c>
      <c r="D4143" t="inlineStr">
        <is>
          <t>ÖREBRO LÄN</t>
        </is>
      </c>
      <c r="E4143" t="inlineStr">
        <is>
          <t>LINDESBERG</t>
        </is>
      </c>
      <c r="F4143" t="inlineStr">
        <is>
          <t>Sveaskog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12161-2026</t>
        </is>
      </c>
      <c r="B4144" s="1" t="n">
        <v>46086.63248842592</v>
      </c>
      <c r="C4144" s="1" t="n">
        <v>46132</v>
      </c>
      <c r="D4144" t="inlineStr">
        <is>
          <t>ÖREBRO LÄN</t>
        </is>
      </c>
      <c r="E4144" t="inlineStr">
        <is>
          <t>DEGERFORS</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2079-2024</t>
        </is>
      </c>
      <c r="B4145" s="1" t="n">
        <v>45309</v>
      </c>
      <c r="C4145" s="1" t="n">
        <v>46132</v>
      </c>
      <c r="D4145" t="inlineStr">
        <is>
          <t>ÖREBRO LÄN</t>
        </is>
      </c>
      <c r="E4145" t="inlineStr">
        <is>
          <t>HÄLLEFORS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62497-2023</t>
        </is>
      </c>
      <c r="B4146" s="1" t="n">
        <v>45268.59935185185</v>
      </c>
      <c r="C4146" s="1" t="n">
        <v>46132</v>
      </c>
      <c r="D4146" t="inlineStr">
        <is>
          <t>ÖREBRO LÄN</t>
        </is>
      </c>
      <c r="E4146" t="inlineStr">
        <is>
          <t>ÖREBRO</t>
        </is>
      </c>
      <c r="F4146" t="inlineStr">
        <is>
          <t>Övriga Aktiebolag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16957-2025</t>
        </is>
      </c>
      <c r="B4147" s="1" t="n">
        <v>45755.44732638889</v>
      </c>
      <c r="C4147" s="1" t="n">
        <v>46132</v>
      </c>
      <c r="D4147" t="inlineStr">
        <is>
          <t>ÖREBRO LÄN</t>
        </is>
      </c>
      <c r="E4147" t="inlineStr">
        <is>
          <t>NORA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74464-2021</t>
        </is>
      </c>
      <c r="B4148" s="1" t="n">
        <v>44560.52915509259</v>
      </c>
      <c r="C4148" s="1" t="n">
        <v>46132</v>
      </c>
      <c r="D4148" t="inlineStr">
        <is>
          <t>ÖREBRO LÄN</t>
        </is>
      </c>
      <c r="E4148" t="inlineStr">
        <is>
          <t>HÄLLEFORS</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18853-2026</t>
        </is>
      </c>
      <c r="B4149" s="1" t="n">
        <v>46127</v>
      </c>
      <c r="C4149" s="1" t="n">
        <v>46132</v>
      </c>
      <c r="D4149" t="inlineStr">
        <is>
          <t>ÖREBRO LÄN</t>
        </is>
      </c>
      <c r="E4149" t="inlineStr">
        <is>
          <t>LJUSNARSBERG</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18866-2026</t>
        </is>
      </c>
      <c r="B4150" s="1" t="n">
        <v>46129.39015046296</v>
      </c>
      <c r="C4150" s="1" t="n">
        <v>46132</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61597-2023</t>
        </is>
      </c>
      <c r="B4151" s="1" t="n">
        <v>45265.49225694445</v>
      </c>
      <c r="C4151" s="1" t="n">
        <v>46132</v>
      </c>
      <c r="D4151" t="inlineStr">
        <is>
          <t>ÖREBRO LÄN</t>
        </is>
      </c>
      <c r="E4151" t="inlineStr">
        <is>
          <t>LINDESBERG</t>
        </is>
      </c>
      <c r="G4151" t="n">
        <v>10.3</v>
      </c>
      <c r="H4151" t="n">
        <v>0</v>
      </c>
      <c r="I4151" t="n">
        <v>0</v>
      </c>
      <c r="J4151" t="n">
        <v>0</v>
      </c>
      <c r="K4151" t="n">
        <v>0</v>
      </c>
      <c r="L4151" t="n">
        <v>0</v>
      </c>
      <c r="M4151" t="n">
        <v>0</v>
      </c>
      <c r="N4151" t="n">
        <v>0</v>
      </c>
      <c r="O4151" t="n">
        <v>0</v>
      </c>
      <c r="P4151" t="n">
        <v>0</v>
      </c>
      <c r="Q4151" t="n">
        <v>0</v>
      </c>
      <c r="R4151" s="2" t="inlineStr"/>
    </row>
    <row r="4152" ht="15" customHeight="1">
      <c r="A4152" t="inlineStr">
        <is>
          <t>A 7137-2024</t>
        </is>
      </c>
      <c r="B4152" s="1" t="n">
        <v>45344.37394675926</v>
      </c>
      <c r="C4152" s="1" t="n">
        <v>46132</v>
      </c>
      <c r="D4152" t="inlineStr">
        <is>
          <t>ÖREBRO LÄN</t>
        </is>
      </c>
      <c r="E4152" t="inlineStr">
        <is>
          <t>LAXÅ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43399-2022</t>
        </is>
      </c>
      <c r="B4153" s="1" t="n">
        <v>44834</v>
      </c>
      <c r="C4153" s="1" t="n">
        <v>46132</v>
      </c>
      <c r="D4153" t="inlineStr">
        <is>
          <t>ÖREBRO LÄN</t>
        </is>
      </c>
      <c r="E4153" t="inlineStr">
        <is>
          <t>ÖREBRO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46146-2022</t>
        </is>
      </c>
      <c r="B4154" s="1" t="n">
        <v>44847.4584375</v>
      </c>
      <c r="C4154" s="1" t="n">
        <v>46132</v>
      </c>
      <c r="D4154" t="inlineStr">
        <is>
          <t>ÖREBRO LÄN</t>
        </is>
      </c>
      <c r="E4154" t="inlineStr">
        <is>
          <t>LJUSNARSBERG</t>
        </is>
      </c>
      <c r="F4154" t="inlineStr">
        <is>
          <t>Bergvik skog väst AB</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14679-2025</t>
        </is>
      </c>
      <c r="B4155" s="1" t="n">
        <v>45742.56643518519</v>
      </c>
      <c r="C4155" s="1" t="n">
        <v>46132</v>
      </c>
      <c r="D4155" t="inlineStr">
        <is>
          <t>ÖREBRO LÄN</t>
        </is>
      </c>
      <c r="E4155" t="inlineStr">
        <is>
          <t>DEGERFORS</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62968-2023</t>
        </is>
      </c>
      <c r="B4156" s="1" t="n">
        <v>45272.57385416667</v>
      </c>
      <c r="C4156" s="1" t="n">
        <v>46132</v>
      </c>
      <c r="D4156" t="inlineStr">
        <is>
          <t>ÖREBRO LÄN</t>
        </is>
      </c>
      <c r="E4156" t="inlineStr">
        <is>
          <t>LINDESBERG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32211-2022</t>
        </is>
      </c>
      <c r="B4157" s="1" t="n">
        <v>44781.43078703704</v>
      </c>
      <c r="C4157" s="1" t="n">
        <v>46132</v>
      </c>
      <c r="D4157" t="inlineStr">
        <is>
          <t>ÖREBRO LÄN</t>
        </is>
      </c>
      <c r="E4157" t="inlineStr">
        <is>
          <t>DEGERFORS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1683-2023</t>
        </is>
      </c>
      <c r="B4158" s="1" t="n">
        <v>44938</v>
      </c>
      <c r="C4158" s="1" t="n">
        <v>46132</v>
      </c>
      <c r="D4158" t="inlineStr">
        <is>
          <t>ÖREBRO LÄN</t>
        </is>
      </c>
      <c r="E4158" t="inlineStr">
        <is>
          <t>LJUSNARSBERG</t>
        </is>
      </c>
      <c r="F4158" t="inlineStr">
        <is>
          <t>Bergvik skog väst AB</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36963-2021</t>
        </is>
      </c>
      <c r="B4159" s="1" t="n">
        <v>44393</v>
      </c>
      <c r="C4159" s="1" t="n">
        <v>46132</v>
      </c>
      <c r="D4159" t="inlineStr">
        <is>
          <t>ÖREBRO LÄN</t>
        </is>
      </c>
      <c r="E4159" t="inlineStr">
        <is>
          <t>DEGERFORS</t>
        </is>
      </c>
      <c r="F4159" t="inlineStr">
        <is>
          <t>Sveaskog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12162-2026</t>
        </is>
      </c>
      <c r="B4160" s="1" t="n">
        <v>46086.63362268519</v>
      </c>
      <c r="C4160" s="1" t="n">
        <v>46132</v>
      </c>
      <c r="D4160" t="inlineStr">
        <is>
          <t>ÖREBRO LÄN</t>
        </is>
      </c>
      <c r="E4160" t="inlineStr">
        <is>
          <t>DEGERFORS</t>
        </is>
      </c>
      <c r="F4160" t="inlineStr">
        <is>
          <t>Sveaskog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13496-2025</t>
        </is>
      </c>
      <c r="B4161" s="1" t="n">
        <v>45736.44390046296</v>
      </c>
      <c r="C4161" s="1" t="n">
        <v>46132</v>
      </c>
      <c r="D4161" t="inlineStr">
        <is>
          <t>ÖREBRO LÄN</t>
        </is>
      </c>
      <c r="E4161" t="inlineStr">
        <is>
          <t>KARLSKOGA</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63142-2023</t>
        </is>
      </c>
      <c r="B4162" s="1" t="n">
        <v>45273</v>
      </c>
      <c r="C4162" s="1" t="n">
        <v>46132</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12159-2026</t>
        </is>
      </c>
      <c r="B4163" s="1" t="n">
        <v>46086.63024305556</v>
      </c>
      <c r="C4163" s="1" t="n">
        <v>46132</v>
      </c>
      <c r="D4163" t="inlineStr">
        <is>
          <t>ÖREBRO LÄN</t>
        </is>
      </c>
      <c r="E4163" t="inlineStr">
        <is>
          <t>DEGERFORS</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24270-2023</t>
        </is>
      </c>
      <c r="B4164" s="1" t="n">
        <v>45079</v>
      </c>
      <c r="C4164" s="1" t="n">
        <v>46132</v>
      </c>
      <c r="D4164" t="inlineStr">
        <is>
          <t>ÖREBRO LÄN</t>
        </is>
      </c>
      <c r="E4164" t="inlineStr">
        <is>
          <t>LINDESBERG</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24271-2023</t>
        </is>
      </c>
      <c r="B4165" s="1" t="n">
        <v>45079</v>
      </c>
      <c r="C4165" s="1" t="n">
        <v>46132</v>
      </c>
      <c r="D4165" t="inlineStr">
        <is>
          <t>ÖREBRO LÄN</t>
        </is>
      </c>
      <c r="E4165" t="inlineStr">
        <is>
          <t>LINDESBERG</t>
        </is>
      </c>
      <c r="F4165" t="inlineStr">
        <is>
          <t>Sveaskog</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24801-2023</t>
        </is>
      </c>
      <c r="B4166" s="1" t="n">
        <v>45084</v>
      </c>
      <c r="C4166" s="1" t="n">
        <v>46132</v>
      </c>
      <c r="D4166" t="inlineStr">
        <is>
          <t>ÖREBRO LÄN</t>
        </is>
      </c>
      <c r="E4166" t="inlineStr">
        <is>
          <t>HALLSBERG</t>
        </is>
      </c>
      <c r="F4166" t="inlineStr">
        <is>
          <t>Allmännings- och besparingsskogar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18634-2026</t>
        </is>
      </c>
      <c r="B4167" s="1" t="n">
        <v>46128.31271990741</v>
      </c>
      <c r="C4167" s="1" t="n">
        <v>46132</v>
      </c>
      <c r="D4167" t="inlineStr">
        <is>
          <t>ÖREBRO LÄN</t>
        </is>
      </c>
      <c r="E4167" t="inlineStr">
        <is>
          <t>LINDESBERG</t>
        </is>
      </c>
      <c r="F4167" t="inlineStr">
        <is>
          <t>Sveaskog</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18637-2026</t>
        </is>
      </c>
      <c r="B4168" s="1" t="n">
        <v>46128.31604166667</v>
      </c>
      <c r="C4168" s="1" t="n">
        <v>46132</v>
      </c>
      <c r="D4168" t="inlineStr">
        <is>
          <t>ÖREBRO LÄN</t>
        </is>
      </c>
      <c r="E4168" t="inlineStr">
        <is>
          <t>LINDESBERG</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34585-2022</t>
        </is>
      </c>
      <c r="B4169" s="1" t="n">
        <v>44795.3625925926</v>
      </c>
      <c r="C4169" s="1" t="n">
        <v>46132</v>
      </c>
      <c r="D4169" t="inlineStr">
        <is>
          <t>ÖREBRO LÄN</t>
        </is>
      </c>
      <c r="E4169" t="inlineStr">
        <is>
          <t>LAXÅ</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31094-2024</t>
        </is>
      </c>
      <c r="B4170" s="1" t="n">
        <v>45502</v>
      </c>
      <c r="C4170" s="1" t="n">
        <v>46132</v>
      </c>
      <c r="D4170" t="inlineStr">
        <is>
          <t>ÖREBRO LÄN</t>
        </is>
      </c>
      <c r="E4170" t="inlineStr">
        <is>
          <t>HALLSBERG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7492-2024</t>
        </is>
      </c>
      <c r="B4171" s="1" t="n">
        <v>45346.78131944445</v>
      </c>
      <c r="C4171" s="1" t="n">
        <v>46132</v>
      </c>
      <c r="D4171" t="inlineStr">
        <is>
          <t>ÖREBRO LÄN</t>
        </is>
      </c>
      <c r="E4171" t="inlineStr">
        <is>
          <t>HALLSBERG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11925-2025</t>
        </is>
      </c>
      <c r="B4172" s="1" t="n">
        <v>45728.50564814815</v>
      </c>
      <c r="C4172" s="1" t="n">
        <v>46132</v>
      </c>
      <c r="D4172" t="inlineStr">
        <is>
          <t>ÖREBRO LÄN</t>
        </is>
      </c>
      <c r="E4172" t="inlineStr">
        <is>
          <t>HALLSBERG</t>
        </is>
      </c>
      <c r="F4172" t="inlineStr">
        <is>
          <t>Allmännings- och besparingsskogar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11974-2025</t>
        </is>
      </c>
      <c r="B4173" s="1" t="n">
        <v>45728.58998842593</v>
      </c>
      <c r="C4173" s="1" t="n">
        <v>46132</v>
      </c>
      <c r="D4173" t="inlineStr">
        <is>
          <t>ÖREBRO LÄN</t>
        </is>
      </c>
      <c r="E4173" t="inlineStr">
        <is>
          <t>KARLSKOGA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51822-2022</t>
        </is>
      </c>
      <c r="B4174" s="1" t="n">
        <v>44872.56392361111</v>
      </c>
      <c r="C4174" s="1" t="n">
        <v>46132</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12160-2026</t>
        </is>
      </c>
      <c r="B4175" s="1" t="n">
        <v>46086.63143518518</v>
      </c>
      <c r="C4175" s="1" t="n">
        <v>46132</v>
      </c>
      <c r="D4175" t="inlineStr">
        <is>
          <t>ÖREBRO LÄN</t>
        </is>
      </c>
      <c r="E4175" t="inlineStr">
        <is>
          <t>DEGERFORS</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36567-2024</t>
        </is>
      </c>
      <c r="B4176" s="1" t="n">
        <v>45537.4871412037</v>
      </c>
      <c r="C4176" s="1" t="n">
        <v>46132</v>
      </c>
      <c r="D4176" t="inlineStr">
        <is>
          <t>ÖREBRO LÄN</t>
        </is>
      </c>
      <c r="E4176" t="inlineStr">
        <is>
          <t>LAXÅ</t>
        </is>
      </c>
      <c r="F4176" t="inlineStr">
        <is>
          <t>Sveaskog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62866-2023</t>
        </is>
      </c>
      <c r="B4177" s="1" t="n">
        <v>45272.36168981482</v>
      </c>
      <c r="C4177" s="1" t="n">
        <v>46132</v>
      </c>
      <c r="D4177" t="inlineStr">
        <is>
          <t>ÖREBRO LÄN</t>
        </is>
      </c>
      <c r="E4177" t="inlineStr">
        <is>
          <t>LINDESBERG</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13412-2025</t>
        </is>
      </c>
      <c r="B4178" s="1" t="n">
        <v>45736.27773148148</v>
      </c>
      <c r="C4178" s="1" t="n">
        <v>46132</v>
      </c>
      <c r="D4178" t="inlineStr">
        <is>
          <t>ÖREBRO LÄN</t>
        </is>
      </c>
      <c r="E4178" t="inlineStr">
        <is>
          <t>DEGERFORS</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13414-2025</t>
        </is>
      </c>
      <c r="B4179" s="1" t="n">
        <v>45736.2803125</v>
      </c>
      <c r="C4179" s="1" t="n">
        <v>46132</v>
      </c>
      <c r="D4179" t="inlineStr">
        <is>
          <t>ÖREBRO LÄN</t>
        </is>
      </c>
      <c r="E4179" t="inlineStr">
        <is>
          <t>DEGERFORS</t>
        </is>
      </c>
      <c r="F4179" t="inlineStr">
        <is>
          <t>Sveaskog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13416-2025</t>
        </is>
      </c>
      <c r="B4180" s="1" t="n">
        <v>45736.308125</v>
      </c>
      <c r="C4180" s="1" t="n">
        <v>46132</v>
      </c>
      <c r="D4180" t="inlineStr">
        <is>
          <t>ÖREBRO LÄN</t>
        </is>
      </c>
      <c r="E4180" t="inlineStr">
        <is>
          <t>LINDESBERG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34722-2024</t>
        </is>
      </c>
      <c r="B4181" s="1" t="n">
        <v>45526</v>
      </c>
      <c r="C4181" s="1" t="n">
        <v>46132</v>
      </c>
      <c r="D4181" t="inlineStr">
        <is>
          <t>ÖREBRO LÄN</t>
        </is>
      </c>
      <c r="E4181" t="inlineStr">
        <is>
          <t>NORA</t>
        </is>
      </c>
      <c r="F4181" t="inlineStr">
        <is>
          <t>Övriga Aktiebolag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15626-2025</t>
        </is>
      </c>
      <c r="B4182" s="1" t="n">
        <v>45748.36186342593</v>
      </c>
      <c r="C4182" s="1" t="n">
        <v>46132</v>
      </c>
      <c r="D4182" t="inlineStr">
        <is>
          <t>ÖREBRO LÄN</t>
        </is>
      </c>
      <c r="E4182" t="inlineStr">
        <is>
          <t>KUMLA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37021-2024</t>
        </is>
      </c>
      <c r="B4183" s="1" t="n">
        <v>45539.38146990741</v>
      </c>
      <c r="C4183" s="1" t="n">
        <v>46132</v>
      </c>
      <c r="D4183" t="inlineStr">
        <is>
          <t>ÖREBRO LÄN</t>
        </is>
      </c>
      <c r="E4183" t="inlineStr">
        <is>
          <t>ÖREBRO</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13780-2023</t>
        </is>
      </c>
      <c r="B4184" s="1" t="n">
        <v>45007.47386574074</v>
      </c>
      <c r="C4184" s="1" t="n">
        <v>46132</v>
      </c>
      <c r="D4184" t="inlineStr">
        <is>
          <t>ÖREBRO LÄN</t>
        </is>
      </c>
      <c r="E4184" t="inlineStr">
        <is>
          <t>ASKERSUND</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18636-2026</t>
        </is>
      </c>
      <c r="B4185" s="1" t="n">
        <v>46128.31521990741</v>
      </c>
      <c r="C4185" s="1" t="n">
        <v>46132</v>
      </c>
      <c r="D4185" t="inlineStr">
        <is>
          <t>ÖREBRO LÄN</t>
        </is>
      </c>
      <c r="E4185" t="inlineStr">
        <is>
          <t>LINDESBERG</t>
        </is>
      </c>
      <c r="F4185" t="inlineStr">
        <is>
          <t>Sveaskog</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23573-2023</t>
        </is>
      </c>
      <c r="B4186" s="1" t="n">
        <v>45077.41672453703</v>
      </c>
      <c r="C4186" s="1" t="n">
        <v>46132</v>
      </c>
      <c r="D4186" t="inlineStr">
        <is>
          <t>ÖREBRO LÄN</t>
        </is>
      </c>
      <c r="E4186" t="inlineStr">
        <is>
          <t>ÖREBRO</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46987-2023</t>
        </is>
      </c>
      <c r="B4187" s="1" t="n">
        <v>45201</v>
      </c>
      <c r="C4187" s="1" t="n">
        <v>46132</v>
      </c>
      <c r="D4187" t="inlineStr">
        <is>
          <t>ÖREBRO LÄN</t>
        </is>
      </c>
      <c r="E4187" t="inlineStr">
        <is>
          <t>HÄLLEFORS</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15615-2025</t>
        </is>
      </c>
      <c r="B4188" s="1" t="n">
        <v>45748</v>
      </c>
      <c r="C4188" s="1" t="n">
        <v>46132</v>
      </c>
      <c r="D4188" t="inlineStr">
        <is>
          <t>ÖREBRO LÄN</t>
        </is>
      </c>
      <c r="E4188" t="inlineStr">
        <is>
          <t>KUMLA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18913-2026</t>
        </is>
      </c>
      <c r="B4189" s="1" t="n">
        <v>46129.50850694445</v>
      </c>
      <c r="C4189" s="1" t="n">
        <v>46132</v>
      </c>
      <c r="D4189" t="inlineStr">
        <is>
          <t>ÖREBRO LÄN</t>
        </is>
      </c>
      <c r="E4189" t="inlineStr">
        <is>
          <t>DEGERFORS</t>
        </is>
      </c>
      <c r="F4189" t="inlineStr">
        <is>
          <t>Sveaskog</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4013-2025</t>
        </is>
      </c>
      <c r="B4190" s="1" t="n">
        <v>45684.5790162037</v>
      </c>
      <c r="C4190" s="1" t="n">
        <v>46132</v>
      </c>
      <c r="D4190" t="inlineStr">
        <is>
          <t>ÖREBRO LÄN</t>
        </is>
      </c>
      <c r="E4190" t="inlineStr">
        <is>
          <t>LINDESBERG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57949-2024</t>
        </is>
      </c>
      <c r="B4191" s="1" t="n">
        <v>45631.55975694444</v>
      </c>
      <c r="C4191" s="1" t="n">
        <v>46132</v>
      </c>
      <c r="D4191" t="inlineStr">
        <is>
          <t>ÖREBRO LÄN</t>
        </is>
      </c>
      <c r="E4191" t="inlineStr">
        <is>
          <t>KUMLA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7903-2022</t>
        </is>
      </c>
      <c r="B4192" s="1" t="n">
        <v>44607</v>
      </c>
      <c r="C4192" s="1" t="n">
        <v>46132</v>
      </c>
      <c r="D4192" t="inlineStr">
        <is>
          <t>ÖREBRO LÄN</t>
        </is>
      </c>
      <c r="E4192" t="inlineStr">
        <is>
          <t>LJUSNARSBERG</t>
        </is>
      </c>
      <c r="F4192" t="inlineStr">
        <is>
          <t>Kyrkan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63863-2023</t>
        </is>
      </c>
      <c r="B4193" s="1" t="n">
        <v>45278.50163194445</v>
      </c>
      <c r="C4193" s="1" t="n">
        <v>46132</v>
      </c>
      <c r="D4193" t="inlineStr">
        <is>
          <t>ÖREBRO LÄN</t>
        </is>
      </c>
      <c r="E4193" t="inlineStr">
        <is>
          <t>KARLSKOGA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13758-2023</t>
        </is>
      </c>
      <c r="B4194" s="1" t="n">
        <v>45007.42528935185</v>
      </c>
      <c r="C4194" s="1" t="n">
        <v>46132</v>
      </c>
      <c r="D4194" t="inlineStr">
        <is>
          <t>ÖREBRO LÄN</t>
        </is>
      </c>
      <c r="E4194" t="inlineStr">
        <is>
          <t>HÄLLEFORS</t>
        </is>
      </c>
      <c r="F4194" t="inlineStr">
        <is>
          <t>Bergvik skog väst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13762-2023</t>
        </is>
      </c>
      <c r="B4195" s="1" t="n">
        <v>45007.43729166667</v>
      </c>
      <c r="C4195" s="1" t="n">
        <v>46132</v>
      </c>
      <c r="D4195" t="inlineStr">
        <is>
          <t>ÖREBRO LÄN</t>
        </is>
      </c>
      <c r="E4195" t="inlineStr">
        <is>
          <t>ÖREBRO</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44803-2024</t>
        </is>
      </c>
      <c r="B4196" s="1" t="n">
        <v>45574.65087962963</v>
      </c>
      <c r="C4196" s="1" t="n">
        <v>46132</v>
      </c>
      <c r="D4196" t="inlineStr">
        <is>
          <t>ÖREBRO LÄN</t>
        </is>
      </c>
      <c r="E4196" t="inlineStr">
        <is>
          <t>LINDESBERG</t>
        </is>
      </c>
      <c r="F4196" t="inlineStr">
        <is>
          <t>Sveaskog</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29859-2022</t>
        </is>
      </c>
      <c r="B4197" s="1" t="n">
        <v>44756.38414351852</v>
      </c>
      <c r="C4197" s="1" t="n">
        <v>46132</v>
      </c>
      <c r="D4197" t="inlineStr">
        <is>
          <t>ÖREBRO LÄN</t>
        </is>
      </c>
      <c r="E4197" t="inlineStr">
        <is>
          <t>HALLSBERG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26023-2023</t>
        </is>
      </c>
      <c r="B4198" s="1" t="n">
        <v>45091.2925</v>
      </c>
      <c r="C4198" s="1" t="n">
        <v>46132</v>
      </c>
      <c r="D4198" t="inlineStr">
        <is>
          <t>ÖREBRO LÄN</t>
        </is>
      </c>
      <c r="E4198" t="inlineStr">
        <is>
          <t>NORA</t>
        </is>
      </c>
      <c r="F4198" t="inlineStr">
        <is>
          <t>Kyrkan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5129-2024</t>
        </is>
      </c>
      <c r="B4199" s="1" t="n">
        <v>45330</v>
      </c>
      <c r="C4199" s="1" t="n">
        <v>46132</v>
      </c>
      <c r="D4199" t="inlineStr">
        <is>
          <t>ÖREBRO LÄN</t>
        </is>
      </c>
      <c r="E4199" t="inlineStr">
        <is>
          <t>ÖREBRO</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62843-2021</t>
        </is>
      </c>
      <c r="B4200" s="1" t="n">
        <v>44503</v>
      </c>
      <c r="C4200" s="1" t="n">
        <v>46132</v>
      </c>
      <c r="D4200" t="inlineStr">
        <is>
          <t>ÖREBRO LÄN</t>
        </is>
      </c>
      <c r="E4200" t="inlineStr">
        <is>
          <t>LJUSNARSBERG</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42761-2023</t>
        </is>
      </c>
      <c r="B4201" s="1" t="n">
        <v>45177</v>
      </c>
      <c r="C4201" s="1" t="n">
        <v>46132</v>
      </c>
      <c r="D4201" t="inlineStr">
        <is>
          <t>ÖREBRO LÄN</t>
        </is>
      </c>
      <c r="E4201" t="inlineStr">
        <is>
          <t>LJUSNARSBERG</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56712-2024</t>
        </is>
      </c>
      <c r="B4202" s="1" t="n">
        <v>45628.29118055556</v>
      </c>
      <c r="C4202" s="1" t="n">
        <v>46132</v>
      </c>
      <c r="D4202" t="inlineStr">
        <is>
          <t>ÖREBRO LÄN</t>
        </is>
      </c>
      <c r="E4202" t="inlineStr">
        <is>
          <t>KUMLA</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1309-2024</t>
        </is>
      </c>
      <c r="B4203" s="1" t="n">
        <v>45303</v>
      </c>
      <c r="C4203" s="1" t="n">
        <v>46132</v>
      </c>
      <c r="D4203" t="inlineStr">
        <is>
          <t>ÖREBRO LÄN</t>
        </is>
      </c>
      <c r="E4203" t="inlineStr">
        <is>
          <t>KARLSKOGA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15252-2025</t>
        </is>
      </c>
      <c r="B4204" s="1" t="n">
        <v>45744</v>
      </c>
      <c r="C4204" s="1" t="n">
        <v>46132</v>
      </c>
      <c r="D4204" t="inlineStr">
        <is>
          <t>ÖREBRO LÄN</t>
        </is>
      </c>
      <c r="E4204" t="inlineStr">
        <is>
          <t>KARLSKOGA</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15253-2025</t>
        </is>
      </c>
      <c r="B4205" s="1" t="n">
        <v>45744</v>
      </c>
      <c r="C4205" s="1" t="n">
        <v>46132</v>
      </c>
      <c r="D4205" t="inlineStr">
        <is>
          <t>ÖREBRO LÄN</t>
        </is>
      </c>
      <c r="E4205" t="inlineStr">
        <is>
          <t>KARLSKOGA</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1004-2024</t>
        </is>
      </c>
      <c r="B4206" s="1" t="n">
        <v>45301</v>
      </c>
      <c r="C4206" s="1" t="n">
        <v>46132</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36544-2024</t>
        </is>
      </c>
      <c r="B4207" s="1" t="n">
        <v>45537.46501157407</v>
      </c>
      <c r="C4207" s="1" t="n">
        <v>46132</v>
      </c>
      <c r="D4207" t="inlineStr">
        <is>
          <t>ÖREBRO LÄN</t>
        </is>
      </c>
      <c r="E4207" t="inlineStr">
        <is>
          <t>LAXÅ</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15641-2024</t>
        </is>
      </c>
      <c r="B4208" s="1" t="n">
        <v>45403</v>
      </c>
      <c r="C4208" s="1" t="n">
        <v>46132</v>
      </c>
      <c r="D4208" t="inlineStr">
        <is>
          <t>ÖREBRO LÄN</t>
        </is>
      </c>
      <c r="E4208" t="inlineStr">
        <is>
          <t>LAXÅ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15642-2024</t>
        </is>
      </c>
      <c r="B4209" s="1" t="n">
        <v>45403</v>
      </c>
      <c r="C4209" s="1" t="n">
        <v>46132</v>
      </c>
      <c r="D4209" t="inlineStr">
        <is>
          <t>ÖREBRO LÄN</t>
        </is>
      </c>
      <c r="E4209" t="inlineStr">
        <is>
          <t>LAXÅ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21448-2024</t>
        </is>
      </c>
      <c r="B4210" s="1" t="n">
        <v>45441</v>
      </c>
      <c r="C4210" s="1" t="n">
        <v>46132</v>
      </c>
      <c r="D4210" t="inlineStr">
        <is>
          <t>ÖREBRO LÄN</t>
        </is>
      </c>
      <c r="E4210" t="inlineStr">
        <is>
          <t>ASKERSUND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1492-2022</t>
        </is>
      </c>
      <c r="B4211" s="1" t="n">
        <v>44573</v>
      </c>
      <c r="C4211" s="1" t="n">
        <v>46132</v>
      </c>
      <c r="D4211" t="inlineStr">
        <is>
          <t>ÖREBRO LÄN</t>
        </is>
      </c>
      <c r="E4211" t="inlineStr">
        <is>
          <t>ÖREBRO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57316-2022</t>
        </is>
      </c>
      <c r="B4212" s="1" t="n">
        <v>44896.32079861111</v>
      </c>
      <c r="C4212" s="1" t="n">
        <v>46132</v>
      </c>
      <c r="D4212" t="inlineStr">
        <is>
          <t>ÖREBRO LÄN</t>
        </is>
      </c>
      <c r="E4212" t="inlineStr">
        <is>
          <t>NORA</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7130-2024</t>
        </is>
      </c>
      <c r="B4213" s="1" t="n">
        <v>45344.35774305555</v>
      </c>
      <c r="C4213" s="1" t="n">
        <v>46132</v>
      </c>
      <c r="D4213" t="inlineStr">
        <is>
          <t>ÖREBRO LÄN</t>
        </is>
      </c>
      <c r="E4213" t="inlineStr">
        <is>
          <t>LAXÅ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11287-2025</t>
        </is>
      </c>
      <c r="B4214" s="1" t="n">
        <v>45726.42666666667</v>
      </c>
      <c r="C4214" s="1" t="n">
        <v>46132</v>
      </c>
      <c r="D4214" t="inlineStr">
        <is>
          <t>ÖREBRO LÄN</t>
        </is>
      </c>
      <c r="E4214" t="inlineStr">
        <is>
          <t>LEKEBERG</t>
        </is>
      </c>
      <c r="F4214" t="inlineStr">
        <is>
          <t>Sveaskog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11291-2025</t>
        </is>
      </c>
      <c r="B4215" s="1" t="n">
        <v>45726.42836805555</v>
      </c>
      <c r="C4215" s="1" t="n">
        <v>46132</v>
      </c>
      <c r="D4215" t="inlineStr">
        <is>
          <t>ÖREBRO LÄN</t>
        </is>
      </c>
      <c r="E4215" t="inlineStr">
        <is>
          <t>LAXÅ</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12699-2025</t>
        </is>
      </c>
      <c r="B4216" s="1" t="n">
        <v>45733.4640625</v>
      </c>
      <c r="C4216" s="1" t="n">
        <v>46132</v>
      </c>
      <c r="D4216" t="inlineStr">
        <is>
          <t>ÖREBRO LÄN</t>
        </is>
      </c>
      <c r="E4216" t="inlineStr">
        <is>
          <t>ASKERSUND</t>
        </is>
      </c>
      <c r="F4216" t="inlineStr">
        <is>
          <t>Sveaskog</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59026-2024</t>
        </is>
      </c>
      <c r="B4217" s="1" t="n">
        <v>45636.6875</v>
      </c>
      <c r="C4217" s="1" t="n">
        <v>46132</v>
      </c>
      <c r="D4217" t="inlineStr">
        <is>
          <t>ÖREBRO LÄN</t>
        </is>
      </c>
      <c r="E4217" t="inlineStr">
        <is>
          <t>ÖREBRO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56033-2022</t>
        </is>
      </c>
      <c r="B4218" s="1" t="n">
        <v>44889.5547337963</v>
      </c>
      <c r="C4218" s="1" t="n">
        <v>46132</v>
      </c>
      <c r="D4218" t="inlineStr">
        <is>
          <t>ÖREBRO LÄN</t>
        </is>
      </c>
      <c r="E4218" t="inlineStr">
        <is>
          <t>ASKERSUND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52623-2024</t>
        </is>
      </c>
      <c r="B4219" s="1" t="n">
        <v>45609</v>
      </c>
      <c r="C4219" s="1" t="n">
        <v>46132</v>
      </c>
      <c r="D4219" t="inlineStr">
        <is>
          <t>ÖREBRO LÄN</t>
        </is>
      </c>
      <c r="E4219" t="inlineStr">
        <is>
          <t>ÖREBRO</t>
        </is>
      </c>
      <c r="F4219" t="inlineStr">
        <is>
          <t>Kommuner</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48610-2023</t>
        </is>
      </c>
      <c r="B4220" s="1" t="n">
        <v>45208</v>
      </c>
      <c r="C4220" s="1" t="n">
        <v>46132</v>
      </c>
      <c r="D4220" t="inlineStr">
        <is>
          <t>ÖREBRO LÄN</t>
        </is>
      </c>
      <c r="E4220" t="inlineStr">
        <is>
          <t>NORA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29907-2024</t>
        </is>
      </c>
      <c r="B4221" s="1" t="n">
        <v>45487.82146990741</v>
      </c>
      <c r="C4221" s="1" t="n">
        <v>46132</v>
      </c>
      <c r="D4221" t="inlineStr">
        <is>
          <t>ÖREBRO LÄN</t>
        </is>
      </c>
      <c r="E4221" t="inlineStr">
        <is>
          <t>HALLSBERG</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15188-2025</t>
        </is>
      </c>
      <c r="B4222" s="1" t="n">
        <v>45744.55122685185</v>
      </c>
      <c r="C4222" s="1" t="n">
        <v>46132</v>
      </c>
      <c r="D4222" t="inlineStr">
        <is>
          <t>ÖREBRO LÄN</t>
        </is>
      </c>
      <c r="E4222" t="inlineStr">
        <is>
          <t>KARLSKOGA</t>
        </is>
      </c>
      <c r="F4222" t="inlineStr">
        <is>
          <t>Övriga Aktiebolag</t>
        </is>
      </c>
      <c r="G4222" t="n">
        <v>11.8</v>
      </c>
      <c r="H4222" t="n">
        <v>0</v>
      </c>
      <c r="I4222" t="n">
        <v>0</v>
      </c>
      <c r="J4222" t="n">
        <v>0</v>
      </c>
      <c r="K4222" t="n">
        <v>0</v>
      </c>
      <c r="L4222" t="n">
        <v>0</v>
      </c>
      <c r="M4222" t="n">
        <v>0</v>
      </c>
      <c r="N4222" t="n">
        <v>0</v>
      </c>
      <c r="O4222" t="n">
        <v>0</v>
      </c>
      <c r="P4222" t="n">
        <v>0</v>
      </c>
      <c r="Q4222" t="n">
        <v>0</v>
      </c>
      <c r="R4222" s="2" t="inlineStr"/>
    </row>
    <row r="4223" ht="15" customHeight="1">
      <c r="A4223" t="inlineStr">
        <is>
          <t>A 62511-2023</t>
        </is>
      </c>
      <c r="B4223" s="1" t="n">
        <v>45268.61855324074</v>
      </c>
      <c r="C4223" s="1" t="n">
        <v>46132</v>
      </c>
      <c r="D4223" t="inlineStr">
        <is>
          <t>ÖREBRO LÄN</t>
        </is>
      </c>
      <c r="E4223" t="inlineStr">
        <is>
          <t>ÖREBRO</t>
        </is>
      </c>
      <c r="F4223" t="inlineStr">
        <is>
          <t>Övriga Aktiebolag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27130-2024</t>
        </is>
      </c>
      <c r="B4224" s="1" t="n">
        <v>45471.52072916667</v>
      </c>
      <c r="C4224" s="1" t="n">
        <v>46132</v>
      </c>
      <c r="D4224" t="inlineStr">
        <is>
          <t>ÖREBRO LÄN</t>
        </is>
      </c>
      <c r="E4224" t="inlineStr">
        <is>
          <t>LINDESBERG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59804-2023</t>
        </is>
      </c>
      <c r="B4225" s="1" t="n">
        <v>45257.48188657407</v>
      </c>
      <c r="C4225" s="1" t="n">
        <v>46132</v>
      </c>
      <c r="D4225" t="inlineStr">
        <is>
          <t>ÖREBRO LÄN</t>
        </is>
      </c>
      <c r="E4225" t="inlineStr">
        <is>
          <t>LINDESBERG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41512-2024</t>
        </is>
      </c>
      <c r="B4226" s="1" t="n">
        <v>45560</v>
      </c>
      <c r="C4226" s="1" t="n">
        <v>46132</v>
      </c>
      <c r="D4226" t="inlineStr">
        <is>
          <t>ÖREBRO LÄN</t>
        </is>
      </c>
      <c r="E4226" t="inlineStr">
        <is>
          <t>LAXÅ</t>
        </is>
      </c>
      <c r="F4226" t="inlineStr">
        <is>
          <t>Sveaskog</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37450-2024</t>
        </is>
      </c>
      <c r="B4227" s="1" t="n">
        <v>45540.68736111111</v>
      </c>
      <c r="C4227" s="1" t="n">
        <v>46132</v>
      </c>
      <c r="D4227" t="inlineStr">
        <is>
          <t>ÖREBRO LÄN</t>
        </is>
      </c>
      <c r="E4227" t="inlineStr">
        <is>
          <t>LEKEBERG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27434-2023</t>
        </is>
      </c>
      <c r="B4228" s="1" t="n">
        <v>45097.38688657407</v>
      </c>
      <c r="C4228" s="1" t="n">
        <v>46132</v>
      </c>
      <c r="D4228" t="inlineStr">
        <is>
          <t>ÖREBRO LÄN</t>
        </is>
      </c>
      <c r="E4228" t="inlineStr">
        <is>
          <t>LINDESBERG</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24832-2024</t>
        </is>
      </c>
      <c r="B4229" s="1" t="n">
        <v>45461.38202546296</v>
      </c>
      <c r="C4229" s="1" t="n">
        <v>46132</v>
      </c>
      <c r="D4229" t="inlineStr">
        <is>
          <t>ÖREBRO LÄN</t>
        </is>
      </c>
      <c r="E4229" t="inlineStr">
        <is>
          <t>NORA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4474-2024</t>
        </is>
      </c>
      <c r="B4230" s="1" t="n">
        <v>45327</v>
      </c>
      <c r="C4230" s="1" t="n">
        <v>46132</v>
      </c>
      <c r="D4230" t="inlineStr">
        <is>
          <t>ÖREBRO LÄN</t>
        </is>
      </c>
      <c r="E4230" t="inlineStr">
        <is>
          <t>ASKERSUND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19033-2021</t>
        </is>
      </c>
      <c r="B4231" s="1" t="n">
        <v>44308</v>
      </c>
      <c r="C4231" s="1" t="n">
        <v>46132</v>
      </c>
      <c r="D4231" t="inlineStr">
        <is>
          <t>ÖREBRO LÄN</t>
        </is>
      </c>
      <c r="E4231" t="inlineStr">
        <is>
          <t>HÄLLEFORS</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9516-2025</t>
        </is>
      </c>
      <c r="B4232" s="1" t="n">
        <v>45714</v>
      </c>
      <c r="C4232" s="1" t="n">
        <v>46132</v>
      </c>
      <c r="D4232" t="inlineStr">
        <is>
          <t>ÖREBRO LÄN</t>
        </is>
      </c>
      <c r="E4232" t="inlineStr">
        <is>
          <t>ASKERSUND</t>
        </is>
      </c>
      <c r="F4232" t="inlineStr">
        <is>
          <t>Övriga Aktiebolag</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31549-2021</t>
        </is>
      </c>
      <c r="B4233" s="1" t="n">
        <v>44369</v>
      </c>
      <c r="C4233" s="1" t="n">
        <v>46132</v>
      </c>
      <c r="D4233" t="inlineStr">
        <is>
          <t>ÖREBRO LÄN</t>
        </is>
      </c>
      <c r="E4233" t="inlineStr">
        <is>
          <t>LJUSNARSBERG</t>
        </is>
      </c>
      <c r="F4233" t="inlineStr">
        <is>
          <t>Bergvik skog väst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40522-2024</t>
        </is>
      </c>
      <c r="B4234" s="1" t="n">
        <v>45555.59717592593</v>
      </c>
      <c r="C4234" s="1" t="n">
        <v>46132</v>
      </c>
      <c r="D4234" t="inlineStr">
        <is>
          <t>ÖREBRO LÄN</t>
        </is>
      </c>
      <c r="E4234" t="inlineStr">
        <is>
          <t>ÖREBRO</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31973-2023</t>
        </is>
      </c>
      <c r="B4235" s="1" t="n">
        <v>45107</v>
      </c>
      <c r="C4235" s="1" t="n">
        <v>46132</v>
      </c>
      <c r="D4235" t="inlineStr">
        <is>
          <t>ÖREBRO LÄN</t>
        </is>
      </c>
      <c r="E4235" t="inlineStr">
        <is>
          <t>ASKERSUND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50048-2022</t>
        </is>
      </c>
      <c r="B4236" s="1" t="n">
        <v>44865.47030092592</v>
      </c>
      <c r="C4236" s="1" t="n">
        <v>46132</v>
      </c>
      <c r="D4236" t="inlineStr">
        <is>
          <t>ÖREBRO LÄN</t>
        </is>
      </c>
      <c r="E4236" t="inlineStr">
        <is>
          <t>ASKERSUND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45060-2024</t>
        </is>
      </c>
      <c r="B4237" s="1" t="n">
        <v>45575.55570601852</v>
      </c>
      <c r="C4237" s="1" t="n">
        <v>46132</v>
      </c>
      <c r="D4237" t="inlineStr">
        <is>
          <t>ÖREBRO LÄN</t>
        </is>
      </c>
      <c r="E4237" t="inlineStr">
        <is>
          <t>LINDESBERG</t>
        </is>
      </c>
      <c r="F4237" t="inlineStr">
        <is>
          <t>Sveaskog</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72706-2021</t>
        </is>
      </c>
      <c r="B4238" s="1" t="n">
        <v>44546.67222222222</v>
      </c>
      <c r="C4238" s="1" t="n">
        <v>46132</v>
      </c>
      <c r="D4238" t="inlineStr">
        <is>
          <t>ÖREBRO LÄN</t>
        </is>
      </c>
      <c r="E4238" t="inlineStr">
        <is>
          <t>LINDESBERG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62107-2024</t>
        </is>
      </c>
      <c r="B4239" s="1" t="n">
        <v>45656</v>
      </c>
      <c r="C4239" s="1" t="n">
        <v>46132</v>
      </c>
      <c r="D4239" t="inlineStr">
        <is>
          <t>ÖREBRO LÄN</t>
        </is>
      </c>
      <c r="E4239" t="inlineStr">
        <is>
          <t>ASKERSUND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62108-2024</t>
        </is>
      </c>
      <c r="B4240" s="1" t="n">
        <v>45656</v>
      </c>
      <c r="C4240" s="1" t="n">
        <v>46132</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53366-2023</t>
        </is>
      </c>
      <c r="B4241" s="1" t="n">
        <v>45229</v>
      </c>
      <c r="C4241" s="1" t="n">
        <v>46132</v>
      </c>
      <c r="D4241" t="inlineStr">
        <is>
          <t>ÖREBRO LÄN</t>
        </is>
      </c>
      <c r="E4241" t="inlineStr">
        <is>
          <t>LINDESBERG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19219-2023</t>
        </is>
      </c>
      <c r="B4242" s="1" t="n">
        <v>45048</v>
      </c>
      <c r="C4242" s="1" t="n">
        <v>46132</v>
      </c>
      <c r="D4242" t="inlineStr">
        <is>
          <t>ÖREBRO LÄN</t>
        </is>
      </c>
      <c r="E4242" t="inlineStr">
        <is>
          <t>LINDESBERG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19043-2023</t>
        </is>
      </c>
      <c r="B4243" s="1" t="n">
        <v>45047.7181712963</v>
      </c>
      <c r="C4243" s="1" t="n">
        <v>46132</v>
      </c>
      <c r="D4243" t="inlineStr">
        <is>
          <t>ÖREBRO LÄN</t>
        </is>
      </c>
      <c r="E4243" t="inlineStr">
        <is>
          <t>LINDESBERG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27031-2024</t>
        </is>
      </c>
      <c r="B4244" s="1" t="n">
        <v>45471.42659722222</v>
      </c>
      <c r="C4244" s="1" t="n">
        <v>46132</v>
      </c>
      <c r="D4244" t="inlineStr">
        <is>
          <t>ÖREBRO LÄN</t>
        </is>
      </c>
      <c r="E4244" t="inlineStr">
        <is>
          <t>LINDESBERG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46290-2024</t>
        </is>
      </c>
      <c r="B4245" s="1" t="n">
        <v>45581.66018518519</v>
      </c>
      <c r="C4245" s="1" t="n">
        <v>46132</v>
      </c>
      <c r="D4245" t="inlineStr">
        <is>
          <t>ÖREBRO LÄN</t>
        </is>
      </c>
      <c r="E4245" t="inlineStr">
        <is>
          <t>DEGERFORS</t>
        </is>
      </c>
      <c r="F4245" t="inlineStr">
        <is>
          <t>Sveaskog</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23418-2024</t>
        </is>
      </c>
      <c r="B4246" s="1" t="n">
        <v>45453.59858796297</v>
      </c>
      <c r="C4246" s="1" t="n">
        <v>46132</v>
      </c>
      <c r="D4246" t="inlineStr">
        <is>
          <t>ÖREBRO LÄN</t>
        </is>
      </c>
      <c r="E4246" t="inlineStr">
        <is>
          <t>ASKERSUND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23420-2024</t>
        </is>
      </c>
      <c r="B4247" s="1" t="n">
        <v>45453.6003587963</v>
      </c>
      <c r="C4247" s="1" t="n">
        <v>46132</v>
      </c>
      <c r="D4247" t="inlineStr">
        <is>
          <t>ÖREBRO LÄN</t>
        </is>
      </c>
      <c r="E4247" t="inlineStr">
        <is>
          <t>ASKERSUND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36421-2024</t>
        </is>
      </c>
      <c r="B4248" s="1" t="n">
        <v>45536.6512037037</v>
      </c>
      <c r="C4248" s="1" t="n">
        <v>46132</v>
      </c>
      <c r="D4248" t="inlineStr">
        <is>
          <t>ÖREBRO LÄN</t>
        </is>
      </c>
      <c r="E4248" t="inlineStr">
        <is>
          <t>LAXÅ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33907-2024</t>
        </is>
      </c>
      <c r="B4249" s="1" t="n">
        <v>45523.37623842592</v>
      </c>
      <c r="C4249" s="1" t="n">
        <v>46132</v>
      </c>
      <c r="D4249" t="inlineStr">
        <is>
          <t>ÖREBRO LÄN</t>
        </is>
      </c>
      <c r="E4249" t="inlineStr">
        <is>
          <t>LEKEBERG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33910-2024</t>
        </is>
      </c>
      <c r="B4250" s="1" t="n">
        <v>45523.38473379629</v>
      </c>
      <c r="C4250" s="1" t="n">
        <v>46132</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36591-2021</t>
        </is>
      </c>
      <c r="B4251" s="1" t="n">
        <v>44391</v>
      </c>
      <c r="C4251" s="1" t="n">
        <v>46132</v>
      </c>
      <c r="D4251" t="inlineStr">
        <is>
          <t>ÖREBRO LÄN</t>
        </is>
      </c>
      <c r="E4251" t="inlineStr">
        <is>
          <t>HALLSBERG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52826-2024</t>
        </is>
      </c>
      <c r="B4252" s="1" t="n">
        <v>45610.59243055555</v>
      </c>
      <c r="C4252" s="1" t="n">
        <v>46132</v>
      </c>
      <c r="D4252" t="inlineStr">
        <is>
          <t>ÖREBRO LÄN</t>
        </is>
      </c>
      <c r="E4252" t="inlineStr">
        <is>
          <t>KARLSKOGA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62439-2021</t>
        </is>
      </c>
      <c r="B4253" s="1" t="n">
        <v>44503.50170138889</v>
      </c>
      <c r="C4253" s="1" t="n">
        <v>46132</v>
      </c>
      <c r="D4253" t="inlineStr">
        <is>
          <t>ÖREBRO LÄN</t>
        </is>
      </c>
      <c r="E4253" t="inlineStr">
        <is>
          <t>LAXÅ</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61580-2023</t>
        </is>
      </c>
      <c r="B4254" s="1" t="n">
        <v>45265</v>
      </c>
      <c r="C4254" s="1" t="n">
        <v>46132</v>
      </c>
      <c r="D4254" t="inlineStr">
        <is>
          <t>ÖREBRO LÄN</t>
        </is>
      </c>
      <c r="E4254" t="inlineStr">
        <is>
          <t>LJUSNARSBERG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33577-2023</t>
        </is>
      </c>
      <c r="B4255" s="1" t="n">
        <v>45131</v>
      </c>
      <c r="C4255" s="1" t="n">
        <v>46132</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3289-2025</t>
        </is>
      </c>
      <c r="B4256" s="1" t="n">
        <v>45679.62376157408</v>
      </c>
      <c r="C4256" s="1" t="n">
        <v>46132</v>
      </c>
      <c r="D4256" t="inlineStr">
        <is>
          <t>ÖREBRO LÄN</t>
        </is>
      </c>
      <c r="E4256" t="inlineStr">
        <is>
          <t>LAXÅ</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34501-2024</t>
        </is>
      </c>
      <c r="B4257" s="1" t="n">
        <v>45525.64034722222</v>
      </c>
      <c r="C4257" s="1" t="n">
        <v>46132</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38696-2024</t>
        </is>
      </c>
      <c r="B4258" s="1" t="n">
        <v>45547.36590277778</v>
      </c>
      <c r="C4258" s="1" t="n">
        <v>46132</v>
      </c>
      <c r="D4258" t="inlineStr">
        <is>
          <t>ÖREBRO LÄN</t>
        </is>
      </c>
      <c r="E4258" t="inlineStr">
        <is>
          <t>LINDESBERG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18360-2024</t>
        </is>
      </c>
      <c r="B4259" s="1" t="n">
        <v>45422</v>
      </c>
      <c r="C4259" s="1" t="n">
        <v>46132</v>
      </c>
      <c r="D4259" t="inlineStr">
        <is>
          <t>ÖREBRO LÄN</t>
        </is>
      </c>
      <c r="E4259" t="inlineStr">
        <is>
          <t>ÖREBRO</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7579-2024</t>
        </is>
      </c>
      <c r="B4260" s="1" t="n">
        <v>45348</v>
      </c>
      <c r="C4260" s="1" t="n">
        <v>46132</v>
      </c>
      <c r="D4260" t="inlineStr">
        <is>
          <t>ÖREBRO LÄN</t>
        </is>
      </c>
      <c r="E4260" t="inlineStr">
        <is>
          <t>NORA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7611-2024</t>
        </is>
      </c>
      <c r="B4261" s="1" t="n">
        <v>45348.58864583333</v>
      </c>
      <c r="C4261" s="1" t="n">
        <v>46132</v>
      </c>
      <c r="D4261" t="inlineStr">
        <is>
          <t>ÖREBRO LÄN</t>
        </is>
      </c>
      <c r="E4261" t="inlineStr">
        <is>
          <t>ÖREBRO</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13347-2023</t>
        </is>
      </c>
      <c r="B4262" s="1" t="n">
        <v>45004</v>
      </c>
      <c r="C4262" s="1" t="n">
        <v>46132</v>
      </c>
      <c r="D4262" t="inlineStr">
        <is>
          <t>ÖREBRO LÄN</t>
        </is>
      </c>
      <c r="E4262" t="inlineStr">
        <is>
          <t>ÖREBRO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54663-2021</t>
        </is>
      </c>
      <c r="B4263" s="1" t="n">
        <v>44473.6343287037</v>
      </c>
      <c r="C4263" s="1" t="n">
        <v>46132</v>
      </c>
      <c r="D4263" t="inlineStr">
        <is>
          <t>ÖREBRO LÄN</t>
        </is>
      </c>
      <c r="E4263" t="inlineStr">
        <is>
          <t>LINDESBERG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54723-2021</t>
        </is>
      </c>
      <c r="B4264" s="1" t="n">
        <v>44473.82302083333</v>
      </c>
      <c r="C4264" s="1" t="n">
        <v>46132</v>
      </c>
      <c r="D4264" t="inlineStr">
        <is>
          <t>ÖREBRO LÄN</t>
        </is>
      </c>
      <c r="E4264" t="inlineStr">
        <is>
          <t>ASKERSUND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6842-2022</t>
        </is>
      </c>
      <c r="B4265" s="1" t="n">
        <v>44602.63045138889</v>
      </c>
      <c r="C4265" s="1" t="n">
        <v>46132</v>
      </c>
      <c r="D4265" t="inlineStr">
        <is>
          <t>ÖREBRO LÄN</t>
        </is>
      </c>
      <c r="E4265" t="inlineStr">
        <is>
          <t>LAXÅ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59455-2022</t>
        </is>
      </c>
      <c r="B4266" s="1" t="n">
        <v>44907.42807870371</v>
      </c>
      <c r="C4266" s="1" t="n">
        <v>46132</v>
      </c>
      <c r="D4266" t="inlineStr">
        <is>
          <t>ÖREBRO LÄN</t>
        </is>
      </c>
      <c r="E4266" t="inlineStr">
        <is>
          <t>LAXÅ</t>
        </is>
      </c>
      <c r="F4266" t="inlineStr">
        <is>
          <t>Sveaskog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187-2024</t>
        </is>
      </c>
      <c r="B4267" s="1" t="n">
        <v>45294</v>
      </c>
      <c r="C4267" s="1" t="n">
        <v>46132</v>
      </c>
      <c r="D4267" t="inlineStr">
        <is>
          <t>ÖREBRO LÄN</t>
        </is>
      </c>
      <c r="E4267" t="inlineStr">
        <is>
          <t>ÖREBRO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10832-2023</t>
        </is>
      </c>
      <c r="B4268" s="1" t="n">
        <v>44990.91711805556</v>
      </c>
      <c r="C4268" s="1" t="n">
        <v>46132</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37491-2021</t>
        </is>
      </c>
      <c r="B4269" s="1" t="n">
        <v>44399.29892361111</v>
      </c>
      <c r="C4269" s="1" t="n">
        <v>46132</v>
      </c>
      <c r="D4269" t="inlineStr">
        <is>
          <t>ÖREBRO LÄN</t>
        </is>
      </c>
      <c r="E4269" t="inlineStr">
        <is>
          <t>LEKEBERG</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4353-2023</t>
        </is>
      </c>
      <c r="B4270" s="1" t="n">
        <v>44954.27407407408</v>
      </c>
      <c r="C4270" s="1" t="n">
        <v>46132</v>
      </c>
      <c r="D4270" t="inlineStr">
        <is>
          <t>ÖREBRO LÄN</t>
        </is>
      </c>
      <c r="E4270" t="inlineStr">
        <is>
          <t>HÄLLEFORS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2596-2022</t>
        </is>
      </c>
      <c r="B4271" s="1" t="n">
        <v>44580</v>
      </c>
      <c r="C4271" s="1" t="n">
        <v>46132</v>
      </c>
      <c r="D4271" t="inlineStr">
        <is>
          <t>ÖREBRO LÄN</t>
        </is>
      </c>
      <c r="E4271" t="inlineStr">
        <is>
          <t>ÖREBRO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73693-2021</t>
        </is>
      </c>
      <c r="B4272" s="1" t="n">
        <v>44552.48893518518</v>
      </c>
      <c r="C4272" s="1" t="n">
        <v>46132</v>
      </c>
      <c r="D4272" t="inlineStr">
        <is>
          <t>ÖREBRO LÄN</t>
        </is>
      </c>
      <c r="E4272" t="inlineStr">
        <is>
          <t>DEGERFORS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5338-2024</t>
        </is>
      </c>
      <c r="B4273" s="1" t="n">
        <v>45331</v>
      </c>
      <c r="C4273" s="1" t="n">
        <v>46132</v>
      </c>
      <c r="D4273" t="inlineStr">
        <is>
          <t>ÖREBRO LÄN</t>
        </is>
      </c>
      <c r="E4273" t="inlineStr">
        <is>
          <t>ÖREBRO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5373-2024</t>
        </is>
      </c>
      <c r="B4274" s="1" t="n">
        <v>45331</v>
      </c>
      <c r="C4274" s="1" t="n">
        <v>46132</v>
      </c>
      <c r="D4274" t="inlineStr">
        <is>
          <t>ÖREBRO LÄN</t>
        </is>
      </c>
      <c r="E4274" t="inlineStr">
        <is>
          <t>LEKEBERG</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1359-2022</t>
        </is>
      </c>
      <c r="B4275" s="1" t="n">
        <v>44573</v>
      </c>
      <c r="C4275" s="1" t="n">
        <v>46132</v>
      </c>
      <c r="D4275" t="inlineStr">
        <is>
          <t>ÖREBRO LÄN</t>
        </is>
      </c>
      <c r="E4275" t="inlineStr">
        <is>
          <t>ASKERSUND</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41669-2021</t>
        </is>
      </c>
      <c r="B4276" s="1" t="n">
        <v>44425</v>
      </c>
      <c r="C4276" s="1" t="n">
        <v>46132</v>
      </c>
      <c r="D4276" t="inlineStr">
        <is>
          <t>ÖREBRO LÄN</t>
        </is>
      </c>
      <c r="E4276" t="inlineStr">
        <is>
          <t>NORA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34164-2022</t>
        </is>
      </c>
      <c r="B4277" s="1" t="n">
        <v>44791.58640046296</v>
      </c>
      <c r="C4277" s="1" t="n">
        <v>46132</v>
      </c>
      <c r="D4277" t="inlineStr">
        <is>
          <t>ÖREBRO LÄN</t>
        </is>
      </c>
      <c r="E4277" t="inlineStr">
        <is>
          <t>NORA</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13415-2025</t>
        </is>
      </c>
      <c r="B4278" s="1" t="n">
        <v>45736.28094907408</v>
      </c>
      <c r="C4278" s="1" t="n">
        <v>46132</v>
      </c>
      <c r="D4278" t="inlineStr">
        <is>
          <t>ÖREBRO LÄN</t>
        </is>
      </c>
      <c r="E4278" t="inlineStr">
        <is>
          <t>DEGERFORS</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51488-2021</t>
        </is>
      </c>
      <c r="B4279" s="1" t="n">
        <v>44460</v>
      </c>
      <c r="C4279" s="1" t="n">
        <v>46132</v>
      </c>
      <c r="D4279" t="inlineStr">
        <is>
          <t>ÖREBRO LÄN</t>
        </is>
      </c>
      <c r="E4279" t="inlineStr">
        <is>
          <t>HÄLLEFORS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32262-2021</t>
        </is>
      </c>
      <c r="B4280" s="1" t="n">
        <v>44371.47609953704</v>
      </c>
      <c r="C4280" s="1" t="n">
        <v>46132</v>
      </c>
      <c r="D4280" t="inlineStr">
        <is>
          <t>ÖREBRO LÄN</t>
        </is>
      </c>
      <c r="E4280" t="inlineStr">
        <is>
          <t>LINDESBERG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12133-2023</t>
        </is>
      </c>
      <c r="B4281" s="1" t="n">
        <v>44998</v>
      </c>
      <c r="C4281" s="1" t="n">
        <v>46132</v>
      </c>
      <c r="D4281" t="inlineStr">
        <is>
          <t>ÖREBRO LÄN</t>
        </is>
      </c>
      <c r="E4281" t="inlineStr">
        <is>
          <t>HALLSBERG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12140-2023</t>
        </is>
      </c>
      <c r="B4282" s="1" t="n">
        <v>44998.46677083334</v>
      </c>
      <c r="C4282" s="1" t="n">
        <v>46132</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14487-2023</t>
        </is>
      </c>
      <c r="B4283" s="1" t="n">
        <v>45012</v>
      </c>
      <c r="C4283" s="1" t="n">
        <v>46132</v>
      </c>
      <c r="D4283" t="inlineStr">
        <is>
          <t>ÖREBRO LÄN</t>
        </is>
      </c>
      <c r="E4283" t="inlineStr">
        <is>
          <t>ÖREBRO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20787-2022</t>
        </is>
      </c>
      <c r="B4284" s="1" t="n">
        <v>44701</v>
      </c>
      <c r="C4284" s="1" t="n">
        <v>46132</v>
      </c>
      <c r="D4284" t="inlineStr">
        <is>
          <t>ÖREBRO LÄN</t>
        </is>
      </c>
      <c r="E4284" t="inlineStr">
        <is>
          <t>LEKEBERG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10863-2022</t>
        </is>
      </c>
      <c r="B4285" s="1" t="n">
        <v>44627.6367824074</v>
      </c>
      <c r="C4285" s="1" t="n">
        <v>46132</v>
      </c>
      <c r="D4285" t="inlineStr">
        <is>
          <t>ÖREBRO LÄN</t>
        </is>
      </c>
      <c r="E4285" t="inlineStr">
        <is>
          <t>HALLSBERG</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3443-2023</t>
        </is>
      </c>
      <c r="B4286" s="1" t="n">
        <v>44949.6052199074</v>
      </c>
      <c r="C4286" s="1" t="n">
        <v>46132</v>
      </c>
      <c r="D4286" t="inlineStr">
        <is>
          <t>ÖREBRO LÄN</t>
        </is>
      </c>
      <c r="E4286" t="inlineStr">
        <is>
          <t>LAXÅ</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48265-2021</t>
        </is>
      </c>
      <c r="B4287" s="1" t="n">
        <v>44449</v>
      </c>
      <c r="C4287" s="1" t="n">
        <v>46132</v>
      </c>
      <c r="D4287" t="inlineStr">
        <is>
          <t>ÖREBRO LÄN</t>
        </is>
      </c>
      <c r="E4287" t="inlineStr">
        <is>
          <t>LINDESBERG</t>
        </is>
      </c>
      <c r="G4287" t="n">
        <v>23.7</v>
      </c>
      <c r="H4287" t="n">
        <v>0</v>
      </c>
      <c r="I4287" t="n">
        <v>0</v>
      </c>
      <c r="J4287" t="n">
        <v>0</v>
      </c>
      <c r="K4287" t="n">
        <v>0</v>
      </c>
      <c r="L4287" t="n">
        <v>0</v>
      </c>
      <c r="M4287" t="n">
        <v>0</v>
      </c>
      <c r="N4287" t="n">
        <v>0</v>
      </c>
      <c r="O4287" t="n">
        <v>0</v>
      </c>
      <c r="P4287" t="n">
        <v>0</v>
      </c>
      <c r="Q4287" t="n">
        <v>0</v>
      </c>
      <c r="R4287" s="2" t="inlineStr"/>
    </row>
    <row r="4288" ht="15" customHeight="1">
      <c r="A4288" t="inlineStr">
        <is>
          <t>A 14028-2023</t>
        </is>
      </c>
      <c r="B4288" s="1" t="n">
        <v>45008</v>
      </c>
      <c r="C4288" s="1" t="n">
        <v>46132</v>
      </c>
      <c r="D4288" t="inlineStr">
        <is>
          <t>ÖREBRO LÄN</t>
        </is>
      </c>
      <c r="E4288" t="inlineStr">
        <is>
          <t>LINDESBERG</t>
        </is>
      </c>
      <c r="F4288" t="inlineStr">
        <is>
          <t>Kyrkan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44076-2024</t>
        </is>
      </c>
      <c r="B4289" s="1" t="n">
        <v>45572.61414351852</v>
      </c>
      <c r="C4289" s="1" t="n">
        <v>46132</v>
      </c>
      <c r="D4289" t="inlineStr">
        <is>
          <t>ÖREBRO LÄN</t>
        </is>
      </c>
      <c r="E4289" t="inlineStr">
        <is>
          <t>LAXÅ</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44105-2024</t>
        </is>
      </c>
      <c r="B4290" s="1" t="n">
        <v>45572.62980324074</v>
      </c>
      <c r="C4290" s="1" t="n">
        <v>46132</v>
      </c>
      <c r="D4290" t="inlineStr">
        <is>
          <t>ÖREBRO LÄN</t>
        </is>
      </c>
      <c r="E4290" t="inlineStr">
        <is>
          <t>HÄLLEFORS</t>
        </is>
      </c>
      <c r="F4290" t="inlineStr">
        <is>
          <t>Bergvik skog väst AB</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36437-2024</t>
        </is>
      </c>
      <c r="B4291" s="1" t="n">
        <v>45535</v>
      </c>
      <c r="C4291" s="1" t="n">
        <v>46132</v>
      </c>
      <c r="D4291" t="inlineStr">
        <is>
          <t>ÖREBRO LÄN</t>
        </is>
      </c>
      <c r="E4291" t="inlineStr">
        <is>
          <t>DEGERFORS</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21682-2021</t>
        </is>
      </c>
      <c r="B4292" s="1" t="n">
        <v>44322.41228009259</v>
      </c>
      <c r="C4292" s="1" t="n">
        <v>46132</v>
      </c>
      <c r="D4292" t="inlineStr">
        <is>
          <t>ÖREBRO LÄN</t>
        </is>
      </c>
      <c r="E4292" t="inlineStr">
        <is>
          <t>KARLSKOGA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55442-2022</t>
        </is>
      </c>
      <c r="B4293" s="1" t="n">
        <v>44887</v>
      </c>
      <c r="C4293" s="1" t="n">
        <v>46132</v>
      </c>
      <c r="D4293" t="inlineStr">
        <is>
          <t>ÖREBRO LÄN</t>
        </is>
      </c>
      <c r="E4293" t="inlineStr">
        <is>
          <t>KUMLA</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4970-2022</t>
        </is>
      </c>
      <c r="B4294" s="1" t="n">
        <v>44593.51175925926</v>
      </c>
      <c r="C4294" s="1" t="n">
        <v>46132</v>
      </c>
      <c r="D4294" t="inlineStr">
        <is>
          <t>ÖREBRO LÄN</t>
        </is>
      </c>
      <c r="E4294" t="inlineStr">
        <is>
          <t>ÖREBRO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4468-2022</t>
        </is>
      </c>
      <c r="B4295" s="1" t="n">
        <v>44589</v>
      </c>
      <c r="C4295" s="1" t="n">
        <v>46132</v>
      </c>
      <c r="D4295" t="inlineStr">
        <is>
          <t>ÖREBRO LÄN</t>
        </is>
      </c>
      <c r="E4295" t="inlineStr">
        <is>
          <t>LEKEBERG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59892-2021</t>
        </is>
      </c>
      <c r="B4296" s="1" t="n">
        <v>44494</v>
      </c>
      <c r="C4296" s="1" t="n">
        <v>46132</v>
      </c>
      <c r="D4296" t="inlineStr">
        <is>
          <t>ÖREBRO LÄN</t>
        </is>
      </c>
      <c r="E4296" t="inlineStr">
        <is>
          <t>LAXÅ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18047-2023</t>
        </is>
      </c>
      <c r="B4297" s="1" t="n">
        <v>45040</v>
      </c>
      <c r="C4297" s="1" t="n">
        <v>46132</v>
      </c>
      <c r="D4297" t="inlineStr">
        <is>
          <t>ÖREBRO LÄN</t>
        </is>
      </c>
      <c r="E4297" t="inlineStr">
        <is>
          <t>ÖREBRO</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37723-2023</t>
        </is>
      </c>
      <c r="B4298" s="1" t="n">
        <v>45159</v>
      </c>
      <c r="C4298" s="1" t="n">
        <v>46132</v>
      </c>
      <c r="D4298" t="inlineStr">
        <is>
          <t>ÖREBRO LÄN</t>
        </is>
      </c>
      <c r="E4298" t="inlineStr">
        <is>
          <t>HALLSBERG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4771-2023</t>
        </is>
      </c>
      <c r="B4299" s="1" t="n">
        <v>44957</v>
      </c>
      <c r="C4299" s="1" t="n">
        <v>46132</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4772-2023</t>
        </is>
      </c>
      <c r="B4300" s="1" t="n">
        <v>44957</v>
      </c>
      <c r="C4300" s="1" t="n">
        <v>46132</v>
      </c>
      <c r="D4300" t="inlineStr">
        <is>
          <t>ÖREBRO LÄN</t>
        </is>
      </c>
      <c r="E4300" t="inlineStr">
        <is>
          <t>LAXÅ</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3789-2023</t>
        </is>
      </c>
      <c r="B4301" s="1" t="n">
        <v>44951</v>
      </c>
      <c r="C4301" s="1" t="n">
        <v>46132</v>
      </c>
      <c r="D4301" t="inlineStr">
        <is>
          <t>ÖREBRO LÄN</t>
        </is>
      </c>
      <c r="E4301" t="inlineStr">
        <is>
          <t>ÖREBRO</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3872-2023</t>
        </is>
      </c>
      <c r="B4302" s="1" t="n">
        <v>44951</v>
      </c>
      <c r="C4302" s="1" t="n">
        <v>46132</v>
      </c>
      <c r="D4302" t="inlineStr">
        <is>
          <t>ÖREBRO LÄN</t>
        </is>
      </c>
      <c r="E4302" t="inlineStr">
        <is>
          <t>KUMLA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3602-2023</t>
        </is>
      </c>
      <c r="B4303" s="1" t="n">
        <v>44950.58821759259</v>
      </c>
      <c r="C4303" s="1" t="n">
        <v>46132</v>
      </c>
      <c r="D4303" t="inlineStr">
        <is>
          <t>ÖREBRO LÄN</t>
        </is>
      </c>
      <c r="E4303" t="inlineStr">
        <is>
          <t>LEKEBERG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42920-2024</t>
        </is>
      </c>
      <c r="B4304" s="1" t="n">
        <v>45567.29131944444</v>
      </c>
      <c r="C4304" s="1" t="n">
        <v>46132</v>
      </c>
      <c r="D4304" t="inlineStr">
        <is>
          <t>ÖREBRO LÄN</t>
        </is>
      </c>
      <c r="E4304" t="inlineStr">
        <is>
          <t>HÄLLEFORS</t>
        </is>
      </c>
      <c r="F4304" t="inlineStr">
        <is>
          <t>Bergvik skog väst AB</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20788-2023</t>
        </is>
      </c>
      <c r="B4305" s="1" t="n">
        <v>45058.59846064815</v>
      </c>
      <c r="C4305" s="1" t="n">
        <v>46132</v>
      </c>
      <c r="D4305" t="inlineStr">
        <is>
          <t>ÖREBRO LÄN</t>
        </is>
      </c>
      <c r="E4305" t="inlineStr">
        <is>
          <t>ASKERSUND</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42443-2024</t>
        </is>
      </c>
      <c r="B4306" s="1" t="n">
        <v>45565</v>
      </c>
      <c r="C4306" s="1" t="n">
        <v>46132</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8298-2022</t>
        </is>
      </c>
      <c r="B4307" s="1" t="n">
        <v>44610</v>
      </c>
      <c r="C4307" s="1" t="n">
        <v>46132</v>
      </c>
      <c r="D4307" t="inlineStr">
        <is>
          <t>ÖREBRO LÄN</t>
        </is>
      </c>
      <c r="E4307" t="inlineStr">
        <is>
          <t>ASKERSUND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8869-2022</t>
        </is>
      </c>
      <c r="B4308" s="1" t="n">
        <v>44614</v>
      </c>
      <c r="C4308" s="1" t="n">
        <v>46132</v>
      </c>
      <c r="D4308" t="inlineStr">
        <is>
          <t>ÖREBRO LÄN</t>
        </is>
      </c>
      <c r="E4308" t="inlineStr">
        <is>
          <t>HALLSBERG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16537-2024</t>
        </is>
      </c>
      <c r="B4309" s="1" t="n">
        <v>45408.43247685185</v>
      </c>
      <c r="C4309" s="1" t="n">
        <v>46132</v>
      </c>
      <c r="D4309" t="inlineStr">
        <is>
          <t>ÖREBRO LÄN</t>
        </is>
      </c>
      <c r="E4309" t="inlineStr">
        <is>
          <t>NORA</t>
        </is>
      </c>
      <c r="F4309" t="inlineStr">
        <is>
          <t>Kommuner</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61046-2023</t>
        </is>
      </c>
      <c r="B4310" s="1" t="n">
        <v>45261.58835648148</v>
      </c>
      <c r="C4310" s="1" t="n">
        <v>46132</v>
      </c>
      <c r="D4310" t="inlineStr">
        <is>
          <t>ÖREBRO LÄN</t>
        </is>
      </c>
      <c r="E4310" t="inlineStr">
        <is>
          <t>LAXÅ</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60141-2022</t>
        </is>
      </c>
      <c r="B4311" s="1" t="n">
        <v>44909.67884259259</v>
      </c>
      <c r="C4311" s="1" t="n">
        <v>46132</v>
      </c>
      <c r="D4311" t="inlineStr">
        <is>
          <t>ÖREBRO LÄN</t>
        </is>
      </c>
      <c r="E4311" t="inlineStr">
        <is>
          <t>ASKERSUND</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57069-2022</t>
        </is>
      </c>
      <c r="B4312" s="1" t="n">
        <v>44895</v>
      </c>
      <c r="C4312" s="1" t="n">
        <v>46132</v>
      </c>
      <c r="D4312" t="inlineStr">
        <is>
          <t>ÖREBRO LÄN</t>
        </is>
      </c>
      <c r="E4312" t="inlineStr">
        <is>
          <t>LINDESBERG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57090-2022</t>
        </is>
      </c>
      <c r="B4313" s="1" t="n">
        <v>44895.46328703704</v>
      </c>
      <c r="C4313" s="1" t="n">
        <v>46132</v>
      </c>
      <c r="D4313" t="inlineStr">
        <is>
          <t>ÖREBRO LÄN</t>
        </is>
      </c>
      <c r="E4313" t="inlineStr">
        <is>
          <t>LJUSNARSBERG</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61405-2022</t>
        </is>
      </c>
      <c r="B4314" s="1" t="n">
        <v>44916</v>
      </c>
      <c r="C4314" s="1" t="n">
        <v>46132</v>
      </c>
      <c r="D4314" t="inlineStr">
        <is>
          <t>ÖREBRO LÄN</t>
        </is>
      </c>
      <c r="E4314" t="inlineStr">
        <is>
          <t>LINDESBERG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67027-2021</t>
        </is>
      </c>
      <c r="B4315" s="1" t="n">
        <v>44522.66836805556</v>
      </c>
      <c r="C4315" s="1" t="n">
        <v>46132</v>
      </c>
      <c r="D4315" t="inlineStr">
        <is>
          <t>ÖREBRO LÄN</t>
        </is>
      </c>
      <c r="E4315" t="inlineStr">
        <is>
          <t>HÄLLEFORS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46132</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9961-2023</t>
        </is>
      </c>
      <c r="B4317" s="1" t="n">
        <v>44979</v>
      </c>
      <c r="C4317" s="1" t="n">
        <v>46132</v>
      </c>
      <c r="D4317" t="inlineStr">
        <is>
          <t>ÖREBRO LÄN</t>
        </is>
      </c>
      <c r="E4317" t="inlineStr">
        <is>
          <t>LINDESBERG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5026-2022</t>
        </is>
      </c>
      <c r="B4318" s="1" t="n">
        <v>44593.63974537037</v>
      </c>
      <c r="C4318" s="1" t="n">
        <v>46132</v>
      </c>
      <c r="D4318" t="inlineStr">
        <is>
          <t>ÖREBRO LÄN</t>
        </is>
      </c>
      <c r="E4318" t="inlineStr">
        <is>
          <t>ÖREBRO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195-2023</t>
        </is>
      </c>
      <c r="B4319" s="1" t="n">
        <v>44928</v>
      </c>
      <c r="C4319" s="1" t="n">
        <v>46132</v>
      </c>
      <c r="D4319" t="inlineStr">
        <is>
          <t>ÖREBRO LÄN</t>
        </is>
      </c>
      <c r="E4319" t="inlineStr">
        <is>
          <t>ASKERSUND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8606-2022</t>
        </is>
      </c>
      <c r="B4320" s="1" t="n">
        <v>44610</v>
      </c>
      <c r="C4320" s="1" t="n">
        <v>46132</v>
      </c>
      <c r="D4320" t="inlineStr">
        <is>
          <t>ÖREBRO LÄN</t>
        </is>
      </c>
      <c r="E4320" t="inlineStr">
        <is>
          <t>HALLSBERG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9009-2023</t>
        </is>
      </c>
      <c r="B4321" s="1" t="n">
        <v>44979</v>
      </c>
      <c r="C4321" s="1" t="n">
        <v>46132</v>
      </c>
      <c r="D4321" t="inlineStr">
        <is>
          <t>ÖREBRO LÄN</t>
        </is>
      </c>
      <c r="E4321" t="inlineStr">
        <is>
          <t>HÄLLEFORS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60518-2021</t>
        </is>
      </c>
      <c r="B4322" s="1" t="n">
        <v>44496.5028125</v>
      </c>
      <c r="C4322" s="1" t="n">
        <v>46132</v>
      </c>
      <c r="D4322" t="inlineStr">
        <is>
          <t>ÖREBRO LÄN</t>
        </is>
      </c>
      <c r="E4322" t="inlineStr">
        <is>
          <t>HÄLLEFORS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20344-2023</t>
        </is>
      </c>
      <c r="B4323" s="1" t="n">
        <v>45056</v>
      </c>
      <c r="C4323" s="1" t="n">
        <v>46132</v>
      </c>
      <c r="D4323" t="inlineStr">
        <is>
          <t>ÖREBRO LÄN</t>
        </is>
      </c>
      <c r="E4323" t="inlineStr">
        <is>
          <t>LEKEBERG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45041-2024</t>
        </is>
      </c>
      <c r="B4324" s="1" t="n">
        <v>45575.53690972222</v>
      </c>
      <c r="C4324" s="1" t="n">
        <v>46132</v>
      </c>
      <c r="D4324" t="inlineStr">
        <is>
          <t>ÖREBRO LÄN</t>
        </is>
      </c>
      <c r="E4324" t="inlineStr">
        <is>
          <t>LINDESBERG</t>
        </is>
      </c>
      <c r="F4324" t="inlineStr">
        <is>
          <t>Sveaskog</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45068-2024</t>
        </is>
      </c>
      <c r="B4325" s="1" t="n">
        <v>45575.56256944445</v>
      </c>
      <c r="C4325" s="1" t="n">
        <v>46132</v>
      </c>
      <c r="D4325" t="inlineStr">
        <is>
          <t>ÖREBRO LÄN</t>
        </is>
      </c>
      <c r="E4325" t="inlineStr">
        <is>
          <t>LINDESBERG</t>
        </is>
      </c>
      <c r="F4325" t="inlineStr">
        <is>
          <t>Sveaskog</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29680-2023</t>
        </is>
      </c>
      <c r="B4326" s="1" t="n">
        <v>45098</v>
      </c>
      <c r="C4326" s="1" t="n">
        <v>46132</v>
      </c>
      <c r="D4326" t="inlineStr">
        <is>
          <t>ÖREBRO LÄN</t>
        </is>
      </c>
      <c r="E4326" t="inlineStr">
        <is>
          <t>KUMLA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60959-2021</t>
        </is>
      </c>
      <c r="B4327" s="1" t="n">
        <v>44497</v>
      </c>
      <c r="C4327" s="1" t="n">
        <v>46132</v>
      </c>
      <c r="D4327" t="inlineStr">
        <is>
          <t>ÖREBRO LÄN</t>
        </is>
      </c>
      <c r="E4327" t="inlineStr">
        <is>
          <t>ASKERSUND</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26415-2024</t>
        </is>
      </c>
      <c r="B4328" s="1" t="n">
        <v>45469.456875</v>
      </c>
      <c r="C4328" s="1" t="n">
        <v>46132</v>
      </c>
      <c r="D4328" t="inlineStr">
        <is>
          <t>ÖREBRO LÄN</t>
        </is>
      </c>
      <c r="E4328" t="inlineStr">
        <is>
          <t>ASKERSUND</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1106-2024</t>
        </is>
      </c>
      <c r="B4329" s="1" t="n">
        <v>45302</v>
      </c>
      <c r="C4329" s="1" t="n">
        <v>46132</v>
      </c>
      <c r="D4329" t="inlineStr">
        <is>
          <t>ÖREBRO LÄN</t>
        </is>
      </c>
      <c r="E4329" t="inlineStr">
        <is>
          <t>KARLSKOGA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48860-2022</t>
        </is>
      </c>
      <c r="B4330" s="1" t="n">
        <v>44859.69508101852</v>
      </c>
      <c r="C4330" s="1" t="n">
        <v>46132</v>
      </c>
      <c r="D4330" t="inlineStr">
        <is>
          <t>ÖREBRO LÄN</t>
        </is>
      </c>
      <c r="E4330" t="inlineStr">
        <is>
          <t>ASKERSUND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25808-2022</t>
        </is>
      </c>
      <c r="B4331" s="1" t="n">
        <v>44733</v>
      </c>
      <c r="C4331" s="1" t="n">
        <v>46132</v>
      </c>
      <c r="D4331" t="inlineStr">
        <is>
          <t>ÖREBRO LÄN</t>
        </is>
      </c>
      <c r="E4331" t="inlineStr">
        <is>
          <t>ASKERSUND</t>
        </is>
      </c>
      <c r="F4331" t="inlineStr">
        <is>
          <t>Sveaskog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45365-2023</t>
        </is>
      </c>
      <c r="B4332" s="1" t="n">
        <v>45192.69640046296</v>
      </c>
      <c r="C4332" s="1" t="n">
        <v>46132</v>
      </c>
      <c r="D4332" t="inlineStr">
        <is>
          <t>ÖREBRO LÄN</t>
        </is>
      </c>
      <c r="E4332" t="inlineStr">
        <is>
          <t>DEGERFORS</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39419-2023</t>
        </is>
      </c>
      <c r="B4333" s="1" t="n">
        <v>45166.68493055556</v>
      </c>
      <c r="C4333" s="1" t="n">
        <v>46132</v>
      </c>
      <c r="D4333" t="inlineStr">
        <is>
          <t>ÖREBRO LÄN</t>
        </is>
      </c>
      <c r="E4333" t="inlineStr">
        <is>
          <t>LINDESBERG</t>
        </is>
      </c>
      <c r="F4333" t="inlineStr">
        <is>
          <t>Sveaskog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57645-2023</t>
        </is>
      </c>
      <c r="B4334" s="1" t="n">
        <v>45246</v>
      </c>
      <c r="C4334" s="1" t="n">
        <v>46132</v>
      </c>
      <c r="D4334" t="inlineStr">
        <is>
          <t>ÖREBRO LÄN</t>
        </is>
      </c>
      <c r="E4334" t="inlineStr">
        <is>
          <t>ASKERSUND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48707-2024</t>
        </is>
      </c>
      <c r="B4335" s="1" t="n">
        <v>45593.53480324074</v>
      </c>
      <c r="C4335" s="1" t="n">
        <v>46132</v>
      </c>
      <c r="D4335" t="inlineStr">
        <is>
          <t>ÖREBRO LÄN</t>
        </is>
      </c>
      <c r="E4335" t="inlineStr">
        <is>
          <t>KARLSKOGA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52131-2021</t>
        </is>
      </c>
      <c r="B4336" s="1" t="n">
        <v>44463</v>
      </c>
      <c r="C4336" s="1" t="n">
        <v>46132</v>
      </c>
      <c r="D4336" t="inlineStr">
        <is>
          <t>ÖREBRO LÄN</t>
        </is>
      </c>
      <c r="E4336" t="inlineStr">
        <is>
          <t>DEGERFORS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38552-2024</t>
        </is>
      </c>
      <c r="B4337" s="1" t="n">
        <v>45546.6125925926</v>
      </c>
      <c r="C4337" s="1" t="n">
        <v>46132</v>
      </c>
      <c r="D4337" t="inlineStr">
        <is>
          <t>ÖREBRO LÄN</t>
        </is>
      </c>
      <c r="E4337" t="inlineStr">
        <is>
          <t>LAXÅ</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8589-2022</t>
        </is>
      </c>
      <c r="B4338" s="1" t="n">
        <v>44613.55984953704</v>
      </c>
      <c r="C4338" s="1" t="n">
        <v>46132</v>
      </c>
      <c r="D4338" t="inlineStr">
        <is>
          <t>ÖREBRO LÄN</t>
        </is>
      </c>
      <c r="E4338" t="inlineStr">
        <is>
          <t>NORA</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18382-2023</t>
        </is>
      </c>
      <c r="B4339" s="1" t="n">
        <v>45042.27751157407</v>
      </c>
      <c r="C4339" s="1" t="n">
        <v>46132</v>
      </c>
      <c r="D4339" t="inlineStr">
        <is>
          <t>ÖREBRO LÄN</t>
        </is>
      </c>
      <c r="E4339" t="inlineStr">
        <is>
          <t>LEKEBERG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13168-2023</t>
        </is>
      </c>
      <c r="B4340" s="1" t="n">
        <v>45002</v>
      </c>
      <c r="C4340" s="1" t="n">
        <v>46132</v>
      </c>
      <c r="D4340" t="inlineStr">
        <is>
          <t>ÖREBRO LÄN</t>
        </is>
      </c>
      <c r="E4340" t="inlineStr">
        <is>
          <t>HALLSBERG</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54917-2023</t>
        </is>
      </c>
      <c r="B4341" s="1" t="n">
        <v>45229</v>
      </c>
      <c r="C4341" s="1" t="n">
        <v>46132</v>
      </c>
      <c r="D4341" t="inlineStr">
        <is>
          <t>ÖREBRO LÄN</t>
        </is>
      </c>
      <c r="E4341" t="inlineStr">
        <is>
          <t>ÖREBRO</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61677-2022</t>
        </is>
      </c>
      <c r="B4342" s="1" t="n">
        <v>44917.35619212963</v>
      </c>
      <c r="C4342" s="1" t="n">
        <v>46132</v>
      </c>
      <c r="D4342" t="inlineStr">
        <is>
          <t>ÖREBRO LÄN</t>
        </is>
      </c>
      <c r="E4342" t="inlineStr">
        <is>
          <t>LAXÅ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37672-2024</t>
        </is>
      </c>
      <c r="B4343" s="1" t="n">
        <v>45541.57966435186</v>
      </c>
      <c r="C4343" s="1" t="n">
        <v>46132</v>
      </c>
      <c r="D4343" t="inlineStr">
        <is>
          <t>ÖREBRO LÄN</t>
        </is>
      </c>
      <c r="E4343" t="inlineStr">
        <is>
          <t>DEGERFORS</t>
        </is>
      </c>
      <c r="F4343" t="inlineStr">
        <is>
          <t>Sveaskog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72329-2021</t>
        </is>
      </c>
      <c r="B4344" s="1" t="n">
        <v>44545.46072916667</v>
      </c>
      <c r="C4344" s="1" t="n">
        <v>46132</v>
      </c>
      <c r="D4344" t="inlineStr">
        <is>
          <t>ÖREBRO LÄN</t>
        </is>
      </c>
      <c r="E4344" t="inlineStr">
        <is>
          <t>ÖREBRO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43803-2023</t>
        </is>
      </c>
      <c r="B4345" s="1" t="n">
        <v>45187</v>
      </c>
      <c r="C4345" s="1" t="n">
        <v>46132</v>
      </c>
      <c r="D4345" t="inlineStr">
        <is>
          <t>ÖREBRO LÄN</t>
        </is>
      </c>
      <c r="E4345" t="inlineStr">
        <is>
          <t>ÖREBRO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40815-2024</t>
        </is>
      </c>
      <c r="B4346" s="1" t="n">
        <v>45558.55032407407</v>
      </c>
      <c r="C4346" s="1" t="n">
        <v>46132</v>
      </c>
      <c r="D4346" t="inlineStr">
        <is>
          <t>ÖREBRO LÄN</t>
        </is>
      </c>
      <c r="E4346" t="inlineStr">
        <is>
          <t>LAXÅ</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43471-2023</t>
        </is>
      </c>
      <c r="B4347" s="1" t="n">
        <v>45184.41854166667</v>
      </c>
      <c r="C4347" s="1" t="n">
        <v>46132</v>
      </c>
      <c r="D4347" t="inlineStr">
        <is>
          <t>ÖREBRO LÄN</t>
        </is>
      </c>
      <c r="E4347" t="inlineStr">
        <is>
          <t>ASKERSUND</t>
        </is>
      </c>
      <c r="F4347" t="inlineStr">
        <is>
          <t>Sveaskog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1607-2023</t>
        </is>
      </c>
      <c r="B4348" s="1" t="n">
        <v>44937</v>
      </c>
      <c r="C4348" s="1" t="n">
        <v>46132</v>
      </c>
      <c r="D4348" t="inlineStr">
        <is>
          <t>ÖREBRO LÄN</t>
        </is>
      </c>
      <c r="E4348" t="inlineStr">
        <is>
          <t>LEKEBERG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44735-2021</t>
        </is>
      </c>
      <c r="B4349" s="1" t="n">
        <v>44438</v>
      </c>
      <c r="C4349" s="1" t="n">
        <v>46132</v>
      </c>
      <c r="D4349" t="inlineStr">
        <is>
          <t>ÖREBRO LÄN</t>
        </is>
      </c>
      <c r="E4349" t="inlineStr">
        <is>
          <t>DEGERFORS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16476-2025</t>
        </is>
      </c>
      <c r="B4350" s="1" t="n">
        <v>45751.57092592592</v>
      </c>
      <c r="C4350" s="1" t="n">
        <v>46132</v>
      </c>
      <c r="D4350" t="inlineStr">
        <is>
          <t>ÖREBRO LÄN</t>
        </is>
      </c>
      <c r="E4350" t="inlineStr">
        <is>
          <t>KARLSKOGA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15789-2023</t>
        </is>
      </c>
      <c r="B4351" s="1" t="n">
        <v>45021.71539351852</v>
      </c>
      <c r="C4351" s="1" t="n">
        <v>46132</v>
      </c>
      <c r="D4351" t="inlineStr">
        <is>
          <t>ÖREBRO LÄN</t>
        </is>
      </c>
      <c r="E4351" t="inlineStr">
        <is>
          <t>ÖREBRO</t>
        </is>
      </c>
      <c r="F4351" t="inlineStr">
        <is>
          <t>Övriga Aktiebolag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58539-2024</t>
        </is>
      </c>
      <c r="B4352" s="1" t="n">
        <v>45635.45157407408</v>
      </c>
      <c r="C4352" s="1" t="n">
        <v>46132</v>
      </c>
      <c r="D4352" t="inlineStr">
        <is>
          <t>ÖREBRO LÄN</t>
        </is>
      </c>
      <c r="E4352" t="inlineStr">
        <is>
          <t>ÖREBRO</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15745-2024</t>
        </is>
      </c>
      <c r="B4353" s="1" t="n">
        <v>45404.55239583334</v>
      </c>
      <c r="C4353" s="1" t="n">
        <v>46132</v>
      </c>
      <c r="D4353" t="inlineStr">
        <is>
          <t>ÖREBRO LÄN</t>
        </is>
      </c>
      <c r="E4353" t="inlineStr">
        <is>
          <t>LINDESBERG</t>
        </is>
      </c>
      <c r="F4353" t="inlineStr">
        <is>
          <t>Sveaskog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15750-2024</t>
        </is>
      </c>
      <c r="B4354" s="1" t="n">
        <v>45404.55601851852</v>
      </c>
      <c r="C4354" s="1" t="n">
        <v>46132</v>
      </c>
      <c r="D4354" t="inlineStr">
        <is>
          <t>ÖREBRO LÄN</t>
        </is>
      </c>
      <c r="E4354" t="inlineStr">
        <is>
          <t>LINDESBERG</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15781-2024</t>
        </is>
      </c>
      <c r="B4355" s="1" t="n">
        <v>45404.60309027778</v>
      </c>
      <c r="C4355" s="1" t="n">
        <v>46132</v>
      </c>
      <c r="D4355" t="inlineStr">
        <is>
          <t>ÖREBRO LÄN</t>
        </is>
      </c>
      <c r="E4355" t="inlineStr">
        <is>
          <t>KUMLA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8278-2023</t>
        </is>
      </c>
      <c r="B4356" s="1" t="n">
        <v>44974.64246527778</v>
      </c>
      <c r="C4356" s="1" t="n">
        <v>46132</v>
      </c>
      <c r="D4356" t="inlineStr">
        <is>
          <t>ÖREBRO LÄN</t>
        </is>
      </c>
      <c r="E4356" t="inlineStr">
        <is>
          <t>HALLSBERG</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60115-2022</t>
        </is>
      </c>
      <c r="B4357" s="1" t="n">
        <v>44902</v>
      </c>
      <c r="C4357" s="1" t="n">
        <v>46132</v>
      </c>
      <c r="D4357" t="inlineStr">
        <is>
          <t>ÖREBRO LÄN</t>
        </is>
      </c>
      <c r="E4357" t="inlineStr">
        <is>
          <t>LINDESBERG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44210-2022</t>
        </is>
      </c>
      <c r="B4358" s="1" t="n">
        <v>44839.495</v>
      </c>
      <c r="C4358" s="1" t="n">
        <v>46132</v>
      </c>
      <c r="D4358" t="inlineStr">
        <is>
          <t>ÖREBRO LÄN</t>
        </is>
      </c>
      <c r="E4358" t="inlineStr">
        <is>
          <t>HALLSBERG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59757-2023</t>
        </is>
      </c>
      <c r="B4359" s="1" t="n">
        <v>45257.40833333333</v>
      </c>
      <c r="C4359" s="1" t="n">
        <v>46132</v>
      </c>
      <c r="D4359" t="inlineStr">
        <is>
          <t>ÖREBRO LÄN</t>
        </is>
      </c>
      <c r="E4359" t="inlineStr">
        <is>
          <t>ÖREBRO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17869-2024</t>
        </is>
      </c>
      <c r="B4360" s="1" t="n">
        <v>45419</v>
      </c>
      <c r="C4360" s="1" t="n">
        <v>46132</v>
      </c>
      <c r="D4360" t="inlineStr">
        <is>
          <t>ÖREBRO LÄN</t>
        </is>
      </c>
      <c r="E4360" t="inlineStr">
        <is>
          <t>ÖREBRO</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43679-2022</t>
        </is>
      </c>
      <c r="B4361" s="1" t="n">
        <v>44837</v>
      </c>
      <c r="C4361" s="1" t="n">
        <v>46132</v>
      </c>
      <c r="D4361" t="inlineStr">
        <is>
          <t>ÖREBRO LÄN</t>
        </is>
      </c>
      <c r="E4361" t="inlineStr">
        <is>
          <t>HALLSBERG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12053-2022</t>
        </is>
      </c>
      <c r="B4362" s="1" t="n">
        <v>44636</v>
      </c>
      <c r="C4362" s="1" t="n">
        <v>46132</v>
      </c>
      <c r="D4362" t="inlineStr">
        <is>
          <t>ÖREBRO LÄN</t>
        </is>
      </c>
      <c r="E4362" t="inlineStr">
        <is>
          <t>HALLSBERG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29857-2023</t>
        </is>
      </c>
      <c r="B4363" s="1" t="n">
        <v>45107</v>
      </c>
      <c r="C4363" s="1" t="n">
        <v>46132</v>
      </c>
      <c r="D4363" t="inlineStr">
        <is>
          <t>ÖREBRO LÄN</t>
        </is>
      </c>
      <c r="E4363" t="inlineStr">
        <is>
          <t>LINDESBERG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28860-2021</t>
        </is>
      </c>
      <c r="B4364" s="1" t="n">
        <v>44357.68817129629</v>
      </c>
      <c r="C4364" s="1" t="n">
        <v>46132</v>
      </c>
      <c r="D4364" t="inlineStr">
        <is>
          <t>ÖREBRO LÄN</t>
        </is>
      </c>
      <c r="E4364" t="inlineStr">
        <is>
          <t>LAXÅ</t>
        </is>
      </c>
      <c r="F4364" t="inlineStr">
        <is>
          <t>Sveaskog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71272-2021</t>
        </is>
      </c>
      <c r="B4365" s="1" t="n">
        <v>44539.61571759259</v>
      </c>
      <c r="C4365" s="1" t="n">
        <v>46132</v>
      </c>
      <c r="D4365" t="inlineStr">
        <is>
          <t>ÖREBRO LÄN</t>
        </is>
      </c>
      <c r="E4365" t="inlineStr">
        <is>
          <t>ÖREBRO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44664-2023</t>
        </is>
      </c>
      <c r="B4366" s="1" t="n">
        <v>45189</v>
      </c>
      <c r="C4366" s="1" t="n">
        <v>46132</v>
      </c>
      <c r="D4366" t="inlineStr">
        <is>
          <t>ÖREBRO LÄN</t>
        </is>
      </c>
      <c r="E4366" t="inlineStr">
        <is>
          <t>LINDESBERG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4557-2023</t>
        </is>
      </c>
      <c r="B4367" s="1" t="n">
        <v>44956.6655787037</v>
      </c>
      <c r="C4367" s="1" t="n">
        <v>46132</v>
      </c>
      <c r="D4367" t="inlineStr">
        <is>
          <t>ÖREBRO LÄN</t>
        </is>
      </c>
      <c r="E4367" t="inlineStr">
        <is>
          <t>ÖREBRO</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60100-2022</t>
        </is>
      </c>
      <c r="B4368" s="1" t="n">
        <v>44902</v>
      </c>
      <c r="C4368" s="1" t="n">
        <v>46132</v>
      </c>
      <c r="D4368" t="inlineStr">
        <is>
          <t>ÖREBRO LÄN</t>
        </is>
      </c>
      <c r="E4368" t="inlineStr">
        <is>
          <t>ÖREBRO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31480-2021</t>
        </is>
      </c>
      <c r="B4369" s="1" t="n">
        <v>44369</v>
      </c>
      <c r="C4369" s="1" t="n">
        <v>46132</v>
      </c>
      <c r="D4369" t="inlineStr">
        <is>
          <t>ÖREBRO LÄN</t>
        </is>
      </c>
      <c r="E4369" t="inlineStr">
        <is>
          <t>HALLSBERG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18610-2021</t>
        </is>
      </c>
      <c r="B4370" s="1" t="n">
        <v>44306.6371412037</v>
      </c>
      <c r="C4370" s="1" t="n">
        <v>46132</v>
      </c>
      <c r="D4370" t="inlineStr">
        <is>
          <t>ÖREBRO LÄN</t>
        </is>
      </c>
      <c r="E4370" t="inlineStr">
        <is>
          <t>LINDESBERG</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17465-2023</t>
        </is>
      </c>
      <c r="B4371" s="1" t="n">
        <v>45036</v>
      </c>
      <c r="C4371" s="1" t="n">
        <v>46132</v>
      </c>
      <c r="D4371" t="inlineStr">
        <is>
          <t>ÖREBRO LÄN</t>
        </is>
      </c>
      <c r="E4371" t="inlineStr">
        <is>
          <t>ÖREBRO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19026-2021</t>
        </is>
      </c>
      <c r="B4372" s="1" t="n">
        <v>44308</v>
      </c>
      <c r="C4372" s="1" t="n">
        <v>46132</v>
      </c>
      <c r="D4372" t="inlineStr">
        <is>
          <t>ÖREBRO LÄN</t>
        </is>
      </c>
      <c r="E4372" t="inlineStr">
        <is>
          <t>LINDESBERG</t>
        </is>
      </c>
      <c r="F4372" t="inlineStr">
        <is>
          <t>Sveaskog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62594-2023</t>
        </is>
      </c>
      <c r="B4373" s="1" t="n">
        <v>45271.2524537037</v>
      </c>
      <c r="C4373" s="1" t="n">
        <v>46132</v>
      </c>
      <c r="D4373" t="inlineStr">
        <is>
          <t>ÖREBRO LÄN</t>
        </is>
      </c>
      <c r="E4373" t="inlineStr">
        <is>
          <t>LAXÅ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52016-2024</t>
        </is>
      </c>
      <c r="B4374" s="1" t="n">
        <v>45607.81917824074</v>
      </c>
      <c r="C4374" s="1" t="n">
        <v>46132</v>
      </c>
      <c r="D4374" t="inlineStr">
        <is>
          <t>ÖREBRO LÄN</t>
        </is>
      </c>
      <c r="E4374" t="inlineStr">
        <is>
          <t>ÖREBRO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14456-2023</t>
        </is>
      </c>
      <c r="B4375" s="1" t="n">
        <v>45012.62157407407</v>
      </c>
      <c r="C4375" s="1" t="n">
        <v>46132</v>
      </c>
      <c r="D4375" t="inlineStr">
        <is>
          <t>ÖREBRO LÄN</t>
        </is>
      </c>
      <c r="E4375" t="inlineStr">
        <is>
          <t>HALLSBERG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52379-2023</t>
        </is>
      </c>
      <c r="B4376" s="1" t="n">
        <v>45224</v>
      </c>
      <c r="C4376" s="1" t="n">
        <v>46132</v>
      </c>
      <c r="D4376" t="inlineStr">
        <is>
          <t>ÖREBRO LÄN</t>
        </is>
      </c>
      <c r="E4376" t="inlineStr">
        <is>
          <t>NORA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38615-2024</t>
        </is>
      </c>
      <c r="B4377" s="1" t="n">
        <v>45546.70100694444</v>
      </c>
      <c r="C4377" s="1" t="n">
        <v>46132</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52477-2024</t>
        </is>
      </c>
      <c r="B4378" s="1" t="n">
        <v>45609</v>
      </c>
      <c r="C4378" s="1" t="n">
        <v>46132</v>
      </c>
      <c r="D4378" t="inlineStr">
        <is>
          <t>ÖREBRO LÄN</t>
        </is>
      </c>
      <c r="E4378" t="inlineStr">
        <is>
          <t>ÖREBRO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47535-2022</t>
        </is>
      </c>
      <c r="B4379" s="1" t="n">
        <v>44853.79818287037</v>
      </c>
      <c r="C4379" s="1" t="n">
        <v>46132</v>
      </c>
      <c r="D4379" t="inlineStr">
        <is>
          <t>ÖREBRO LÄN</t>
        </is>
      </c>
      <c r="E4379" t="inlineStr">
        <is>
          <t>LINDESBERG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64615-2023</t>
        </is>
      </c>
      <c r="B4380" s="1" t="n">
        <v>45281.52231481481</v>
      </c>
      <c r="C4380" s="1" t="n">
        <v>46132</v>
      </c>
      <c r="D4380" t="inlineStr">
        <is>
          <t>ÖREBRO LÄN</t>
        </is>
      </c>
      <c r="E4380" t="inlineStr">
        <is>
          <t>LEKEBERG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46398-2021</t>
        </is>
      </c>
      <c r="B4381" s="1" t="n">
        <v>44443.77010416667</v>
      </c>
      <c r="C4381" s="1" t="n">
        <v>46132</v>
      </c>
      <c r="D4381" t="inlineStr">
        <is>
          <t>ÖREBRO LÄN</t>
        </is>
      </c>
      <c r="E4381" t="inlineStr">
        <is>
          <t>LEKEBERG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53558-2023</t>
        </is>
      </c>
      <c r="B4382" s="1" t="n">
        <v>45230.47266203703</v>
      </c>
      <c r="C4382" s="1" t="n">
        <v>46132</v>
      </c>
      <c r="D4382" t="inlineStr">
        <is>
          <t>ÖREBRO LÄN</t>
        </is>
      </c>
      <c r="E4382" t="inlineStr">
        <is>
          <t>ÖREBRO</t>
        </is>
      </c>
      <c r="F4382" t="inlineStr">
        <is>
          <t>Övriga Aktiebolag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30830-2024</t>
        </is>
      </c>
      <c r="B4383" s="1" t="n">
        <v>45497</v>
      </c>
      <c r="C4383" s="1" t="n">
        <v>46132</v>
      </c>
      <c r="D4383" t="inlineStr">
        <is>
          <t>ÖREBRO LÄN</t>
        </is>
      </c>
      <c r="E4383" t="inlineStr">
        <is>
          <t>LINDESBERG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43886-2024</t>
        </is>
      </c>
      <c r="B4384" s="1" t="n">
        <v>45572.40844907407</v>
      </c>
      <c r="C4384" s="1" t="n">
        <v>46132</v>
      </c>
      <c r="D4384" t="inlineStr">
        <is>
          <t>ÖREBRO LÄN</t>
        </is>
      </c>
      <c r="E4384" t="inlineStr">
        <is>
          <t>HÄLLEFORS</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5674-2023</t>
        </is>
      </c>
      <c r="B4385" s="1" t="n">
        <v>44960.66104166667</v>
      </c>
      <c r="C4385" s="1" t="n">
        <v>46132</v>
      </c>
      <c r="D4385" t="inlineStr">
        <is>
          <t>ÖREBRO LÄN</t>
        </is>
      </c>
      <c r="E4385" t="inlineStr">
        <is>
          <t>NORA</t>
        </is>
      </c>
      <c r="F4385" t="inlineStr">
        <is>
          <t>Kyrkan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59395-2022</t>
        </is>
      </c>
      <c r="B4386" s="1" t="n">
        <v>44906.73321759259</v>
      </c>
      <c r="C4386" s="1" t="n">
        <v>46132</v>
      </c>
      <c r="D4386" t="inlineStr">
        <is>
          <t>ÖREBRO LÄN</t>
        </is>
      </c>
      <c r="E4386" t="inlineStr">
        <is>
          <t>LINDESBERG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35843-2022</t>
        </is>
      </c>
      <c r="B4387" s="1" t="n">
        <v>44802</v>
      </c>
      <c r="C4387" s="1" t="n">
        <v>46132</v>
      </c>
      <c r="D4387" t="inlineStr">
        <is>
          <t>ÖREBRO LÄN</t>
        </is>
      </c>
      <c r="E4387" t="inlineStr">
        <is>
          <t>ÖREBRO</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38564-2022</t>
        </is>
      </c>
      <c r="B4388" s="1" t="n">
        <v>44813</v>
      </c>
      <c r="C4388" s="1" t="n">
        <v>46132</v>
      </c>
      <c r="D4388" t="inlineStr">
        <is>
          <t>ÖREBRO LÄN</t>
        </is>
      </c>
      <c r="E4388" t="inlineStr">
        <is>
          <t>LAXÅ</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56464-2024</t>
        </is>
      </c>
      <c r="B4389" s="1" t="n">
        <v>45624</v>
      </c>
      <c r="C4389" s="1" t="n">
        <v>46132</v>
      </c>
      <c r="D4389" t="inlineStr">
        <is>
          <t>ÖREBRO LÄN</t>
        </is>
      </c>
      <c r="E4389" t="inlineStr">
        <is>
          <t>DEGERFORS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54093-2023</t>
        </is>
      </c>
      <c r="B4390" s="1" t="n">
        <v>45225</v>
      </c>
      <c r="C4390" s="1" t="n">
        <v>46132</v>
      </c>
      <c r="D4390" t="inlineStr">
        <is>
          <t>ÖREBRO LÄN</t>
        </is>
      </c>
      <c r="E4390" t="inlineStr">
        <is>
          <t>LAXÅ</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12018-2025</t>
        </is>
      </c>
      <c r="B4391" s="1" t="n">
        <v>45728.6249537037</v>
      </c>
      <c r="C4391" s="1" t="n">
        <v>46132</v>
      </c>
      <c r="D4391" t="inlineStr">
        <is>
          <t>ÖREBRO LÄN</t>
        </is>
      </c>
      <c r="E4391" t="inlineStr">
        <is>
          <t>HALLSBERG</t>
        </is>
      </c>
      <c r="F4391" t="inlineStr">
        <is>
          <t>Sveaskog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64614-2021</t>
        </is>
      </c>
      <c r="B4392" s="1" t="n">
        <v>44511</v>
      </c>
      <c r="C4392" s="1" t="n">
        <v>46132</v>
      </c>
      <c r="D4392" t="inlineStr">
        <is>
          <t>ÖREBRO LÄN</t>
        </is>
      </c>
      <c r="E4392" t="inlineStr">
        <is>
          <t>ASKERSUND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55272-2023</t>
        </is>
      </c>
      <c r="B4393" s="1" t="n">
        <v>45237.67819444444</v>
      </c>
      <c r="C4393" s="1" t="n">
        <v>46132</v>
      </c>
      <c r="D4393" t="inlineStr">
        <is>
          <t>ÖREBRO LÄN</t>
        </is>
      </c>
      <c r="E4393" t="inlineStr">
        <is>
          <t>LINDESBERG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5917-2023</t>
        </is>
      </c>
      <c r="B4394" s="1" t="n">
        <v>44963.68445601852</v>
      </c>
      <c r="C4394" s="1" t="n">
        <v>46132</v>
      </c>
      <c r="D4394" t="inlineStr">
        <is>
          <t>ÖREBRO LÄN</t>
        </is>
      </c>
      <c r="E4394" t="inlineStr">
        <is>
          <t>LAXÅ</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13021-2024</t>
        </is>
      </c>
      <c r="B4395" s="1" t="n">
        <v>45385.58356481481</v>
      </c>
      <c r="C4395" s="1" t="n">
        <v>46132</v>
      </c>
      <c r="D4395" t="inlineStr">
        <is>
          <t>ÖREBRO LÄN</t>
        </is>
      </c>
      <c r="E4395" t="inlineStr">
        <is>
          <t>LAXÅ</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35470-2024</t>
        </is>
      </c>
      <c r="B4396" s="1" t="n">
        <v>45531.46973379629</v>
      </c>
      <c r="C4396" s="1" t="n">
        <v>46132</v>
      </c>
      <c r="D4396" t="inlineStr">
        <is>
          <t>ÖREBRO LÄN</t>
        </is>
      </c>
      <c r="E4396" t="inlineStr">
        <is>
          <t>KARLSKOGA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2565-2022</t>
        </is>
      </c>
      <c r="B4397" s="1" t="n">
        <v>44579</v>
      </c>
      <c r="C4397" s="1" t="n">
        <v>46132</v>
      </c>
      <c r="D4397" t="inlineStr">
        <is>
          <t>ÖREBRO LÄN</t>
        </is>
      </c>
      <c r="E4397" t="inlineStr">
        <is>
          <t>DEGERFORS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41551-2024</t>
        </is>
      </c>
      <c r="B4398" s="1" t="n">
        <v>45560</v>
      </c>
      <c r="C4398" s="1" t="n">
        <v>46132</v>
      </c>
      <c r="D4398" t="inlineStr">
        <is>
          <t>ÖREBRO LÄN</t>
        </is>
      </c>
      <c r="E4398" t="inlineStr">
        <is>
          <t>LEKEBERG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18888-2025</t>
        </is>
      </c>
      <c r="B4399" s="1" t="n">
        <v>45764.44396990741</v>
      </c>
      <c r="C4399" s="1" t="n">
        <v>46132</v>
      </c>
      <c r="D4399" t="inlineStr">
        <is>
          <t>ÖREBRO LÄN</t>
        </is>
      </c>
      <c r="E4399" t="inlineStr">
        <is>
          <t>HÄLLEFORS</t>
        </is>
      </c>
      <c r="F4399" t="inlineStr">
        <is>
          <t>Bergvik skog väst AB</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44650-2024</t>
        </is>
      </c>
      <c r="B4400" s="1" t="n">
        <v>45574</v>
      </c>
      <c r="C4400" s="1" t="n">
        <v>46132</v>
      </c>
      <c r="D4400" t="inlineStr">
        <is>
          <t>ÖREBRO LÄN</t>
        </is>
      </c>
      <c r="E4400" t="inlineStr">
        <is>
          <t>LEKEBERG</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6876-2023</t>
        </is>
      </c>
      <c r="B4401" s="1" t="n">
        <v>44967.47450231481</v>
      </c>
      <c r="C4401" s="1" t="n">
        <v>46132</v>
      </c>
      <c r="D4401" t="inlineStr">
        <is>
          <t>ÖREBRO LÄN</t>
        </is>
      </c>
      <c r="E4401" t="inlineStr">
        <is>
          <t>HALLSBERG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53597-2024</t>
        </is>
      </c>
      <c r="B4402" s="1" t="n">
        <v>45614.68083333333</v>
      </c>
      <c r="C4402" s="1" t="n">
        <v>46132</v>
      </c>
      <c r="D4402" t="inlineStr">
        <is>
          <t>ÖREBRO LÄN</t>
        </is>
      </c>
      <c r="E4402" t="inlineStr">
        <is>
          <t>LINDESBERG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58139-2021</t>
        </is>
      </c>
      <c r="B4403" s="1" t="n">
        <v>44487</v>
      </c>
      <c r="C4403" s="1" t="n">
        <v>46132</v>
      </c>
      <c r="D4403" t="inlineStr">
        <is>
          <t>ÖREBRO LÄN</t>
        </is>
      </c>
      <c r="E4403" t="inlineStr">
        <is>
          <t>ASKERSUND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34535-2024</t>
        </is>
      </c>
      <c r="B4404" s="1" t="n">
        <v>45525</v>
      </c>
      <c r="C4404" s="1" t="n">
        <v>46132</v>
      </c>
      <c r="D4404" t="inlineStr">
        <is>
          <t>ÖREBRO LÄN</t>
        </is>
      </c>
      <c r="E4404" t="inlineStr">
        <is>
          <t>LAXÅ</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7256-2023</t>
        </is>
      </c>
      <c r="B4405" s="1" t="n">
        <v>44970.63328703704</v>
      </c>
      <c r="C4405" s="1" t="n">
        <v>46132</v>
      </c>
      <c r="D4405" t="inlineStr">
        <is>
          <t>ÖREBRO LÄN</t>
        </is>
      </c>
      <c r="E4405" t="inlineStr">
        <is>
          <t>ASKERSUND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35675-2023</t>
        </is>
      </c>
      <c r="B4406" s="1" t="n">
        <v>45147</v>
      </c>
      <c r="C4406" s="1" t="n">
        <v>46132</v>
      </c>
      <c r="D4406" t="inlineStr">
        <is>
          <t>ÖREBRO LÄN</t>
        </is>
      </c>
      <c r="E4406" t="inlineStr">
        <is>
          <t>NORA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27576-2024</t>
        </is>
      </c>
      <c r="B4407" s="1" t="n">
        <v>45474.65005787037</v>
      </c>
      <c r="C4407" s="1" t="n">
        <v>46132</v>
      </c>
      <c r="D4407" t="inlineStr">
        <is>
          <t>ÖREBRO LÄN</t>
        </is>
      </c>
      <c r="E4407" t="inlineStr">
        <is>
          <t>LINDESBERG</t>
        </is>
      </c>
      <c r="F4407" t="inlineStr">
        <is>
          <t>Kyrkan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31957-2024</t>
        </is>
      </c>
      <c r="B4408" s="1" t="n">
        <v>45510.49798611111</v>
      </c>
      <c r="C4408" s="1" t="n">
        <v>46132</v>
      </c>
      <c r="D4408" t="inlineStr">
        <is>
          <t>ÖREBRO LÄN</t>
        </is>
      </c>
      <c r="E4408" t="inlineStr">
        <is>
          <t>NORA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21986-2023</t>
        </is>
      </c>
      <c r="B4409" s="1" t="n">
        <v>45068</v>
      </c>
      <c r="C4409" s="1" t="n">
        <v>46132</v>
      </c>
      <c r="D4409" t="inlineStr">
        <is>
          <t>ÖREBRO LÄN</t>
        </is>
      </c>
      <c r="E4409" t="inlineStr">
        <is>
          <t>LINDESBERG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44528-2021</t>
        </is>
      </c>
      <c r="B4410" s="1" t="n">
        <v>44435.62600694445</v>
      </c>
      <c r="C4410" s="1" t="n">
        <v>46132</v>
      </c>
      <c r="D4410" t="inlineStr">
        <is>
          <t>ÖREBRO LÄN</t>
        </is>
      </c>
      <c r="E4410" t="inlineStr">
        <is>
          <t>ASKERSUND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50101-2024</t>
        </is>
      </c>
      <c r="B4411" s="1" t="n">
        <v>45599</v>
      </c>
      <c r="C4411" s="1" t="n">
        <v>46132</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26121-2023</t>
        </is>
      </c>
      <c r="B4412" s="1" t="n">
        <v>45091.44384259259</v>
      </c>
      <c r="C4412" s="1" t="n">
        <v>46132</v>
      </c>
      <c r="D4412" t="inlineStr">
        <is>
          <t>ÖREBRO LÄN</t>
        </is>
      </c>
      <c r="E4412" t="inlineStr">
        <is>
          <t>LEKEBERG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7374-2022</t>
        </is>
      </c>
      <c r="B4413" s="1" t="n">
        <v>44606.59967592593</v>
      </c>
      <c r="C4413" s="1" t="n">
        <v>46132</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52930-2024</t>
        </is>
      </c>
      <c r="B4414" s="1" t="n">
        <v>45610.7466087963</v>
      </c>
      <c r="C4414" s="1" t="n">
        <v>46132</v>
      </c>
      <c r="D4414" t="inlineStr">
        <is>
          <t>ÖREBRO LÄN</t>
        </is>
      </c>
      <c r="E4414" t="inlineStr">
        <is>
          <t>LINDESBERG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51373-2023</t>
        </is>
      </c>
      <c r="B4415" s="1" t="n">
        <v>45213</v>
      </c>
      <c r="C4415" s="1" t="n">
        <v>46132</v>
      </c>
      <c r="D4415" t="inlineStr">
        <is>
          <t>ÖREBRO LÄN</t>
        </is>
      </c>
      <c r="E4415" t="inlineStr">
        <is>
          <t>ÖREBRO</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2991-2023</t>
        </is>
      </c>
      <c r="B4416" s="1" t="n">
        <v>44945.72797453704</v>
      </c>
      <c r="C4416" s="1" t="n">
        <v>46132</v>
      </c>
      <c r="D4416" t="inlineStr">
        <is>
          <t>ÖREBRO LÄN</t>
        </is>
      </c>
      <c r="E4416" t="inlineStr">
        <is>
          <t>ASKERSUND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2103-2022</t>
        </is>
      </c>
      <c r="B4417" s="1" t="n">
        <v>44577.81121527778</v>
      </c>
      <c r="C4417" s="1" t="n">
        <v>46132</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30591-2024</t>
        </is>
      </c>
      <c r="B4418" s="1" t="n">
        <v>45493.3153125</v>
      </c>
      <c r="C4418" s="1" t="n">
        <v>46132</v>
      </c>
      <c r="D4418" t="inlineStr">
        <is>
          <t>ÖREBRO LÄN</t>
        </is>
      </c>
      <c r="E4418" t="inlineStr">
        <is>
          <t>HÄLLEFORS</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17276-2023</t>
        </is>
      </c>
      <c r="B4419" s="1" t="n">
        <v>45035</v>
      </c>
      <c r="C4419" s="1" t="n">
        <v>46132</v>
      </c>
      <c r="D4419" t="inlineStr">
        <is>
          <t>ÖREBRO LÄN</t>
        </is>
      </c>
      <c r="E4419" t="inlineStr">
        <is>
          <t>LJUSNARSBERG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1257-2022</t>
        </is>
      </c>
      <c r="B4420" s="1" t="n">
        <v>44572</v>
      </c>
      <c r="C4420" s="1" t="n">
        <v>46132</v>
      </c>
      <c r="D4420" t="inlineStr">
        <is>
          <t>ÖREBRO LÄN</t>
        </is>
      </c>
      <c r="E4420" t="inlineStr">
        <is>
          <t>ÖREBRO</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46580-2024</t>
        </is>
      </c>
      <c r="B4421" s="1" t="n">
        <v>45582.75087962963</v>
      </c>
      <c r="C4421" s="1" t="n">
        <v>46132</v>
      </c>
      <c r="D4421" t="inlineStr">
        <is>
          <t>ÖREBRO LÄN</t>
        </is>
      </c>
      <c r="E4421" t="inlineStr">
        <is>
          <t>HALLSBERG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40656-2023</t>
        </is>
      </c>
      <c r="B4422" s="1" t="n">
        <v>45170</v>
      </c>
      <c r="C4422" s="1" t="n">
        <v>46132</v>
      </c>
      <c r="D4422" t="inlineStr">
        <is>
          <t>ÖREBRO LÄN</t>
        </is>
      </c>
      <c r="E4422" t="inlineStr">
        <is>
          <t>ÖREBRO</t>
        </is>
      </c>
      <c r="F4422" t="inlineStr">
        <is>
          <t>Övriga Aktiebolag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54860-2024</t>
        </is>
      </c>
      <c r="B4423" s="1" t="n">
        <v>45618.59219907408</v>
      </c>
      <c r="C4423" s="1" t="n">
        <v>46132</v>
      </c>
      <c r="D4423" t="inlineStr">
        <is>
          <t>ÖREBRO LÄN</t>
        </is>
      </c>
      <c r="E4423" t="inlineStr">
        <is>
          <t>LINDESBERG</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11467-2024</t>
        </is>
      </c>
      <c r="B4424" s="1" t="n">
        <v>45372.59753472222</v>
      </c>
      <c r="C4424" s="1" t="n">
        <v>46132</v>
      </c>
      <c r="D4424" t="inlineStr">
        <is>
          <t>ÖREBRO LÄN</t>
        </is>
      </c>
      <c r="E4424" t="inlineStr">
        <is>
          <t>HÄLLEFORS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14008-2024</t>
        </is>
      </c>
      <c r="B4425" s="1" t="n">
        <v>45392.47633101852</v>
      </c>
      <c r="C4425" s="1" t="n">
        <v>46132</v>
      </c>
      <c r="D4425" t="inlineStr">
        <is>
          <t>ÖREBRO LÄN</t>
        </is>
      </c>
      <c r="E4425" t="inlineStr">
        <is>
          <t>LAXÅ</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11968-2023</t>
        </is>
      </c>
      <c r="B4426" s="1" t="n">
        <v>44995.5708912037</v>
      </c>
      <c r="C4426" s="1" t="n">
        <v>46132</v>
      </c>
      <c r="D4426" t="inlineStr">
        <is>
          <t>ÖREBRO LÄN</t>
        </is>
      </c>
      <c r="E4426" t="inlineStr">
        <is>
          <t>ASKERSUND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22677-2022</t>
        </is>
      </c>
      <c r="B4427" s="1" t="n">
        <v>44714</v>
      </c>
      <c r="C4427" s="1" t="n">
        <v>46132</v>
      </c>
      <c r="D4427" t="inlineStr">
        <is>
          <t>ÖREBRO LÄN</t>
        </is>
      </c>
      <c r="E4427" t="inlineStr">
        <is>
          <t>ÖREBRO</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2445-2025</t>
        </is>
      </c>
      <c r="B4428" s="1" t="n">
        <v>45674</v>
      </c>
      <c r="C4428" s="1" t="n">
        <v>46132</v>
      </c>
      <c r="D4428" t="inlineStr">
        <is>
          <t>ÖREBRO LÄN</t>
        </is>
      </c>
      <c r="E4428" t="inlineStr">
        <is>
          <t>ASKERSUND</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14288-2023</t>
        </is>
      </c>
      <c r="B4429" s="1" t="n">
        <v>45010</v>
      </c>
      <c r="C4429" s="1" t="n">
        <v>46132</v>
      </c>
      <c r="D4429" t="inlineStr">
        <is>
          <t>ÖREBRO LÄN</t>
        </is>
      </c>
      <c r="E4429" t="inlineStr">
        <is>
          <t>HALLSBERG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19751-2024</t>
        </is>
      </c>
      <c r="B4430" s="1" t="n">
        <v>45432.66449074074</v>
      </c>
      <c r="C4430" s="1" t="n">
        <v>46132</v>
      </c>
      <c r="D4430" t="inlineStr">
        <is>
          <t>ÖREBRO LÄN</t>
        </is>
      </c>
      <c r="E4430" t="inlineStr">
        <is>
          <t>HALLSBERG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17399-2023</t>
        </is>
      </c>
      <c r="B4431" s="1" t="n">
        <v>45035.6899537037</v>
      </c>
      <c r="C4431" s="1" t="n">
        <v>46132</v>
      </c>
      <c r="D4431" t="inlineStr">
        <is>
          <t>ÖREBRO LÄN</t>
        </is>
      </c>
      <c r="E4431" t="inlineStr">
        <is>
          <t>ASKERSUND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71288-2021</t>
        </is>
      </c>
      <c r="B4432" s="1" t="n">
        <v>44539.62481481482</v>
      </c>
      <c r="C4432" s="1" t="n">
        <v>46132</v>
      </c>
      <c r="D4432" t="inlineStr">
        <is>
          <t>ÖREBRO LÄN</t>
        </is>
      </c>
      <c r="E4432" t="inlineStr">
        <is>
          <t>ÖREBRO</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10830-2023</t>
        </is>
      </c>
      <c r="B4433" s="1" t="n">
        <v>44990.89752314815</v>
      </c>
      <c r="C4433" s="1" t="n">
        <v>46132</v>
      </c>
      <c r="D4433" t="inlineStr">
        <is>
          <t>ÖREBRO LÄN</t>
        </is>
      </c>
      <c r="E4433" t="inlineStr">
        <is>
          <t>ÖREBRO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7692-2023</t>
        </is>
      </c>
      <c r="B4434" s="1" t="n">
        <v>44972.7762962963</v>
      </c>
      <c r="C4434" s="1" t="n">
        <v>46132</v>
      </c>
      <c r="D4434" t="inlineStr">
        <is>
          <t>ÖREBRO LÄN</t>
        </is>
      </c>
      <c r="E4434" t="inlineStr">
        <is>
          <t>ÖREBRO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54876-2024</t>
        </is>
      </c>
      <c r="B4435" s="1" t="n">
        <v>45618.60305555556</v>
      </c>
      <c r="C4435" s="1" t="n">
        <v>46132</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28112-2022</t>
        </is>
      </c>
      <c r="B4436" s="1" t="n">
        <v>44746.49515046296</v>
      </c>
      <c r="C4436" s="1" t="n">
        <v>46132</v>
      </c>
      <c r="D4436" t="inlineStr">
        <is>
          <t>ÖREBRO LÄN</t>
        </is>
      </c>
      <c r="E4436" t="inlineStr">
        <is>
          <t>LAXÅ</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12678-2025</t>
        </is>
      </c>
      <c r="B4437" s="1" t="n">
        <v>45733.44137731481</v>
      </c>
      <c r="C4437" s="1" t="n">
        <v>46132</v>
      </c>
      <c r="D4437" t="inlineStr">
        <is>
          <t>ÖREBRO LÄN</t>
        </is>
      </c>
      <c r="E4437" t="inlineStr">
        <is>
          <t>DEGERFORS</t>
        </is>
      </c>
      <c r="F4437" t="inlineStr">
        <is>
          <t>Sveaskog</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1413-2025</t>
        </is>
      </c>
      <c r="B4438" s="1" t="n">
        <v>45668</v>
      </c>
      <c r="C4438" s="1" t="n">
        <v>46132</v>
      </c>
      <c r="D4438" t="inlineStr">
        <is>
          <t>ÖREBRO LÄN</t>
        </is>
      </c>
      <c r="E4438" t="inlineStr">
        <is>
          <t>HALLSBERG</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1521-2025</t>
        </is>
      </c>
      <c r="B4439" s="1" t="n">
        <v>45670</v>
      </c>
      <c r="C4439" s="1" t="n">
        <v>46132</v>
      </c>
      <c r="D4439" t="inlineStr">
        <is>
          <t>ÖREBRO LÄN</t>
        </is>
      </c>
      <c r="E4439" t="inlineStr">
        <is>
          <t>NORA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49358-2023</t>
        </is>
      </c>
      <c r="B4440" s="1" t="n">
        <v>45211</v>
      </c>
      <c r="C4440" s="1" t="n">
        <v>46132</v>
      </c>
      <c r="D4440" t="inlineStr">
        <is>
          <t>ÖREBRO LÄN</t>
        </is>
      </c>
      <c r="E4440" t="inlineStr">
        <is>
          <t>LINDESBERG</t>
        </is>
      </c>
      <c r="F4440" t="inlineStr">
        <is>
          <t>Sveaskog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31240-2023</t>
        </is>
      </c>
      <c r="B4441" s="1" t="n">
        <v>45114</v>
      </c>
      <c r="C4441" s="1" t="n">
        <v>46132</v>
      </c>
      <c r="D4441" t="inlineStr">
        <is>
          <t>ÖREBRO LÄN</t>
        </is>
      </c>
      <c r="E4441" t="inlineStr">
        <is>
          <t>ÖREBRO</t>
        </is>
      </c>
      <c r="F4441" t="inlineStr">
        <is>
          <t>Allmännings- och besparingsskogar</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23579-2022</t>
        </is>
      </c>
      <c r="B4442" s="1" t="n">
        <v>44721.52627314815</v>
      </c>
      <c r="C4442" s="1" t="n">
        <v>46132</v>
      </c>
      <c r="D4442" t="inlineStr">
        <is>
          <t>ÖREBRO LÄN</t>
        </is>
      </c>
      <c r="E4442" t="inlineStr">
        <is>
          <t>LINDESBERG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44841-2023</t>
        </is>
      </c>
      <c r="B4443" s="1" t="n">
        <v>45190.55920138889</v>
      </c>
      <c r="C4443" s="1" t="n">
        <v>46132</v>
      </c>
      <c r="D4443" t="inlineStr">
        <is>
          <t>ÖREBRO LÄN</t>
        </is>
      </c>
      <c r="E4443" t="inlineStr">
        <is>
          <t>DEGERFORS</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46235-2023</t>
        </is>
      </c>
      <c r="B4444" s="1" t="n">
        <v>45196</v>
      </c>
      <c r="C4444" s="1" t="n">
        <v>46132</v>
      </c>
      <c r="D4444" t="inlineStr">
        <is>
          <t>ÖREBRO LÄN</t>
        </is>
      </c>
      <c r="E4444" t="inlineStr">
        <is>
          <t>HALLSBERG</t>
        </is>
      </c>
      <c r="F4444" t="inlineStr">
        <is>
          <t>Allmännings- och besparingsskogar</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32009-2023</t>
        </is>
      </c>
      <c r="B4445" s="1" t="n">
        <v>45119</v>
      </c>
      <c r="C4445" s="1" t="n">
        <v>46132</v>
      </c>
      <c r="D4445" t="inlineStr">
        <is>
          <t>ÖREBRO LÄN</t>
        </is>
      </c>
      <c r="E4445" t="inlineStr">
        <is>
          <t>LINDESBERG</t>
        </is>
      </c>
      <c r="F4445" t="inlineStr">
        <is>
          <t>Kyrkan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31290-2023</t>
        </is>
      </c>
      <c r="B4446" s="1" t="n">
        <v>45114</v>
      </c>
      <c r="C4446" s="1" t="n">
        <v>46132</v>
      </c>
      <c r="D4446" t="inlineStr">
        <is>
          <t>ÖREBRO LÄN</t>
        </is>
      </c>
      <c r="E4446" t="inlineStr">
        <is>
          <t>HALLSBERG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14499-2022</t>
        </is>
      </c>
      <c r="B4447" s="1" t="n">
        <v>44655.36789351852</v>
      </c>
      <c r="C4447" s="1" t="n">
        <v>46132</v>
      </c>
      <c r="D4447" t="inlineStr">
        <is>
          <t>ÖREBRO LÄN</t>
        </is>
      </c>
      <c r="E4447" t="inlineStr">
        <is>
          <t>ASKERSUND</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44091-2024</t>
        </is>
      </c>
      <c r="B4448" s="1" t="n">
        <v>45572.6216087963</v>
      </c>
      <c r="C4448" s="1" t="n">
        <v>46132</v>
      </c>
      <c r="D4448" t="inlineStr">
        <is>
          <t>ÖREBRO LÄN</t>
        </is>
      </c>
      <c r="E4448" t="inlineStr">
        <is>
          <t>HÄLLEFORS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12963-2023</t>
        </is>
      </c>
      <c r="B4449" s="1" t="n">
        <v>45001</v>
      </c>
      <c r="C4449" s="1" t="n">
        <v>46132</v>
      </c>
      <c r="D4449" t="inlineStr">
        <is>
          <t>ÖREBRO LÄN</t>
        </is>
      </c>
      <c r="E4449" t="inlineStr">
        <is>
          <t>LEKEBERG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46647-2024</t>
        </is>
      </c>
      <c r="B4450" s="1" t="n">
        <v>45583</v>
      </c>
      <c r="C4450" s="1" t="n">
        <v>46132</v>
      </c>
      <c r="D4450" t="inlineStr">
        <is>
          <t>ÖREBRO LÄN</t>
        </is>
      </c>
      <c r="E4450" t="inlineStr">
        <is>
          <t>LINDESBERG</t>
        </is>
      </c>
      <c r="F4450" t="inlineStr">
        <is>
          <t>Sveaskog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23260-2024</t>
        </is>
      </c>
      <c r="B4451" s="1" t="n">
        <v>45453.36664351852</v>
      </c>
      <c r="C4451" s="1" t="n">
        <v>46132</v>
      </c>
      <c r="D4451" t="inlineStr">
        <is>
          <t>ÖREBRO LÄN</t>
        </is>
      </c>
      <c r="E4451" t="inlineStr">
        <is>
          <t>LINDESBERG</t>
        </is>
      </c>
      <c r="F4451" t="inlineStr">
        <is>
          <t>Sveaskog</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44052-2024</t>
        </is>
      </c>
      <c r="B4452" s="1" t="n">
        <v>45572.59605324074</v>
      </c>
      <c r="C4452" s="1" t="n">
        <v>46132</v>
      </c>
      <c r="D4452" t="inlineStr">
        <is>
          <t>ÖREBRO LÄN</t>
        </is>
      </c>
      <c r="E4452" t="inlineStr">
        <is>
          <t>HÄLLEFORS</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26067-2022</t>
        </is>
      </c>
      <c r="B4453" s="1" t="n">
        <v>44734.64337962963</v>
      </c>
      <c r="C4453" s="1" t="n">
        <v>46132</v>
      </c>
      <c r="D4453" t="inlineStr">
        <is>
          <t>ÖREBRO LÄN</t>
        </is>
      </c>
      <c r="E4453" t="inlineStr">
        <is>
          <t>LINDESBERG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50026-2024</t>
        </is>
      </c>
      <c r="B4454" s="1" t="n">
        <v>45599.60541666667</v>
      </c>
      <c r="C4454" s="1" t="n">
        <v>46132</v>
      </c>
      <c r="D4454" t="inlineStr">
        <is>
          <t>ÖREBRO LÄN</t>
        </is>
      </c>
      <c r="E4454" t="inlineStr">
        <is>
          <t>ÖREBRO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3233-2023</t>
        </is>
      </c>
      <c r="B4455" s="1" t="n">
        <v>44946</v>
      </c>
      <c r="C4455" s="1" t="n">
        <v>46132</v>
      </c>
      <c r="D4455" t="inlineStr">
        <is>
          <t>ÖREBRO LÄN</t>
        </is>
      </c>
      <c r="E4455" t="inlineStr">
        <is>
          <t>LINDESBERG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35151-2023</t>
        </is>
      </c>
      <c r="B4456" s="1" t="n">
        <v>45145</v>
      </c>
      <c r="C4456" s="1" t="n">
        <v>46132</v>
      </c>
      <c r="D4456" t="inlineStr">
        <is>
          <t>ÖREBRO LÄN</t>
        </is>
      </c>
      <c r="E4456" t="inlineStr">
        <is>
          <t>LJUSNARSBERG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5047-2023</t>
        </is>
      </c>
      <c r="B4457" s="1" t="n">
        <v>44958.58982638889</v>
      </c>
      <c r="C4457" s="1" t="n">
        <v>46132</v>
      </c>
      <c r="D4457" t="inlineStr">
        <is>
          <t>ÖREBRO LÄN</t>
        </is>
      </c>
      <c r="E4457" t="inlineStr">
        <is>
          <t>LINDESBERG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18449-2023</t>
        </is>
      </c>
      <c r="B4458" s="1" t="n">
        <v>45042.5203125</v>
      </c>
      <c r="C4458" s="1" t="n">
        <v>46132</v>
      </c>
      <c r="D4458" t="inlineStr">
        <is>
          <t>ÖREBRO LÄN</t>
        </is>
      </c>
      <c r="E4458" t="inlineStr">
        <is>
          <t>ÖREBRO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46912-2023</t>
        </is>
      </c>
      <c r="B4459" s="1" t="n">
        <v>45201</v>
      </c>
      <c r="C4459" s="1" t="n">
        <v>46132</v>
      </c>
      <c r="D4459" t="inlineStr">
        <is>
          <t>ÖREBRO LÄN</t>
        </is>
      </c>
      <c r="E4459" t="inlineStr">
        <is>
          <t>HÄLLEFORS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62421-2022</t>
        </is>
      </c>
      <c r="B4460" s="1" t="n">
        <v>44916</v>
      </c>
      <c r="C4460" s="1" t="n">
        <v>46132</v>
      </c>
      <c r="D4460" t="inlineStr">
        <is>
          <t>ÖREBRO LÄN</t>
        </is>
      </c>
      <c r="E4460" t="inlineStr">
        <is>
          <t>LJUSNARSBERG</t>
        </is>
      </c>
      <c r="F4460" t="inlineStr">
        <is>
          <t>Bergvik skog väst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8990-2023</t>
        </is>
      </c>
      <c r="B4461" s="1" t="n">
        <v>44979.55237268518</v>
      </c>
      <c r="C4461" s="1" t="n">
        <v>46132</v>
      </c>
      <c r="D4461" t="inlineStr">
        <is>
          <t>ÖREBRO LÄN</t>
        </is>
      </c>
      <c r="E4461" t="inlineStr">
        <is>
          <t>KARLSKOGA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21005-2024</t>
        </is>
      </c>
      <c r="B4462" s="1" t="n">
        <v>45439</v>
      </c>
      <c r="C4462" s="1" t="n">
        <v>46132</v>
      </c>
      <c r="D4462" t="inlineStr">
        <is>
          <t>ÖREBRO LÄN</t>
        </is>
      </c>
      <c r="E4462" t="inlineStr">
        <is>
          <t>LAXÅ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16936-2023</t>
        </is>
      </c>
      <c r="B4463" s="1" t="n">
        <v>45033.63005787037</v>
      </c>
      <c r="C4463" s="1" t="n">
        <v>46132</v>
      </c>
      <c r="D4463" t="inlineStr">
        <is>
          <t>ÖREBRO LÄN</t>
        </is>
      </c>
      <c r="E4463" t="inlineStr">
        <is>
          <t>ÖREBRO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8836-2023</t>
        </is>
      </c>
      <c r="B4464" s="1" t="n">
        <v>44978</v>
      </c>
      <c r="C4464" s="1" t="n">
        <v>46132</v>
      </c>
      <c r="D4464" t="inlineStr">
        <is>
          <t>ÖREBRO LÄN</t>
        </is>
      </c>
      <c r="E4464" t="inlineStr">
        <is>
          <t>LINDESBERG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24821-2024</t>
        </is>
      </c>
      <c r="B4465" s="1" t="n">
        <v>45461.34765046297</v>
      </c>
      <c r="C4465" s="1" t="n">
        <v>46132</v>
      </c>
      <c r="D4465" t="inlineStr">
        <is>
          <t>ÖREBRO LÄN</t>
        </is>
      </c>
      <c r="E4465" t="inlineStr">
        <is>
          <t>NORA</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24833-2024</t>
        </is>
      </c>
      <c r="B4466" s="1" t="n">
        <v>45461.39246527778</v>
      </c>
      <c r="C4466" s="1" t="n">
        <v>46132</v>
      </c>
      <c r="D4466" t="inlineStr">
        <is>
          <t>ÖREBRO LÄN</t>
        </is>
      </c>
      <c r="E4466" t="inlineStr">
        <is>
          <t>NORA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58145-2024</t>
        </is>
      </c>
      <c r="B4467" s="1" t="n">
        <v>45632.43230324074</v>
      </c>
      <c r="C4467" s="1" t="n">
        <v>46132</v>
      </c>
      <c r="D4467" t="inlineStr">
        <is>
          <t>ÖREBRO LÄN</t>
        </is>
      </c>
      <c r="E4467" t="inlineStr">
        <is>
          <t>ÖREBRO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16613-2023</t>
        </is>
      </c>
      <c r="B4468" s="1" t="n">
        <v>45030</v>
      </c>
      <c r="C4468" s="1" t="n">
        <v>46132</v>
      </c>
      <c r="D4468" t="inlineStr">
        <is>
          <t>ÖREBRO LÄN</t>
        </is>
      </c>
      <c r="E4468" t="inlineStr">
        <is>
          <t>LJUSNARSBERG</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34218-2023</t>
        </is>
      </c>
      <c r="B4469" s="1" t="n">
        <v>45126</v>
      </c>
      <c r="C4469" s="1" t="n">
        <v>46132</v>
      </c>
      <c r="D4469" t="inlineStr">
        <is>
          <t>ÖREBRO LÄN</t>
        </is>
      </c>
      <c r="E4469" t="inlineStr">
        <is>
          <t>LAXÅ</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34225-2023</t>
        </is>
      </c>
      <c r="B4470" s="1" t="n">
        <v>45126</v>
      </c>
      <c r="C4470" s="1" t="n">
        <v>46132</v>
      </c>
      <c r="D4470" t="inlineStr">
        <is>
          <t>ÖREBRO LÄN</t>
        </is>
      </c>
      <c r="E4470" t="inlineStr">
        <is>
          <t>LAXÅ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10674-2024</t>
        </is>
      </c>
      <c r="B4471" s="1" t="n">
        <v>45369.35297453704</v>
      </c>
      <c r="C4471" s="1" t="n">
        <v>46132</v>
      </c>
      <c r="D4471" t="inlineStr">
        <is>
          <t>ÖREBRO LÄN</t>
        </is>
      </c>
      <c r="E4471" t="inlineStr">
        <is>
          <t>DEGERFORS</t>
        </is>
      </c>
      <c r="F4471" t="inlineStr">
        <is>
          <t>Sveaskog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54006-2023</t>
        </is>
      </c>
      <c r="B4472" s="1" t="n">
        <v>45231.68974537037</v>
      </c>
      <c r="C4472" s="1" t="n">
        <v>46132</v>
      </c>
      <c r="D4472" t="inlineStr">
        <is>
          <t>ÖREBRO LÄN</t>
        </is>
      </c>
      <c r="E4472" t="inlineStr">
        <is>
          <t>ASKERSUND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38460-2024</t>
        </is>
      </c>
      <c r="B4473" s="1" t="n">
        <v>45546.46497685185</v>
      </c>
      <c r="C4473" s="1" t="n">
        <v>46132</v>
      </c>
      <c r="D4473" t="inlineStr">
        <is>
          <t>ÖREBRO LÄN</t>
        </is>
      </c>
      <c r="E4473" t="inlineStr">
        <is>
          <t>LINDESBERG</t>
        </is>
      </c>
      <c r="F4473" t="inlineStr">
        <is>
          <t>Sveaskog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37598-2024</t>
        </is>
      </c>
      <c r="B4474" s="1" t="n">
        <v>45541.47604166667</v>
      </c>
      <c r="C4474" s="1" t="n">
        <v>46132</v>
      </c>
      <c r="D4474" t="inlineStr">
        <is>
          <t>ÖREBRO LÄN</t>
        </is>
      </c>
      <c r="E4474" t="inlineStr">
        <is>
          <t>LEKEBERG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2283-2023</t>
        </is>
      </c>
      <c r="B4475" s="1" t="n">
        <v>44942</v>
      </c>
      <c r="C4475" s="1" t="n">
        <v>46132</v>
      </c>
      <c r="D4475" t="inlineStr">
        <is>
          <t>ÖREBRO LÄN</t>
        </is>
      </c>
      <c r="E4475" t="inlineStr">
        <is>
          <t>HÄLLEFORS</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64730-2023</t>
        </is>
      </c>
      <c r="B4476" s="1" t="n">
        <v>45281</v>
      </c>
      <c r="C4476" s="1" t="n">
        <v>46132</v>
      </c>
      <c r="D4476" t="inlineStr">
        <is>
          <t>ÖREBRO LÄN</t>
        </is>
      </c>
      <c r="E4476" t="inlineStr">
        <is>
          <t>ÖREBRO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47190-2022</t>
        </is>
      </c>
      <c r="B4477" s="1" t="n">
        <v>44852</v>
      </c>
      <c r="C4477" s="1" t="n">
        <v>46132</v>
      </c>
      <c r="D4477" t="inlineStr">
        <is>
          <t>ÖREBRO LÄN</t>
        </is>
      </c>
      <c r="E4477" t="inlineStr">
        <is>
          <t>HÄLLEFORS</t>
        </is>
      </c>
      <c r="F4477" t="inlineStr">
        <is>
          <t>Bergvik skog väst AB</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46219-2022</t>
        </is>
      </c>
      <c r="B4478" s="1" t="n">
        <v>44846</v>
      </c>
      <c r="C4478" s="1" t="n">
        <v>46132</v>
      </c>
      <c r="D4478" t="inlineStr">
        <is>
          <t>ÖREBRO LÄN</t>
        </is>
      </c>
      <c r="E4478" t="inlineStr">
        <is>
          <t>LINDESBERG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3920-2024</t>
        </is>
      </c>
      <c r="B4479" s="1" t="n">
        <v>45322.55128472222</v>
      </c>
      <c r="C4479" s="1" t="n">
        <v>46132</v>
      </c>
      <c r="D4479" t="inlineStr">
        <is>
          <t>ÖREBRO LÄN</t>
        </is>
      </c>
      <c r="E4479" t="inlineStr">
        <is>
          <t>KUMLA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11953-2024</t>
        </is>
      </c>
      <c r="B4480" s="1" t="n">
        <v>45376.70292824074</v>
      </c>
      <c r="C4480" s="1" t="n">
        <v>46132</v>
      </c>
      <c r="D4480" t="inlineStr">
        <is>
          <t>ÖREBRO LÄN</t>
        </is>
      </c>
      <c r="E4480" t="inlineStr">
        <is>
          <t>LINDESBERG</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61952-2023</t>
        </is>
      </c>
      <c r="B4481" s="1" t="n">
        <v>45266.56415509259</v>
      </c>
      <c r="C4481" s="1" t="n">
        <v>46132</v>
      </c>
      <c r="D4481" t="inlineStr">
        <is>
          <t>ÖREBRO LÄN</t>
        </is>
      </c>
      <c r="E4481" t="inlineStr">
        <is>
          <t>NORA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14680-2025</t>
        </is>
      </c>
      <c r="B4482" s="1" t="n">
        <v>45742.56774305556</v>
      </c>
      <c r="C4482" s="1" t="n">
        <v>46132</v>
      </c>
      <c r="D4482" t="inlineStr">
        <is>
          <t>ÖREBRO LÄN</t>
        </is>
      </c>
      <c r="E4482" t="inlineStr">
        <is>
          <t>DEGERFORS</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11637-2024</t>
        </is>
      </c>
      <c r="B4483" s="1" t="n">
        <v>45373</v>
      </c>
      <c r="C4483" s="1" t="n">
        <v>46132</v>
      </c>
      <c r="D4483" t="inlineStr">
        <is>
          <t>ÖREBRO LÄN</t>
        </is>
      </c>
      <c r="E4483" t="inlineStr">
        <is>
          <t>ASKERSUND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4440-2024</t>
        </is>
      </c>
      <c r="B4484" s="1" t="n">
        <v>45327</v>
      </c>
      <c r="C4484" s="1" t="n">
        <v>46132</v>
      </c>
      <c r="D4484" t="inlineStr">
        <is>
          <t>ÖREBRO LÄN</t>
        </is>
      </c>
      <c r="E4484" t="inlineStr">
        <is>
          <t>LINDESBERG</t>
        </is>
      </c>
      <c r="F4484" t="inlineStr">
        <is>
          <t>BillerudKorsnäs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48244-2024</t>
        </is>
      </c>
      <c r="B4485" s="1" t="n">
        <v>45590.39471064815</v>
      </c>
      <c r="C4485" s="1" t="n">
        <v>46132</v>
      </c>
      <c r="D4485" t="inlineStr">
        <is>
          <t>ÖREBRO LÄN</t>
        </is>
      </c>
      <c r="E4485" t="inlineStr">
        <is>
          <t>LINDESBERG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18773-2025</t>
        </is>
      </c>
      <c r="B4486" s="1" t="n">
        <v>45763</v>
      </c>
      <c r="C4486" s="1" t="n">
        <v>46132</v>
      </c>
      <c r="D4486" t="inlineStr">
        <is>
          <t>ÖREBRO LÄN</t>
        </is>
      </c>
      <c r="E4486" t="inlineStr">
        <is>
          <t>DEGERFORS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11008-2024</t>
        </is>
      </c>
      <c r="B4487" s="1" t="n">
        <v>45370.59278935185</v>
      </c>
      <c r="C4487" s="1" t="n">
        <v>46132</v>
      </c>
      <c r="D4487" t="inlineStr">
        <is>
          <t>ÖREBRO LÄN</t>
        </is>
      </c>
      <c r="E4487" t="inlineStr">
        <is>
          <t>ASKERSUND</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59633-2023</t>
        </is>
      </c>
      <c r="B4488" s="1" t="n">
        <v>45254</v>
      </c>
      <c r="C4488" s="1" t="n">
        <v>46132</v>
      </c>
      <c r="D4488" t="inlineStr">
        <is>
          <t>ÖREBRO LÄN</t>
        </is>
      </c>
      <c r="E4488" t="inlineStr">
        <is>
          <t>LINDESBERG</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18418-2025</t>
        </is>
      </c>
      <c r="B4489" s="1" t="n">
        <v>45762.61817129629</v>
      </c>
      <c r="C4489" s="1" t="n">
        <v>46132</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8460-2023</t>
        </is>
      </c>
      <c r="B4490" s="1" t="n">
        <v>44977.48980324074</v>
      </c>
      <c r="C4490" s="1" t="n">
        <v>46132</v>
      </c>
      <c r="D4490" t="inlineStr">
        <is>
          <t>ÖREBRO LÄN</t>
        </is>
      </c>
      <c r="E4490" t="inlineStr">
        <is>
          <t>KUMLA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51653-2023</t>
        </is>
      </c>
      <c r="B4491" s="1" t="n">
        <v>45222</v>
      </c>
      <c r="C4491" s="1" t="n">
        <v>46132</v>
      </c>
      <c r="D4491" t="inlineStr">
        <is>
          <t>ÖREBRO LÄN</t>
        </is>
      </c>
      <c r="E4491" t="inlineStr">
        <is>
          <t>DEGERFORS</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44284-2022</t>
        </is>
      </c>
      <c r="B4492" s="1" t="n">
        <v>44839.59194444444</v>
      </c>
      <c r="C4492" s="1" t="n">
        <v>46132</v>
      </c>
      <c r="D4492" t="inlineStr">
        <is>
          <t>ÖREBRO LÄN</t>
        </is>
      </c>
      <c r="E4492" t="inlineStr">
        <is>
          <t>ÖREBRO</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45339-2022</t>
        </is>
      </c>
      <c r="B4493" s="1" t="n">
        <v>44844</v>
      </c>
      <c r="C4493" s="1" t="n">
        <v>46132</v>
      </c>
      <c r="D4493" t="inlineStr">
        <is>
          <t>ÖREBRO LÄN</t>
        </is>
      </c>
      <c r="E4493" t="inlineStr">
        <is>
          <t>ASKERSUND</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50259-2024</t>
        </is>
      </c>
      <c r="B4494" s="1" t="n">
        <v>45600</v>
      </c>
      <c r="C4494" s="1" t="n">
        <v>46132</v>
      </c>
      <c r="D4494" t="inlineStr">
        <is>
          <t>ÖREBRO LÄN</t>
        </is>
      </c>
      <c r="E4494" t="inlineStr">
        <is>
          <t>HALLSBERG</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50614-2024</t>
        </is>
      </c>
      <c r="B4495" s="1" t="n">
        <v>45601.63342592592</v>
      </c>
      <c r="C4495" s="1" t="n">
        <v>46132</v>
      </c>
      <c r="D4495" t="inlineStr">
        <is>
          <t>ÖREBRO LÄN</t>
        </is>
      </c>
      <c r="E4495" t="inlineStr">
        <is>
          <t>KARLSKOGA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25602-2023</t>
        </is>
      </c>
      <c r="B4496" s="1" t="n">
        <v>45089.6462962963</v>
      </c>
      <c r="C4496" s="1" t="n">
        <v>46132</v>
      </c>
      <c r="D4496" t="inlineStr">
        <is>
          <t>ÖREBRO LÄN</t>
        </is>
      </c>
      <c r="E4496" t="inlineStr">
        <is>
          <t>LAXÅ</t>
        </is>
      </c>
      <c r="F4496" t="inlineStr">
        <is>
          <t>Övriga statliga verk och myndigheter</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56392-2024</t>
        </is>
      </c>
      <c r="B4497" s="1" t="n">
        <v>45625.34493055556</v>
      </c>
      <c r="C4497" s="1" t="n">
        <v>46132</v>
      </c>
      <c r="D4497" t="inlineStr">
        <is>
          <t>ÖREBRO LÄN</t>
        </is>
      </c>
      <c r="E4497" t="inlineStr">
        <is>
          <t>ASKERSUND</t>
        </is>
      </c>
      <c r="F4497" t="inlineStr">
        <is>
          <t>Sveaskog</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31120-2024</t>
        </is>
      </c>
      <c r="B4498" s="1" t="n">
        <v>45502.59939814815</v>
      </c>
      <c r="C4498" s="1" t="n">
        <v>46132</v>
      </c>
      <c r="D4498" t="inlineStr">
        <is>
          <t>ÖREBRO LÄN</t>
        </is>
      </c>
      <c r="E4498" t="inlineStr">
        <is>
          <t>ASKERSUND</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12108-2024</t>
        </is>
      </c>
      <c r="B4499" s="1" t="n">
        <v>45376</v>
      </c>
      <c r="C4499" s="1" t="n">
        <v>46132</v>
      </c>
      <c r="D4499" t="inlineStr">
        <is>
          <t>ÖREBRO LÄN</t>
        </is>
      </c>
      <c r="E4499" t="inlineStr">
        <is>
          <t>DEGERFORS</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23649-2023</t>
        </is>
      </c>
      <c r="B4500" s="1" t="n">
        <v>45074</v>
      </c>
      <c r="C4500" s="1" t="n">
        <v>46132</v>
      </c>
      <c r="D4500" t="inlineStr">
        <is>
          <t>ÖREBRO LÄN</t>
        </is>
      </c>
      <c r="E4500" t="inlineStr">
        <is>
          <t>LINDESBERG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10746-2023</t>
        </is>
      </c>
      <c r="B4501" s="1" t="n">
        <v>44988</v>
      </c>
      <c r="C4501" s="1" t="n">
        <v>46132</v>
      </c>
      <c r="D4501" t="inlineStr">
        <is>
          <t>ÖREBRO LÄN</t>
        </is>
      </c>
      <c r="E4501" t="inlineStr">
        <is>
          <t>LEKEBERG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14544-2023</t>
        </is>
      </c>
      <c r="B4502" s="1" t="n">
        <v>45013</v>
      </c>
      <c r="C4502" s="1" t="n">
        <v>46132</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43081-2021</t>
        </is>
      </c>
      <c r="B4503" s="1" t="n">
        <v>44431</v>
      </c>
      <c r="C4503" s="1" t="n">
        <v>46132</v>
      </c>
      <c r="D4503" t="inlineStr">
        <is>
          <t>ÖREBRO LÄN</t>
        </is>
      </c>
      <c r="E4503" t="inlineStr">
        <is>
          <t>LINDESBERG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43139-2021</t>
        </is>
      </c>
      <c r="B4504" s="1" t="n">
        <v>44431</v>
      </c>
      <c r="C4504" s="1" t="n">
        <v>46132</v>
      </c>
      <c r="D4504" t="inlineStr">
        <is>
          <t>ÖREBRO LÄN</t>
        </is>
      </c>
      <c r="E4504" t="inlineStr">
        <is>
          <t>ASKERSUND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9518-2023</t>
        </is>
      </c>
      <c r="B4505" s="1" t="n">
        <v>44981</v>
      </c>
      <c r="C4505" s="1" t="n">
        <v>46132</v>
      </c>
      <c r="D4505" t="inlineStr">
        <is>
          <t>ÖREBRO LÄN</t>
        </is>
      </c>
      <c r="E4505" t="inlineStr">
        <is>
          <t>HÄLLEFORS</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64089-2021</t>
        </is>
      </c>
      <c r="B4506" s="1" t="n">
        <v>44510</v>
      </c>
      <c r="C4506" s="1" t="n">
        <v>46132</v>
      </c>
      <c r="D4506" t="inlineStr">
        <is>
          <t>ÖREBRO LÄN</t>
        </is>
      </c>
      <c r="E4506" t="inlineStr">
        <is>
          <t>KARLSKOGA</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51071-2022</t>
        </is>
      </c>
      <c r="B4507" s="1" t="n">
        <v>44868.36924768519</v>
      </c>
      <c r="C4507" s="1" t="n">
        <v>46132</v>
      </c>
      <c r="D4507" t="inlineStr">
        <is>
          <t>ÖREBRO LÄN</t>
        </is>
      </c>
      <c r="E4507" t="inlineStr">
        <is>
          <t>LINDESBERG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54994-2024</t>
        </is>
      </c>
      <c r="B4508" s="1" t="n">
        <v>45621.27174768518</v>
      </c>
      <c r="C4508" s="1" t="n">
        <v>46132</v>
      </c>
      <c r="D4508" t="inlineStr">
        <is>
          <t>ÖREBRO LÄN</t>
        </is>
      </c>
      <c r="E4508" t="inlineStr">
        <is>
          <t>DEGERFORS</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55182-2024</t>
        </is>
      </c>
      <c r="B4509" s="1" t="n">
        <v>45618</v>
      </c>
      <c r="C4509" s="1" t="n">
        <v>46132</v>
      </c>
      <c r="D4509" t="inlineStr">
        <is>
          <t>ÖREBRO LÄN</t>
        </is>
      </c>
      <c r="E4509" t="inlineStr">
        <is>
          <t>KARLSKOGA</t>
        </is>
      </c>
      <c r="G4509" t="n">
        <v>11.4</v>
      </c>
      <c r="H4509" t="n">
        <v>0</v>
      </c>
      <c r="I4509" t="n">
        <v>0</v>
      </c>
      <c r="J4509" t="n">
        <v>0</v>
      </c>
      <c r="K4509" t="n">
        <v>0</v>
      </c>
      <c r="L4509" t="n">
        <v>0</v>
      </c>
      <c r="M4509" t="n">
        <v>0</v>
      </c>
      <c r="N4509" t="n">
        <v>0</v>
      </c>
      <c r="O4509" t="n">
        <v>0</v>
      </c>
      <c r="P4509" t="n">
        <v>0</v>
      </c>
      <c r="Q4509" t="n">
        <v>0</v>
      </c>
      <c r="R4509" s="2" t="inlineStr"/>
    </row>
    <row r="4510" ht="15" customHeight="1">
      <c r="A4510" t="inlineStr">
        <is>
          <t>A 17352-2024</t>
        </is>
      </c>
      <c r="B4510" s="1" t="n">
        <v>45414.5908912037</v>
      </c>
      <c r="C4510" s="1" t="n">
        <v>46132</v>
      </c>
      <c r="D4510" t="inlineStr">
        <is>
          <t>ÖREBRO LÄN</t>
        </is>
      </c>
      <c r="E4510" t="inlineStr">
        <is>
          <t>NORA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51239-2021</t>
        </is>
      </c>
      <c r="B4511" s="1" t="n">
        <v>44461.52310185185</v>
      </c>
      <c r="C4511" s="1" t="n">
        <v>46132</v>
      </c>
      <c r="D4511" t="inlineStr">
        <is>
          <t>ÖREBRO LÄN</t>
        </is>
      </c>
      <c r="E4511" t="inlineStr">
        <is>
          <t>ASKERSUND</t>
        </is>
      </c>
      <c r="F4511" t="inlineStr">
        <is>
          <t>Sveaskog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44449-2023</t>
        </is>
      </c>
      <c r="B4512" s="1" t="n">
        <v>45189.38135416667</v>
      </c>
      <c r="C4512" s="1" t="n">
        <v>46132</v>
      </c>
      <c r="D4512" t="inlineStr">
        <is>
          <t>ÖREBRO LÄN</t>
        </is>
      </c>
      <c r="E4512" t="inlineStr">
        <is>
          <t>LINDESBERG</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15682-2023</t>
        </is>
      </c>
      <c r="B4513" s="1" t="n">
        <v>45021</v>
      </c>
      <c r="C4513" s="1" t="n">
        <v>46132</v>
      </c>
      <c r="D4513" t="inlineStr">
        <is>
          <t>ÖREBRO LÄN</t>
        </is>
      </c>
      <c r="E4513" t="inlineStr">
        <is>
          <t>ÖREBRO</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4416-2023</t>
        </is>
      </c>
      <c r="B4514" s="1" t="n">
        <v>44956</v>
      </c>
      <c r="C4514" s="1" t="n">
        <v>46132</v>
      </c>
      <c r="D4514" t="inlineStr">
        <is>
          <t>ÖREBRO LÄN</t>
        </is>
      </c>
      <c r="E4514" t="inlineStr">
        <is>
          <t>ÖREBRO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38613-2023</t>
        </is>
      </c>
      <c r="B4515" s="1" t="n">
        <v>45160</v>
      </c>
      <c r="C4515" s="1" t="n">
        <v>46132</v>
      </c>
      <c r="D4515" t="inlineStr">
        <is>
          <t>ÖREBRO LÄN</t>
        </is>
      </c>
      <c r="E4515" t="inlineStr">
        <is>
          <t>LAXÅ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57497-2023</t>
        </is>
      </c>
      <c r="B4516" s="1" t="n">
        <v>45240</v>
      </c>
      <c r="C4516" s="1" t="n">
        <v>46132</v>
      </c>
      <c r="D4516" t="inlineStr">
        <is>
          <t>ÖREBRO LÄN</t>
        </is>
      </c>
      <c r="E4516" t="inlineStr">
        <is>
          <t>LAXÅ</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57503-2023</t>
        </is>
      </c>
      <c r="B4517" s="1" t="n">
        <v>45240</v>
      </c>
      <c r="C4517" s="1" t="n">
        <v>46132</v>
      </c>
      <c r="D4517" t="inlineStr">
        <is>
          <t>ÖREBRO LÄN</t>
        </is>
      </c>
      <c r="E4517" t="inlineStr">
        <is>
          <t>LAXÅ</t>
        </is>
      </c>
      <c r="G4517" t="n">
        <v>11.5</v>
      </c>
      <c r="H4517" t="n">
        <v>0</v>
      </c>
      <c r="I4517" t="n">
        <v>0</v>
      </c>
      <c r="J4517" t="n">
        <v>0</v>
      </c>
      <c r="K4517" t="n">
        <v>0</v>
      </c>
      <c r="L4517" t="n">
        <v>0</v>
      </c>
      <c r="M4517" t="n">
        <v>0</v>
      </c>
      <c r="N4517" t="n">
        <v>0</v>
      </c>
      <c r="O4517" t="n">
        <v>0</v>
      </c>
      <c r="P4517" t="n">
        <v>0</v>
      </c>
      <c r="Q4517" t="n">
        <v>0</v>
      </c>
      <c r="R4517" s="2" t="inlineStr"/>
    </row>
    <row r="4518" ht="15" customHeight="1">
      <c r="A4518" t="inlineStr">
        <is>
          <t>A 15894-2025</t>
        </is>
      </c>
      <c r="B4518" s="1" t="n">
        <v>45749</v>
      </c>
      <c r="C4518" s="1" t="n">
        <v>46132</v>
      </c>
      <c r="D4518" t="inlineStr">
        <is>
          <t>ÖREBRO LÄN</t>
        </is>
      </c>
      <c r="E4518" t="inlineStr">
        <is>
          <t>LINDESBERG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56967-2023</t>
        </is>
      </c>
      <c r="B4519" s="1" t="n">
        <v>45244</v>
      </c>
      <c r="C4519" s="1" t="n">
        <v>46132</v>
      </c>
      <c r="D4519" t="inlineStr">
        <is>
          <t>ÖREBRO LÄN</t>
        </is>
      </c>
      <c r="E4519" t="inlineStr">
        <is>
          <t>ASKERSUND</t>
        </is>
      </c>
      <c r="F4519" t="inlineStr">
        <is>
          <t>Sveaskog</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49062-2023</t>
        </is>
      </c>
      <c r="B4520" s="1" t="n">
        <v>45210.35119212963</v>
      </c>
      <c r="C4520" s="1" t="n">
        <v>46132</v>
      </c>
      <c r="D4520" t="inlineStr">
        <is>
          <t>ÖREBRO LÄN</t>
        </is>
      </c>
      <c r="E4520" t="inlineStr">
        <is>
          <t>ÖREBRO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52797-2021</t>
        </is>
      </c>
      <c r="B4521" s="1" t="n">
        <v>44467.37496527778</v>
      </c>
      <c r="C4521" s="1" t="n">
        <v>46132</v>
      </c>
      <c r="D4521" t="inlineStr">
        <is>
          <t>ÖREBRO LÄN</t>
        </is>
      </c>
      <c r="E4521" t="inlineStr">
        <is>
          <t>KARLSKOGA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9126-2022</t>
        </is>
      </c>
      <c r="B4522" s="1" t="n">
        <v>44615.58527777778</v>
      </c>
      <c r="C4522" s="1" t="n">
        <v>46132</v>
      </c>
      <c r="D4522" t="inlineStr">
        <is>
          <t>ÖREBRO LÄN</t>
        </is>
      </c>
      <c r="E4522" t="inlineStr">
        <is>
          <t>HALLSBERG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4100-2025</t>
        </is>
      </c>
      <c r="B4523" s="1" t="n">
        <v>45684.68512731481</v>
      </c>
      <c r="C4523" s="1" t="n">
        <v>46132</v>
      </c>
      <c r="D4523" t="inlineStr">
        <is>
          <t>ÖREBRO LÄN</t>
        </is>
      </c>
      <c r="E4523" t="inlineStr">
        <is>
          <t>KUMLA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51213-2023</t>
        </is>
      </c>
      <c r="B4524" s="1" t="n">
        <v>45219.44515046296</v>
      </c>
      <c r="C4524" s="1" t="n">
        <v>46132</v>
      </c>
      <c r="D4524" t="inlineStr">
        <is>
          <t>ÖREBRO LÄN</t>
        </is>
      </c>
      <c r="E4524" t="inlineStr">
        <is>
          <t>HÄLLEFORS</t>
        </is>
      </c>
      <c r="F4524" t="inlineStr">
        <is>
          <t>Bergvik skog väst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59607-2024</t>
        </is>
      </c>
      <c r="B4525" s="1" t="n">
        <v>45638.74914351852</v>
      </c>
      <c r="C4525" s="1" t="n">
        <v>46132</v>
      </c>
      <c r="D4525" t="inlineStr">
        <is>
          <t>ÖREBRO LÄN</t>
        </is>
      </c>
      <c r="E4525" t="inlineStr">
        <is>
          <t>NORA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34436-2023</t>
        </is>
      </c>
      <c r="B4526" s="1" t="n">
        <v>45139.64328703703</v>
      </c>
      <c r="C4526" s="1" t="n">
        <v>46132</v>
      </c>
      <c r="D4526" t="inlineStr">
        <is>
          <t>ÖREBRO LÄN</t>
        </is>
      </c>
      <c r="E4526" t="inlineStr">
        <is>
          <t>LINDESBERG</t>
        </is>
      </c>
      <c r="F4526" t="inlineStr">
        <is>
          <t>Kyrkan</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14621-2024</t>
        </is>
      </c>
      <c r="B4527" s="1" t="n">
        <v>45397.31064814814</v>
      </c>
      <c r="C4527" s="1" t="n">
        <v>46132</v>
      </c>
      <c r="D4527" t="inlineStr">
        <is>
          <t>ÖREBRO LÄN</t>
        </is>
      </c>
      <c r="E4527" t="inlineStr">
        <is>
          <t>HALLSBERG</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2175-2024</t>
        </is>
      </c>
      <c r="B4528" s="1" t="n">
        <v>45309</v>
      </c>
      <c r="C4528" s="1" t="n">
        <v>46132</v>
      </c>
      <c r="D4528" t="inlineStr">
        <is>
          <t>ÖREBRO LÄN</t>
        </is>
      </c>
      <c r="E4528" t="inlineStr">
        <is>
          <t>LEKEBERG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54511-2023</t>
        </is>
      </c>
      <c r="B4529" s="1" t="n">
        <v>45233.5592824074</v>
      </c>
      <c r="C4529" s="1" t="n">
        <v>46132</v>
      </c>
      <c r="D4529" t="inlineStr">
        <is>
          <t>ÖREBRO LÄN</t>
        </is>
      </c>
      <c r="E4529" t="inlineStr">
        <is>
          <t>LAXÅ</t>
        </is>
      </c>
      <c r="F4529" t="inlineStr">
        <is>
          <t>Övriga statliga verk och myndigheter</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22659-2024</t>
        </is>
      </c>
      <c r="B4530" s="1" t="n">
        <v>45447</v>
      </c>
      <c r="C4530" s="1" t="n">
        <v>46132</v>
      </c>
      <c r="D4530" t="inlineStr">
        <is>
          <t>ÖREBRO LÄN</t>
        </is>
      </c>
      <c r="E4530" t="inlineStr">
        <is>
          <t>DEGERFORS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7854-2025</t>
        </is>
      </c>
      <c r="B4531" s="1" t="n">
        <v>45706.67792824074</v>
      </c>
      <c r="C4531" s="1" t="n">
        <v>46132</v>
      </c>
      <c r="D4531" t="inlineStr">
        <is>
          <t>ÖREBRO LÄN</t>
        </is>
      </c>
      <c r="E4531" t="inlineStr">
        <is>
          <t>ASKERSUND</t>
        </is>
      </c>
      <c r="F4531" t="inlineStr">
        <is>
          <t>Kyrkan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21055-2024</t>
        </is>
      </c>
      <c r="B4532" s="1" t="n">
        <v>45439.70784722222</v>
      </c>
      <c r="C4532" s="1" t="n">
        <v>46132</v>
      </c>
      <c r="D4532" t="inlineStr">
        <is>
          <t>ÖREBRO LÄN</t>
        </is>
      </c>
      <c r="E4532" t="inlineStr">
        <is>
          <t>ASKERSUND</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45078-2024</t>
        </is>
      </c>
      <c r="B4533" s="1" t="n">
        <v>45575.57104166667</v>
      </c>
      <c r="C4533" s="1" t="n">
        <v>46132</v>
      </c>
      <c r="D4533" t="inlineStr">
        <is>
          <t>ÖREBRO LÄN</t>
        </is>
      </c>
      <c r="E4533" t="inlineStr">
        <is>
          <t>LINDESBERG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33151-2021</t>
        </is>
      </c>
      <c r="B4534" s="1" t="n">
        <v>44376.67820601852</v>
      </c>
      <c r="C4534" s="1" t="n">
        <v>46132</v>
      </c>
      <c r="D4534" t="inlineStr">
        <is>
          <t>ÖREBRO LÄN</t>
        </is>
      </c>
      <c r="E4534" t="inlineStr">
        <is>
          <t>ASKERSUND</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32321-2023</t>
        </is>
      </c>
      <c r="B4535" s="1" t="n">
        <v>45120</v>
      </c>
      <c r="C4535" s="1" t="n">
        <v>46132</v>
      </c>
      <c r="D4535" t="inlineStr">
        <is>
          <t>ÖREBRO LÄN</t>
        </is>
      </c>
      <c r="E4535" t="inlineStr">
        <is>
          <t>ÖREBRO</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4977-2023</t>
        </is>
      </c>
      <c r="B4536" s="1" t="n">
        <v>44958.46266203704</v>
      </c>
      <c r="C4536" s="1" t="n">
        <v>46132</v>
      </c>
      <c r="D4536" t="inlineStr">
        <is>
          <t>ÖREBRO LÄN</t>
        </is>
      </c>
      <c r="E4536" t="inlineStr">
        <is>
          <t>NORA</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27001-2024</t>
        </is>
      </c>
      <c r="B4537" s="1" t="n">
        <v>45471.38995370371</v>
      </c>
      <c r="C4537" s="1" t="n">
        <v>46132</v>
      </c>
      <c r="D4537" t="inlineStr">
        <is>
          <t>ÖREBRO LÄN</t>
        </is>
      </c>
      <c r="E4537" t="inlineStr">
        <is>
          <t>LINDESBERG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2095-2025</t>
        </is>
      </c>
      <c r="B4538" s="1" t="n">
        <v>45672</v>
      </c>
      <c r="C4538" s="1" t="n">
        <v>46132</v>
      </c>
      <c r="D4538" t="inlineStr">
        <is>
          <t>ÖREBRO LÄN</t>
        </is>
      </c>
      <c r="E4538" t="inlineStr">
        <is>
          <t>ÖREBRO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33193-2024</t>
        </is>
      </c>
      <c r="B4539" s="1" t="n">
        <v>45518</v>
      </c>
      <c r="C4539" s="1" t="n">
        <v>46132</v>
      </c>
      <c r="D4539" t="inlineStr">
        <is>
          <t>ÖREBRO LÄN</t>
        </is>
      </c>
      <c r="E4539" t="inlineStr">
        <is>
          <t>LJUSNARSBERG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58499-2022</t>
        </is>
      </c>
      <c r="B4540" s="1" t="n">
        <v>44902.3759375</v>
      </c>
      <c r="C4540" s="1" t="n">
        <v>46132</v>
      </c>
      <c r="D4540" t="inlineStr">
        <is>
          <t>ÖREBRO LÄN</t>
        </is>
      </c>
      <c r="E4540" t="inlineStr">
        <is>
          <t>HÄLLEFORS</t>
        </is>
      </c>
      <c r="F4540" t="inlineStr">
        <is>
          <t>Bergvik skog väst AB</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20467-2023</t>
        </is>
      </c>
      <c r="B4541" s="1" t="n">
        <v>45057</v>
      </c>
      <c r="C4541" s="1" t="n">
        <v>46132</v>
      </c>
      <c r="D4541" t="inlineStr">
        <is>
          <t>ÖREBRO LÄN</t>
        </is>
      </c>
      <c r="E4541" t="inlineStr">
        <is>
          <t>LINDESBERG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71275-2021</t>
        </is>
      </c>
      <c r="B4542" s="1" t="n">
        <v>44539</v>
      </c>
      <c r="C4542" s="1" t="n">
        <v>46132</v>
      </c>
      <c r="D4542" t="inlineStr">
        <is>
          <t>ÖREBRO LÄN</t>
        </is>
      </c>
      <c r="E4542" t="inlineStr">
        <is>
          <t>ÖREBRO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34527-2024</t>
        </is>
      </c>
      <c r="B4543" s="1" t="n">
        <v>45525</v>
      </c>
      <c r="C4543" s="1" t="n">
        <v>46132</v>
      </c>
      <c r="D4543" t="inlineStr">
        <is>
          <t>ÖREBRO LÄN</t>
        </is>
      </c>
      <c r="E4543" t="inlineStr">
        <is>
          <t>HALLSBERG</t>
        </is>
      </c>
      <c r="F4543" t="inlineStr">
        <is>
          <t>Allmännings- och besparingsskogar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34712-2024</t>
        </is>
      </c>
      <c r="B4544" s="1" t="n">
        <v>45526</v>
      </c>
      <c r="C4544" s="1" t="n">
        <v>46132</v>
      </c>
      <c r="D4544" t="inlineStr">
        <is>
          <t>ÖREBRO LÄN</t>
        </is>
      </c>
      <c r="E4544" t="inlineStr">
        <is>
          <t>LJUSNARSBERG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33887-2024</t>
        </is>
      </c>
      <c r="B4545" s="1" t="n">
        <v>45523.3167824074</v>
      </c>
      <c r="C4545" s="1" t="n">
        <v>46132</v>
      </c>
      <c r="D4545" t="inlineStr">
        <is>
          <t>ÖREBRO LÄN</t>
        </is>
      </c>
      <c r="E4545" t="inlineStr">
        <is>
          <t>NORA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46410-2021</t>
        </is>
      </c>
      <c r="B4546" s="1" t="n">
        <v>44444</v>
      </c>
      <c r="C4546" s="1" t="n">
        <v>46132</v>
      </c>
      <c r="D4546" t="inlineStr">
        <is>
          <t>ÖREBRO LÄN</t>
        </is>
      </c>
      <c r="E4546" t="inlineStr">
        <is>
          <t>NORA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58608-2024</t>
        </is>
      </c>
      <c r="B4547" s="1" t="n">
        <v>45635.55185185185</v>
      </c>
      <c r="C4547" s="1" t="n">
        <v>46132</v>
      </c>
      <c r="D4547" t="inlineStr">
        <is>
          <t>ÖREBRO LÄN</t>
        </is>
      </c>
      <c r="E4547" t="inlineStr">
        <is>
          <t>ÖREBRO</t>
        </is>
      </c>
      <c r="F4547" t="inlineStr">
        <is>
          <t>Sveaskog</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2153-2023</t>
        </is>
      </c>
      <c r="B4548" s="1" t="n">
        <v>44941</v>
      </c>
      <c r="C4548" s="1" t="n">
        <v>46132</v>
      </c>
      <c r="D4548" t="inlineStr">
        <is>
          <t>ÖREBRO LÄN</t>
        </is>
      </c>
      <c r="E4548" t="inlineStr">
        <is>
          <t>ÖREBRO</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25012-2023</t>
        </is>
      </c>
      <c r="B4549" s="1" t="n">
        <v>45085</v>
      </c>
      <c r="C4549" s="1" t="n">
        <v>46132</v>
      </c>
      <c r="D4549" t="inlineStr">
        <is>
          <t>ÖREBRO LÄN</t>
        </is>
      </c>
      <c r="E4549" t="inlineStr">
        <is>
          <t>LINDESBERG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8530-2025</t>
        </is>
      </c>
      <c r="B4550" s="1" t="n">
        <v>45709</v>
      </c>
      <c r="C4550" s="1" t="n">
        <v>46132</v>
      </c>
      <c r="D4550" t="inlineStr">
        <is>
          <t>ÖREBRO LÄN</t>
        </is>
      </c>
      <c r="E4550" t="inlineStr">
        <is>
          <t>LAXÅ</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26778-2023</t>
        </is>
      </c>
      <c r="B4551" s="1" t="n">
        <v>45093.48221064815</v>
      </c>
      <c r="C4551" s="1" t="n">
        <v>46132</v>
      </c>
      <c r="D4551" t="inlineStr">
        <is>
          <t>ÖREBRO LÄN</t>
        </is>
      </c>
      <c r="E4551" t="inlineStr">
        <is>
          <t>LINDESBERG</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50170-2022</t>
        </is>
      </c>
      <c r="B4552" s="1" t="n">
        <v>44865.600625</v>
      </c>
      <c r="C4552" s="1" t="n">
        <v>46132</v>
      </c>
      <c r="D4552" t="inlineStr">
        <is>
          <t>ÖREBRO LÄN</t>
        </is>
      </c>
      <c r="E4552" t="inlineStr">
        <is>
          <t>LINDESBERG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1354-2024</t>
        </is>
      </c>
      <c r="B4553" s="1" t="n">
        <v>45303</v>
      </c>
      <c r="C4553" s="1" t="n">
        <v>46132</v>
      </c>
      <c r="D4553" t="inlineStr">
        <is>
          <t>ÖREBRO LÄN</t>
        </is>
      </c>
      <c r="E4553" t="inlineStr">
        <is>
          <t>LINDESBERG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19750-2025</t>
        </is>
      </c>
      <c r="B4554" s="1" t="n">
        <v>45771.38583333333</v>
      </c>
      <c r="C4554" s="1" t="n">
        <v>46132</v>
      </c>
      <c r="D4554" t="inlineStr">
        <is>
          <t>ÖREBRO LÄN</t>
        </is>
      </c>
      <c r="E4554" t="inlineStr">
        <is>
          <t>LJUSNARSBERG</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18400-2025</t>
        </is>
      </c>
      <c r="B4555" s="1" t="n">
        <v>45762.59549768519</v>
      </c>
      <c r="C4555" s="1" t="n">
        <v>46132</v>
      </c>
      <c r="D4555" t="inlineStr">
        <is>
          <t>ÖREBRO LÄN</t>
        </is>
      </c>
      <c r="E4555" t="inlineStr">
        <is>
          <t>LEKEBERG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29112-2023</t>
        </is>
      </c>
      <c r="B4556" s="1" t="n">
        <v>45105.39409722222</v>
      </c>
      <c r="C4556" s="1" t="n">
        <v>46132</v>
      </c>
      <c r="D4556" t="inlineStr">
        <is>
          <t>ÖREBRO LÄN</t>
        </is>
      </c>
      <c r="E4556" t="inlineStr">
        <is>
          <t>NORA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24822-2024</t>
        </is>
      </c>
      <c r="B4557" s="1" t="n">
        <v>45461.34818287037</v>
      </c>
      <c r="C4557" s="1" t="n">
        <v>46132</v>
      </c>
      <c r="D4557" t="inlineStr">
        <is>
          <t>ÖREBRO LÄN</t>
        </is>
      </c>
      <c r="E4557" t="inlineStr">
        <is>
          <t>NORA</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43919-2023</t>
        </is>
      </c>
      <c r="B4558" s="1" t="n">
        <v>45182</v>
      </c>
      <c r="C4558" s="1" t="n">
        <v>46132</v>
      </c>
      <c r="D4558" t="inlineStr">
        <is>
          <t>ÖREBRO LÄN</t>
        </is>
      </c>
      <c r="E4558" t="inlineStr">
        <is>
          <t>NORA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33886-2024</t>
        </is>
      </c>
      <c r="B4559" s="1" t="n">
        <v>45523.31621527778</v>
      </c>
      <c r="C4559" s="1" t="n">
        <v>46132</v>
      </c>
      <c r="D4559" t="inlineStr">
        <is>
          <t>ÖREBRO LÄN</t>
        </is>
      </c>
      <c r="E4559" t="inlineStr">
        <is>
          <t>LINDESBERG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2069-2025</t>
        </is>
      </c>
      <c r="B4560" s="1" t="n">
        <v>45672.56614583333</v>
      </c>
      <c r="C4560" s="1" t="n">
        <v>46132</v>
      </c>
      <c r="D4560" t="inlineStr">
        <is>
          <t>ÖREBRO LÄN</t>
        </is>
      </c>
      <c r="E4560" t="inlineStr">
        <is>
          <t>ÖREBRO</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38624-2023</t>
        </is>
      </c>
      <c r="B4561" s="1" t="n">
        <v>45162</v>
      </c>
      <c r="C4561" s="1" t="n">
        <v>46132</v>
      </c>
      <c r="D4561" t="inlineStr">
        <is>
          <t>ÖREBRO LÄN</t>
        </is>
      </c>
      <c r="E4561" t="inlineStr">
        <is>
          <t>ASKERSUND</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50285-2022</t>
        </is>
      </c>
      <c r="B4562" s="1" t="n">
        <v>44865.87770833333</v>
      </c>
      <c r="C4562" s="1" t="n">
        <v>46132</v>
      </c>
      <c r="D4562" t="inlineStr">
        <is>
          <t>ÖREBRO LÄN</t>
        </is>
      </c>
      <c r="E4562" t="inlineStr">
        <is>
          <t>LINDESBERG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852-2025</t>
        </is>
      </c>
      <c r="B4563" s="1" t="n">
        <v>45665.60148148148</v>
      </c>
      <c r="C4563" s="1" t="n">
        <v>46132</v>
      </c>
      <c r="D4563" t="inlineStr">
        <is>
          <t>ÖREBRO LÄN</t>
        </is>
      </c>
      <c r="E4563" t="inlineStr">
        <is>
          <t>ÖREBRO</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50398-2022</t>
        </is>
      </c>
      <c r="B4564" s="1" t="n">
        <v>44861</v>
      </c>
      <c r="C4564" s="1" t="n">
        <v>46132</v>
      </c>
      <c r="D4564" t="inlineStr">
        <is>
          <t>ÖREBRO LÄN</t>
        </is>
      </c>
      <c r="E4564" t="inlineStr">
        <is>
          <t>ÖREBRO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41095-2021</t>
        </is>
      </c>
      <c r="B4565" s="1" t="n">
        <v>44422</v>
      </c>
      <c r="C4565" s="1" t="n">
        <v>46132</v>
      </c>
      <c r="D4565" t="inlineStr">
        <is>
          <t>ÖREBRO LÄN</t>
        </is>
      </c>
      <c r="E4565" t="inlineStr">
        <is>
          <t>ASKERSUND</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39875-2024</t>
        </is>
      </c>
      <c r="B4566" s="1" t="n">
        <v>45553</v>
      </c>
      <c r="C4566" s="1" t="n">
        <v>46132</v>
      </c>
      <c r="D4566" t="inlineStr">
        <is>
          <t>ÖREBRO LÄN</t>
        </is>
      </c>
      <c r="E4566" t="inlineStr">
        <is>
          <t>LEKEBERG</t>
        </is>
      </c>
      <c r="F4566" t="inlineStr">
        <is>
          <t>Sveaskog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39878-2024</t>
        </is>
      </c>
      <c r="B4567" s="1" t="n">
        <v>45553</v>
      </c>
      <c r="C4567" s="1" t="n">
        <v>46132</v>
      </c>
      <c r="D4567" t="inlineStr">
        <is>
          <t>ÖREBRO LÄN</t>
        </is>
      </c>
      <c r="E4567" t="inlineStr">
        <is>
          <t>LEKEBERG</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52441-2024</t>
        </is>
      </c>
      <c r="B4568" s="1" t="n">
        <v>45609.48451388889</v>
      </c>
      <c r="C4568" s="1" t="n">
        <v>46132</v>
      </c>
      <c r="D4568" t="inlineStr">
        <is>
          <t>ÖREBRO LÄN</t>
        </is>
      </c>
      <c r="E4568" t="inlineStr">
        <is>
          <t>ÖREBRO</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52499-2024</t>
        </is>
      </c>
      <c r="B4569" s="1" t="n">
        <v>45609.58422453704</v>
      </c>
      <c r="C4569" s="1" t="n">
        <v>46132</v>
      </c>
      <c r="D4569" t="inlineStr">
        <is>
          <t>ÖREBRO LÄN</t>
        </is>
      </c>
      <c r="E4569" t="inlineStr">
        <is>
          <t>ÖREBRO</t>
        </is>
      </c>
      <c r="F4569" t="inlineStr">
        <is>
          <t>Sveaskog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52506-2024</t>
        </is>
      </c>
      <c r="B4570" s="1" t="n">
        <v>45609</v>
      </c>
      <c r="C4570" s="1" t="n">
        <v>46132</v>
      </c>
      <c r="D4570" t="inlineStr">
        <is>
          <t>ÖREBRO LÄN</t>
        </is>
      </c>
      <c r="E4570" t="inlineStr">
        <is>
          <t>DEGERFORS</t>
        </is>
      </c>
      <c r="F4570" t="inlineStr">
        <is>
          <t>Sveaskog</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1405-2025</t>
        </is>
      </c>
      <c r="B4571" s="1" t="n">
        <v>45667</v>
      </c>
      <c r="C4571" s="1" t="n">
        <v>46132</v>
      </c>
      <c r="D4571" t="inlineStr">
        <is>
          <t>ÖREBRO LÄN</t>
        </is>
      </c>
      <c r="E4571" t="inlineStr">
        <is>
          <t>LINDESBERG</t>
        </is>
      </c>
      <c r="F4571" t="inlineStr">
        <is>
          <t>Allmännings- och besparingsskogar</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46980-2023</t>
        </is>
      </c>
      <c r="B4572" s="1" t="n">
        <v>45201</v>
      </c>
      <c r="C4572" s="1" t="n">
        <v>46132</v>
      </c>
      <c r="D4572" t="inlineStr">
        <is>
          <t>ÖREBRO LÄN</t>
        </is>
      </c>
      <c r="E4572" t="inlineStr">
        <is>
          <t>HÄLLEFORS</t>
        </is>
      </c>
      <c r="F4572" t="inlineStr">
        <is>
          <t>Bergvik skog väst AB</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8008-2024</t>
        </is>
      </c>
      <c r="B4573" s="1" t="n">
        <v>45350.6794212963</v>
      </c>
      <c r="C4573" s="1" t="n">
        <v>46132</v>
      </c>
      <c r="D4573" t="inlineStr">
        <is>
          <t>ÖREBRO LÄN</t>
        </is>
      </c>
      <c r="E4573" t="inlineStr">
        <is>
          <t>ÖREBRO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30610-2024</t>
        </is>
      </c>
      <c r="B4574" s="1" t="n">
        <v>45495.3559375</v>
      </c>
      <c r="C4574" s="1" t="n">
        <v>46132</v>
      </c>
      <c r="D4574" t="inlineStr">
        <is>
          <t>ÖREBRO LÄN</t>
        </is>
      </c>
      <c r="E4574" t="inlineStr">
        <is>
          <t>ASKERSUND</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18181-2024</t>
        </is>
      </c>
      <c r="B4575" s="1" t="n">
        <v>45420.64561342593</v>
      </c>
      <c r="C4575" s="1" t="n">
        <v>46132</v>
      </c>
      <c r="D4575" t="inlineStr">
        <is>
          <t>ÖREBRO LÄN</t>
        </is>
      </c>
      <c r="E4575" t="inlineStr">
        <is>
          <t>ÖREBRO</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33930-2023</t>
        </is>
      </c>
      <c r="B4576" s="1" t="n">
        <v>45134.49881944444</v>
      </c>
      <c r="C4576" s="1" t="n">
        <v>46132</v>
      </c>
      <c r="D4576" t="inlineStr">
        <is>
          <t>ÖREBRO LÄN</t>
        </is>
      </c>
      <c r="E4576" t="inlineStr">
        <is>
          <t>LAXÅ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9185-2025</t>
        </is>
      </c>
      <c r="B4577" s="1" t="n">
        <v>45714.44074074074</v>
      </c>
      <c r="C4577" s="1" t="n">
        <v>46132</v>
      </c>
      <c r="D4577" t="inlineStr">
        <is>
          <t>ÖREBRO LÄN</t>
        </is>
      </c>
      <c r="E4577" t="inlineStr">
        <is>
          <t>HALLSBERG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40456-2023</t>
        </is>
      </c>
      <c r="B4578" s="1" t="n">
        <v>45170</v>
      </c>
      <c r="C4578" s="1" t="n">
        <v>46132</v>
      </c>
      <c r="D4578" t="inlineStr">
        <is>
          <t>ÖREBRO LÄN</t>
        </is>
      </c>
      <c r="E4578" t="inlineStr">
        <is>
          <t>LINDESBERG</t>
        </is>
      </c>
      <c r="F4578" t="inlineStr">
        <is>
          <t>Kyrkan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45229-2023</t>
        </is>
      </c>
      <c r="B4579" s="1" t="n">
        <v>45191</v>
      </c>
      <c r="C4579" s="1" t="n">
        <v>46132</v>
      </c>
      <c r="D4579" t="inlineStr">
        <is>
          <t>ÖREBRO LÄN</t>
        </is>
      </c>
      <c r="E4579" t="inlineStr">
        <is>
          <t>NORA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19178-2025</t>
        </is>
      </c>
      <c r="B4580" s="1" t="n">
        <v>45769</v>
      </c>
      <c r="C4580" s="1" t="n">
        <v>46132</v>
      </c>
      <c r="D4580" t="inlineStr">
        <is>
          <t>ÖREBRO LÄN</t>
        </is>
      </c>
      <c r="E4580" t="inlineStr">
        <is>
          <t>LEKEBERG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38415-2023</t>
        </is>
      </c>
      <c r="B4581" s="1" t="n">
        <v>45162.35502314815</v>
      </c>
      <c r="C4581" s="1" t="n">
        <v>46132</v>
      </c>
      <c r="D4581" t="inlineStr">
        <is>
          <t>ÖREBRO LÄN</t>
        </is>
      </c>
      <c r="E4581" t="inlineStr">
        <is>
          <t>ÖREBRO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58574-2024</t>
        </is>
      </c>
      <c r="B4582" s="1" t="n">
        <v>45635</v>
      </c>
      <c r="C4582" s="1" t="n">
        <v>46132</v>
      </c>
      <c r="D4582" t="inlineStr">
        <is>
          <t>ÖREBRO LÄN</t>
        </is>
      </c>
      <c r="E4582" t="inlineStr">
        <is>
          <t>HALLSBERG</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11064-2025</t>
        </is>
      </c>
      <c r="B4583" s="1" t="n">
        <v>45723.52434027778</v>
      </c>
      <c r="C4583" s="1" t="n">
        <v>46132</v>
      </c>
      <c r="D4583" t="inlineStr">
        <is>
          <t>ÖREBRO LÄN</t>
        </is>
      </c>
      <c r="E4583" t="inlineStr">
        <is>
          <t>ASKERSUND</t>
        </is>
      </c>
      <c r="F4583" t="inlineStr">
        <is>
          <t>Sveaskog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323-2024</t>
        </is>
      </c>
      <c r="B4584" s="1" t="n">
        <v>45295.56476851852</v>
      </c>
      <c r="C4584" s="1" t="n">
        <v>46132</v>
      </c>
      <c r="D4584" t="inlineStr">
        <is>
          <t>ÖREBRO LÄN</t>
        </is>
      </c>
      <c r="E4584" t="inlineStr">
        <is>
          <t>KUMLA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46812-2024</t>
        </is>
      </c>
      <c r="B4585" s="1" t="n">
        <v>45583</v>
      </c>
      <c r="C4585" s="1" t="n">
        <v>46132</v>
      </c>
      <c r="D4585" t="inlineStr">
        <is>
          <t>ÖREBRO LÄN</t>
        </is>
      </c>
      <c r="E4585" t="inlineStr">
        <is>
          <t>LJUSNARSBERG</t>
        </is>
      </c>
      <c r="F4585" t="inlineStr">
        <is>
          <t>Bergvik skog väst AB</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15771-2022</t>
        </is>
      </c>
      <c r="B4586" s="1" t="n">
        <v>44663.63033564815</v>
      </c>
      <c r="C4586" s="1" t="n">
        <v>46132</v>
      </c>
      <c r="D4586" t="inlineStr">
        <is>
          <t>ÖREBRO LÄN</t>
        </is>
      </c>
      <c r="E4586" t="inlineStr">
        <is>
          <t>HÄLLEFORS</t>
        </is>
      </c>
      <c r="F4586" t="inlineStr">
        <is>
          <t>Bergvik skog väst AB</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56270-2023</t>
        </is>
      </c>
      <c r="B4587" s="1" t="n">
        <v>45240</v>
      </c>
      <c r="C4587" s="1" t="n">
        <v>46132</v>
      </c>
      <c r="D4587" t="inlineStr">
        <is>
          <t>ÖREBRO LÄN</t>
        </is>
      </c>
      <c r="E4587" t="inlineStr">
        <is>
          <t>HALLSBERG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56282-2023</t>
        </is>
      </c>
      <c r="B4588" s="1" t="n">
        <v>45241.82328703703</v>
      </c>
      <c r="C4588" s="1" t="n">
        <v>46132</v>
      </c>
      <c r="D4588" t="inlineStr">
        <is>
          <t>ÖREBRO LÄN</t>
        </is>
      </c>
      <c r="E4588" t="inlineStr">
        <is>
          <t>LEKEBERG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16374-2022</t>
        </is>
      </c>
      <c r="B4589" s="1" t="n">
        <v>44671</v>
      </c>
      <c r="C4589" s="1" t="n">
        <v>46132</v>
      </c>
      <c r="D4589" t="inlineStr">
        <is>
          <t>ÖREBRO LÄN</t>
        </is>
      </c>
      <c r="E4589" t="inlineStr">
        <is>
          <t>ÖREBRO</t>
        </is>
      </c>
      <c r="F4589" t="inlineStr">
        <is>
          <t>Övriga Aktiebolag</t>
        </is>
      </c>
      <c r="G4589" t="n">
        <v>30.3</v>
      </c>
      <c r="H4589" t="n">
        <v>0</v>
      </c>
      <c r="I4589" t="n">
        <v>0</v>
      </c>
      <c r="J4589" t="n">
        <v>0</v>
      </c>
      <c r="K4589" t="n">
        <v>0</v>
      </c>
      <c r="L4589" t="n">
        <v>0</v>
      </c>
      <c r="M4589" t="n">
        <v>0</v>
      </c>
      <c r="N4589" t="n">
        <v>0</v>
      </c>
      <c r="O4589" t="n">
        <v>0</v>
      </c>
      <c r="P4589" t="n">
        <v>0</v>
      </c>
      <c r="Q4589" t="n">
        <v>0</v>
      </c>
      <c r="R4589" s="2" t="inlineStr"/>
    </row>
    <row r="4590" ht="15" customHeight="1">
      <c r="A4590" t="inlineStr">
        <is>
          <t>A 28562-2023</t>
        </is>
      </c>
      <c r="B4590" s="1" t="n">
        <v>45103.53614583334</v>
      </c>
      <c r="C4590" s="1" t="n">
        <v>46132</v>
      </c>
      <c r="D4590" t="inlineStr">
        <is>
          <t>ÖREBRO LÄN</t>
        </is>
      </c>
      <c r="E4590" t="inlineStr">
        <is>
          <t>LINDESBERG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14702-2023</t>
        </is>
      </c>
      <c r="B4591" s="1" t="n">
        <v>45014</v>
      </c>
      <c r="C4591" s="1" t="n">
        <v>46132</v>
      </c>
      <c r="D4591" t="inlineStr">
        <is>
          <t>ÖREBRO LÄN</t>
        </is>
      </c>
      <c r="E4591" t="inlineStr">
        <is>
          <t>LEKEBERG</t>
        </is>
      </c>
      <c r="G4591" t="n">
        <v>12.1</v>
      </c>
      <c r="H4591" t="n">
        <v>0</v>
      </c>
      <c r="I4591" t="n">
        <v>0</v>
      </c>
      <c r="J4591" t="n">
        <v>0</v>
      </c>
      <c r="K4591" t="n">
        <v>0</v>
      </c>
      <c r="L4591" t="n">
        <v>0</v>
      </c>
      <c r="M4591" t="n">
        <v>0</v>
      </c>
      <c r="N4591" t="n">
        <v>0</v>
      </c>
      <c r="O4591" t="n">
        <v>0</v>
      </c>
      <c r="P4591" t="n">
        <v>0</v>
      </c>
      <c r="Q4591" t="n">
        <v>0</v>
      </c>
      <c r="R4591" s="2" t="inlineStr"/>
    </row>
    <row r="4592" ht="15" customHeight="1">
      <c r="A4592" t="inlineStr">
        <is>
          <t>A 45862-2023</t>
        </is>
      </c>
      <c r="B4592" s="1" t="n">
        <v>45195</v>
      </c>
      <c r="C4592" s="1" t="n">
        <v>46132</v>
      </c>
      <c r="D4592" t="inlineStr">
        <is>
          <t>ÖREBRO LÄN</t>
        </is>
      </c>
      <c r="E4592" t="inlineStr">
        <is>
          <t>HALLSBERG</t>
        </is>
      </c>
      <c r="F4592" t="inlineStr">
        <is>
          <t>Allmännings- och besparingsskogar</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17463-2023</t>
        </is>
      </c>
      <c r="B4593" s="1" t="n">
        <v>45036</v>
      </c>
      <c r="C4593" s="1" t="n">
        <v>46132</v>
      </c>
      <c r="D4593" t="inlineStr">
        <is>
          <t>ÖREBRO LÄN</t>
        </is>
      </c>
      <c r="E4593" t="inlineStr">
        <is>
          <t>LINDESBERG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60523-2024</t>
        </is>
      </c>
      <c r="B4594" s="1" t="n">
        <v>45643.69060185185</v>
      </c>
      <c r="C4594" s="1" t="n">
        <v>46132</v>
      </c>
      <c r="D4594" t="inlineStr">
        <is>
          <t>ÖREBRO LÄN</t>
        </is>
      </c>
      <c r="E4594" t="inlineStr">
        <is>
          <t>HÄLLEFORS</t>
        </is>
      </c>
      <c r="F4594" t="inlineStr">
        <is>
          <t>Bergvik skog väst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60397-2022</t>
        </is>
      </c>
      <c r="B4595" s="1" t="n">
        <v>44910.90956018519</v>
      </c>
      <c r="C4595" s="1" t="n">
        <v>46132</v>
      </c>
      <c r="D4595" t="inlineStr">
        <is>
          <t>ÖREBRO LÄN</t>
        </is>
      </c>
      <c r="E4595" t="inlineStr">
        <is>
          <t>NORA</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26537-2021</t>
        </is>
      </c>
      <c r="B4596" s="1" t="n">
        <v>44348</v>
      </c>
      <c r="C4596" s="1" t="n">
        <v>46132</v>
      </c>
      <c r="D4596" t="inlineStr">
        <is>
          <t>ÖREBRO LÄN</t>
        </is>
      </c>
      <c r="E4596" t="inlineStr">
        <is>
          <t>HÄLLEFORS</t>
        </is>
      </c>
      <c r="F4596" t="inlineStr">
        <is>
          <t>Bergvik skog väst AB</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18835-2025</t>
        </is>
      </c>
      <c r="B4597" s="1" t="n">
        <v>45764.39592592593</v>
      </c>
      <c r="C4597" s="1" t="n">
        <v>46132</v>
      </c>
      <c r="D4597" t="inlineStr">
        <is>
          <t>ÖREBRO LÄN</t>
        </is>
      </c>
      <c r="E4597" t="inlineStr">
        <is>
          <t>LAXÅ</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6511-2025</t>
        </is>
      </c>
      <c r="B4598" s="1" t="n">
        <v>45699.65424768518</v>
      </c>
      <c r="C4598" s="1" t="n">
        <v>46132</v>
      </c>
      <c r="D4598" t="inlineStr">
        <is>
          <t>ÖREBRO LÄN</t>
        </is>
      </c>
      <c r="E4598" t="inlineStr">
        <is>
          <t>LINDESBERG</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1345-2024</t>
        </is>
      </c>
      <c r="B4599" s="1" t="n">
        <v>45303</v>
      </c>
      <c r="C4599" s="1" t="n">
        <v>46132</v>
      </c>
      <c r="D4599" t="inlineStr">
        <is>
          <t>ÖREBRO LÄN</t>
        </is>
      </c>
      <c r="E4599" t="inlineStr">
        <is>
          <t>ASKERSUND</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9704-2023</t>
        </is>
      </c>
      <c r="B4600" s="1" t="n">
        <v>44984</v>
      </c>
      <c r="C4600" s="1" t="n">
        <v>46132</v>
      </c>
      <c r="D4600" t="inlineStr">
        <is>
          <t>ÖREBRO LÄN</t>
        </is>
      </c>
      <c r="E4600" t="inlineStr">
        <is>
          <t>ÖREBRO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19408-2023</t>
        </is>
      </c>
      <c r="B4601" s="1" t="n">
        <v>45049</v>
      </c>
      <c r="C4601" s="1" t="n">
        <v>46132</v>
      </c>
      <c r="D4601" t="inlineStr">
        <is>
          <t>ÖREBRO LÄN</t>
        </is>
      </c>
      <c r="E4601" t="inlineStr">
        <is>
          <t>HALLSBERG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55486-2024</t>
        </is>
      </c>
      <c r="B4602" s="1" t="n">
        <v>45622.44341435185</v>
      </c>
      <c r="C4602" s="1" t="n">
        <v>46132</v>
      </c>
      <c r="D4602" t="inlineStr">
        <is>
          <t>ÖREBRO LÄN</t>
        </is>
      </c>
      <c r="E4602" t="inlineStr">
        <is>
          <t>LAXÅ</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11625-2022</t>
        </is>
      </c>
      <c r="B4603" s="1" t="n">
        <v>44631</v>
      </c>
      <c r="C4603" s="1" t="n">
        <v>46132</v>
      </c>
      <c r="D4603" t="inlineStr">
        <is>
          <t>ÖREBRO LÄN</t>
        </is>
      </c>
      <c r="E4603" t="inlineStr">
        <is>
          <t>ASKERSUND</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11631-2022</t>
        </is>
      </c>
      <c r="B4604" s="1" t="n">
        <v>44631</v>
      </c>
      <c r="C4604" s="1" t="n">
        <v>46132</v>
      </c>
      <c r="D4604" t="inlineStr">
        <is>
          <t>ÖREBRO LÄN</t>
        </is>
      </c>
      <c r="E4604" t="inlineStr">
        <is>
          <t>NORA</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21886-2023</t>
        </is>
      </c>
      <c r="B4605" s="1" t="n">
        <v>45068</v>
      </c>
      <c r="C4605" s="1" t="n">
        <v>46132</v>
      </c>
      <c r="D4605" t="inlineStr">
        <is>
          <t>ÖREBRO LÄN</t>
        </is>
      </c>
      <c r="E4605" t="inlineStr">
        <is>
          <t>LEKEBERG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21886-2023</t>
        </is>
      </c>
      <c r="B4606" s="1" t="n">
        <v>45068</v>
      </c>
      <c r="C4606" s="1" t="n">
        <v>46132</v>
      </c>
      <c r="D4606" t="inlineStr">
        <is>
          <t>ÖREBRO LÄN</t>
        </is>
      </c>
      <c r="E4606" t="inlineStr">
        <is>
          <t>LEKEBERG</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21901-2023</t>
        </is>
      </c>
      <c r="B4607" s="1" t="n">
        <v>45068.53265046296</v>
      </c>
      <c r="C4607" s="1" t="n">
        <v>46132</v>
      </c>
      <c r="D4607" t="inlineStr">
        <is>
          <t>ÖREBRO LÄN</t>
        </is>
      </c>
      <c r="E4607" t="inlineStr">
        <is>
          <t>HÄLLEFORS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19180-2025</t>
        </is>
      </c>
      <c r="B4608" s="1" t="n">
        <v>45769.40133101852</v>
      </c>
      <c r="C4608" s="1" t="n">
        <v>46132</v>
      </c>
      <c r="D4608" t="inlineStr">
        <is>
          <t>ÖREBRO LÄN</t>
        </is>
      </c>
      <c r="E4608" t="inlineStr">
        <is>
          <t>ÖREBRO</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45539-2024</t>
        </is>
      </c>
      <c r="B4609" s="1" t="n">
        <v>45578</v>
      </c>
      <c r="C4609" s="1" t="n">
        <v>46132</v>
      </c>
      <c r="D4609" t="inlineStr">
        <is>
          <t>ÖREBRO LÄN</t>
        </is>
      </c>
      <c r="E4609" t="inlineStr">
        <is>
          <t>LJUSNARSBERG</t>
        </is>
      </c>
      <c r="F4609" t="inlineStr">
        <is>
          <t>Bergvik skog väst AB</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52289-2023</t>
        </is>
      </c>
      <c r="B4610" s="1" t="n">
        <v>45224.59074074074</v>
      </c>
      <c r="C4610" s="1" t="n">
        <v>46132</v>
      </c>
      <c r="D4610" t="inlineStr">
        <is>
          <t>ÖREBRO LÄN</t>
        </is>
      </c>
      <c r="E4610" t="inlineStr">
        <is>
          <t>ASKERSUND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46052-2024</t>
        </is>
      </c>
      <c r="B4611" s="1" t="n">
        <v>45580.89116898148</v>
      </c>
      <c r="C4611" s="1" t="n">
        <v>46132</v>
      </c>
      <c r="D4611" t="inlineStr">
        <is>
          <t>ÖREBRO LÄN</t>
        </is>
      </c>
      <c r="E4611" t="inlineStr">
        <is>
          <t>ÖREBRO</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6776-2025</t>
        </is>
      </c>
      <c r="B4612" s="1" t="n">
        <v>45700.64421296296</v>
      </c>
      <c r="C4612" s="1" t="n">
        <v>46132</v>
      </c>
      <c r="D4612" t="inlineStr">
        <is>
          <t>ÖREBRO LÄN</t>
        </is>
      </c>
      <c r="E4612" t="inlineStr">
        <is>
          <t>HALLSBERG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22829-2023</t>
        </is>
      </c>
      <c r="B4613" s="1" t="n">
        <v>45072.42776620371</v>
      </c>
      <c r="C4613" s="1" t="n">
        <v>46132</v>
      </c>
      <c r="D4613" t="inlineStr">
        <is>
          <t>ÖREBRO LÄN</t>
        </is>
      </c>
      <c r="E4613" t="inlineStr">
        <is>
          <t>LINDESBERG</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58527-2024</t>
        </is>
      </c>
      <c r="B4614" s="1" t="n">
        <v>45635.44388888889</v>
      </c>
      <c r="C4614" s="1" t="n">
        <v>46132</v>
      </c>
      <c r="D4614" t="inlineStr">
        <is>
          <t>ÖREBRO LÄN</t>
        </is>
      </c>
      <c r="E4614" t="inlineStr">
        <is>
          <t>ÖREBRO</t>
        </is>
      </c>
      <c r="F4614" t="inlineStr">
        <is>
          <t>Sveaskog</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55397-2023</t>
        </is>
      </c>
      <c r="B4615" s="1" t="n">
        <v>45238</v>
      </c>
      <c r="C4615" s="1" t="n">
        <v>46132</v>
      </c>
      <c r="D4615" t="inlineStr">
        <is>
          <t>ÖREBRO LÄN</t>
        </is>
      </c>
      <c r="E4615" t="inlineStr">
        <is>
          <t>HÄLLEFORS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8936-2025</t>
        </is>
      </c>
      <c r="B4616" s="1" t="n">
        <v>45714</v>
      </c>
      <c r="C4616" s="1" t="n">
        <v>46132</v>
      </c>
      <c r="D4616" t="inlineStr">
        <is>
          <t>ÖREBRO LÄN</t>
        </is>
      </c>
      <c r="E4616" t="inlineStr">
        <is>
          <t>NORA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37564-2024</t>
        </is>
      </c>
      <c r="B4617" s="1" t="n">
        <v>45541.44607638889</v>
      </c>
      <c r="C4617" s="1" t="n">
        <v>46132</v>
      </c>
      <c r="D4617" t="inlineStr">
        <is>
          <t>ÖREBRO LÄN</t>
        </is>
      </c>
      <c r="E4617" t="inlineStr">
        <is>
          <t>LEKEBERG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60082-2023</t>
        </is>
      </c>
      <c r="B4618" s="1" t="n">
        <v>45258</v>
      </c>
      <c r="C4618" s="1" t="n">
        <v>46132</v>
      </c>
      <c r="D4618" t="inlineStr">
        <is>
          <t>ÖREBRO LÄN</t>
        </is>
      </c>
      <c r="E4618" t="inlineStr">
        <is>
          <t>HALLSBERG</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8259-2025</t>
        </is>
      </c>
      <c r="B4619" s="1" t="n">
        <v>45708.50091435185</v>
      </c>
      <c r="C4619" s="1" t="n">
        <v>46132</v>
      </c>
      <c r="D4619" t="inlineStr">
        <is>
          <t>ÖREBRO LÄN</t>
        </is>
      </c>
      <c r="E4619" t="inlineStr">
        <is>
          <t>KARLSKOGA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37022-2024</t>
        </is>
      </c>
      <c r="B4620" s="1" t="n">
        <v>45539.3822337963</v>
      </c>
      <c r="C4620" s="1" t="n">
        <v>46132</v>
      </c>
      <c r="D4620" t="inlineStr">
        <is>
          <t>ÖREBRO LÄN</t>
        </is>
      </c>
      <c r="E4620" t="inlineStr">
        <is>
          <t>ÖREBRO</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37024-2024</t>
        </is>
      </c>
      <c r="B4621" s="1" t="n">
        <v>45539.38329861111</v>
      </c>
      <c r="C4621" s="1" t="n">
        <v>46132</v>
      </c>
      <c r="D4621" t="inlineStr">
        <is>
          <t>ÖREBRO LÄN</t>
        </is>
      </c>
      <c r="E4621" t="inlineStr">
        <is>
          <t>ÖREBRO</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60105-2022</t>
        </is>
      </c>
      <c r="B4622" s="1" t="n">
        <v>44902</v>
      </c>
      <c r="C4622" s="1" t="n">
        <v>46132</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25528-2023</t>
        </is>
      </c>
      <c r="B4623" s="1" t="n">
        <v>45089</v>
      </c>
      <c r="C4623" s="1" t="n">
        <v>46132</v>
      </c>
      <c r="D4623" t="inlineStr">
        <is>
          <t>ÖREBRO LÄN</t>
        </is>
      </c>
      <c r="E4623" t="inlineStr">
        <is>
          <t>ASKERSUND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31189-2024</t>
        </is>
      </c>
      <c r="B4624" s="1" t="n">
        <v>45503</v>
      </c>
      <c r="C4624" s="1" t="n">
        <v>46132</v>
      </c>
      <c r="D4624" t="inlineStr">
        <is>
          <t>ÖREBRO LÄN</t>
        </is>
      </c>
      <c r="E4624" t="inlineStr">
        <is>
          <t>LAXÅ</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31190-2024</t>
        </is>
      </c>
      <c r="B4625" s="1" t="n">
        <v>45503</v>
      </c>
      <c r="C4625" s="1" t="n">
        <v>46132</v>
      </c>
      <c r="D4625" t="inlineStr">
        <is>
          <t>ÖREBRO LÄN</t>
        </is>
      </c>
      <c r="E4625" t="inlineStr">
        <is>
          <t>LAXÅ</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61517-2021</t>
        </is>
      </c>
      <c r="B4626" s="1" t="n">
        <v>44501</v>
      </c>
      <c r="C4626" s="1" t="n">
        <v>46132</v>
      </c>
      <c r="D4626" t="inlineStr">
        <is>
          <t>ÖREBRO LÄN</t>
        </is>
      </c>
      <c r="E4626" t="inlineStr">
        <is>
          <t>ASKERSUND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4716-2022</t>
        </is>
      </c>
      <c r="B4627" s="1" t="n">
        <v>44592</v>
      </c>
      <c r="C4627" s="1" t="n">
        <v>46132</v>
      </c>
      <c r="D4627" t="inlineStr">
        <is>
          <t>ÖREBRO LÄN</t>
        </is>
      </c>
      <c r="E4627" t="inlineStr">
        <is>
          <t>HÄLLEFORS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38075-2022</t>
        </is>
      </c>
      <c r="B4628" s="1" t="n">
        <v>44811</v>
      </c>
      <c r="C4628" s="1" t="n">
        <v>46132</v>
      </c>
      <c r="D4628" t="inlineStr">
        <is>
          <t>ÖREBRO LÄN</t>
        </is>
      </c>
      <c r="E4628" t="inlineStr">
        <is>
          <t>ÖREBRO</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28897-2023</t>
        </is>
      </c>
      <c r="B4629" s="1" t="n">
        <v>45104</v>
      </c>
      <c r="C4629" s="1" t="n">
        <v>46132</v>
      </c>
      <c r="D4629" t="inlineStr">
        <is>
          <t>ÖREBRO LÄN</t>
        </is>
      </c>
      <c r="E4629" t="inlineStr">
        <is>
          <t>ASKERSUND</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918-2025</t>
        </is>
      </c>
      <c r="B4630" s="1" t="n">
        <v>45664</v>
      </c>
      <c r="C4630" s="1" t="n">
        <v>46132</v>
      </c>
      <c r="D4630" t="inlineStr">
        <is>
          <t>ÖREBRO LÄN</t>
        </is>
      </c>
      <c r="E4630" t="inlineStr">
        <is>
          <t>ASKERSUND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920-2025</t>
        </is>
      </c>
      <c r="B4631" s="1" t="n">
        <v>45664</v>
      </c>
      <c r="C4631" s="1" t="n">
        <v>46132</v>
      </c>
      <c r="D4631" t="inlineStr">
        <is>
          <t>ÖREBRO LÄN</t>
        </is>
      </c>
      <c r="E4631" t="inlineStr">
        <is>
          <t>ASKERSUND</t>
        </is>
      </c>
      <c r="G4631" t="n">
        <v>12.9</v>
      </c>
      <c r="H4631" t="n">
        <v>0</v>
      </c>
      <c r="I4631" t="n">
        <v>0</v>
      </c>
      <c r="J4631" t="n">
        <v>0</v>
      </c>
      <c r="K4631" t="n">
        <v>0</v>
      </c>
      <c r="L4631" t="n">
        <v>0</v>
      </c>
      <c r="M4631" t="n">
        <v>0</v>
      </c>
      <c r="N4631" t="n">
        <v>0</v>
      </c>
      <c r="O4631" t="n">
        <v>0</v>
      </c>
      <c r="P4631" t="n">
        <v>0</v>
      </c>
      <c r="Q4631" t="n">
        <v>0</v>
      </c>
      <c r="R4631" s="2" t="inlineStr"/>
    </row>
    <row r="4632" ht="15" customHeight="1">
      <c r="A4632" t="inlineStr">
        <is>
          <t>A 11382-2023</t>
        </is>
      </c>
      <c r="B4632" s="1" t="n">
        <v>44993.45635416666</v>
      </c>
      <c r="C4632" s="1" t="n">
        <v>46132</v>
      </c>
      <c r="D4632" t="inlineStr">
        <is>
          <t>ÖREBRO LÄN</t>
        </is>
      </c>
      <c r="E4632" t="inlineStr">
        <is>
          <t>ÖREBRO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20184-2024</t>
        </is>
      </c>
      <c r="B4633" s="1" t="n">
        <v>45434.62350694444</v>
      </c>
      <c r="C4633" s="1" t="n">
        <v>46132</v>
      </c>
      <c r="D4633" t="inlineStr">
        <is>
          <t>ÖREBRO LÄN</t>
        </is>
      </c>
      <c r="E4633" t="inlineStr">
        <is>
          <t>ASKERSUND</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28620-2023</t>
        </is>
      </c>
      <c r="B4634" s="1" t="n">
        <v>45103.5975462963</v>
      </c>
      <c r="C4634" s="1" t="n">
        <v>46132</v>
      </c>
      <c r="D4634" t="inlineStr">
        <is>
          <t>ÖREBRO LÄN</t>
        </is>
      </c>
      <c r="E4634" t="inlineStr">
        <is>
          <t>LEKEBERG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27767-2023</t>
        </is>
      </c>
      <c r="B4635" s="1" t="n">
        <v>45098.41659722223</v>
      </c>
      <c r="C4635" s="1" t="n">
        <v>46132</v>
      </c>
      <c r="D4635" t="inlineStr">
        <is>
          <t>ÖREBRO LÄN</t>
        </is>
      </c>
      <c r="E4635" t="inlineStr">
        <is>
          <t>NORA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21548-2024</t>
        </is>
      </c>
      <c r="B4636" s="1" t="n">
        <v>45441.62837962963</v>
      </c>
      <c r="C4636" s="1" t="n">
        <v>46132</v>
      </c>
      <c r="D4636" t="inlineStr">
        <is>
          <t>ÖREBRO LÄN</t>
        </is>
      </c>
      <c r="E4636" t="inlineStr">
        <is>
          <t>LAXÅ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21562-2024</t>
        </is>
      </c>
      <c r="B4637" s="1" t="n">
        <v>45441.65392361111</v>
      </c>
      <c r="C4637" s="1" t="n">
        <v>46132</v>
      </c>
      <c r="D4637" t="inlineStr">
        <is>
          <t>ÖREBRO LÄN</t>
        </is>
      </c>
      <c r="E4637" t="inlineStr">
        <is>
          <t>DEGERFORS</t>
        </is>
      </c>
      <c r="F4637" t="inlineStr">
        <is>
          <t>Sveaskog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54227-2024</t>
        </is>
      </c>
      <c r="B4638" s="1" t="n">
        <v>45616</v>
      </c>
      <c r="C4638" s="1" t="n">
        <v>46132</v>
      </c>
      <c r="D4638" t="inlineStr">
        <is>
          <t>ÖREBRO LÄN</t>
        </is>
      </c>
      <c r="E4638" t="inlineStr">
        <is>
          <t>LEKEBERG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13563-2024</t>
        </is>
      </c>
      <c r="B4639" s="1" t="n">
        <v>45388.99935185185</v>
      </c>
      <c r="C4639" s="1" t="n">
        <v>46132</v>
      </c>
      <c r="D4639" t="inlineStr">
        <is>
          <t>ÖREBRO LÄN</t>
        </is>
      </c>
      <c r="E4639" t="inlineStr">
        <is>
          <t>NORA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53031-2024</t>
        </is>
      </c>
      <c r="B4640" s="1" t="n">
        <v>45611</v>
      </c>
      <c r="C4640" s="1" t="n">
        <v>46132</v>
      </c>
      <c r="D4640" t="inlineStr">
        <is>
          <t>ÖREBRO LÄN</t>
        </is>
      </c>
      <c r="E4640" t="inlineStr">
        <is>
          <t>LJUSNARSBERG</t>
        </is>
      </c>
      <c r="F4640" t="inlineStr">
        <is>
          <t>Bergvik skog väst AB</t>
        </is>
      </c>
      <c r="G4640" t="n">
        <v>8.6</v>
      </c>
      <c r="H4640" t="n">
        <v>0</v>
      </c>
      <c r="I4640" t="n">
        <v>0</v>
      </c>
      <c r="J4640" t="n">
        <v>0</v>
      </c>
      <c r="K4640" t="n">
        <v>0</v>
      </c>
      <c r="L4640" t="n">
        <v>0</v>
      </c>
      <c r="M4640" t="n">
        <v>0</v>
      </c>
      <c r="N4640" t="n">
        <v>0</v>
      </c>
      <c r="O4640" t="n">
        <v>0</v>
      </c>
      <c r="P4640" t="n">
        <v>0</v>
      </c>
      <c r="Q4640" t="n">
        <v>0</v>
      </c>
      <c r="R4640" s="2" t="inlineStr"/>
    </row>
    <row r="4641" ht="15" customHeight="1">
      <c r="A4641" t="inlineStr">
        <is>
          <t>A 53046-2024</t>
        </is>
      </c>
      <c r="B4641" s="1" t="n">
        <v>45611.44960648148</v>
      </c>
      <c r="C4641" s="1" t="n">
        <v>46132</v>
      </c>
      <c r="D4641" t="inlineStr">
        <is>
          <t>ÖREBRO LÄN</t>
        </is>
      </c>
      <c r="E4641" t="inlineStr">
        <is>
          <t>LINDESBERG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20121-2024</t>
        </is>
      </c>
      <c r="B4642" s="1" t="n">
        <v>45434</v>
      </c>
      <c r="C4642" s="1" t="n">
        <v>46132</v>
      </c>
      <c r="D4642" t="inlineStr">
        <is>
          <t>ÖREBRO LÄN</t>
        </is>
      </c>
      <c r="E4642" t="inlineStr">
        <is>
          <t>ÖREBRO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53620-2024</t>
        </is>
      </c>
      <c r="B4643" s="1" t="n">
        <v>45614.73983796296</v>
      </c>
      <c r="C4643" s="1" t="n">
        <v>46132</v>
      </c>
      <c r="D4643" t="inlineStr">
        <is>
          <t>ÖREBRO LÄN</t>
        </is>
      </c>
      <c r="E4643" t="inlineStr">
        <is>
          <t>KARLSKOGA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9569-2023</t>
        </is>
      </c>
      <c r="B4644" s="1" t="n">
        <v>44982.51056712963</v>
      </c>
      <c r="C4644" s="1" t="n">
        <v>46132</v>
      </c>
      <c r="D4644" t="inlineStr">
        <is>
          <t>ÖREBRO LÄN</t>
        </is>
      </c>
      <c r="E4644" t="inlineStr">
        <is>
          <t>HALLSBERG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18590-2023</t>
        </is>
      </c>
      <c r="B4645" s="1" t="n">
        <v>45043.40300925926</v>
      </c>
      <c r="C4645" s="1" t="n">
        <v>46132</v>
      </c>
      <c r="D4645" t="inlineStr">
        <is>
          <t>ÖREBRO LÄN</t>
        </is>
      </c>
      <c r="E4645" t="inlineStr">
        <is>
          <t>LINDESBERG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43941-2023</t>
        </is>
      </c>
      <c r="B4646" s="1" t="n">
        <v>45187</v>
      </c>
      <c r="C4646" s="1" t="n">
        <v>46132</v>
      </c>
      <c r="D4646" t="inlineStr">
        <is>
          <t>ÖREBRO LÄN</t>
        </is>
      </c>
      <c r="E4646" t="inlineStr">
        <is>
          <t>HÄLLEFORS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26117-2021</t>
        </is>
      </c>
      <c r="B4647" s="1" t="n">
        <v>44345</v>
      </c>
      <c r="C4647" s="1" t="n">
        <v>46132</v>
      </c>
      <c r="D4647" t="inlineStr">
        <is>
          <t>ÖREBRO LÄN</t>
        </is>
      </c>
      <c r="E4647" t="inlineStr">
        <is>
          <t>ÖREBRO</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48429-2024</t>
        </is>
      </c>
      <c r="B4648" s="1" t="n">
        <v>45590</v>
      </c>
      <c r="C4648" s="1" t="n">
        <v>46132</v>
      </c>
      <c r="D4648" t="inlineStr">
        <is>
          <t>ÖREBRO LÄN</t>
        </is>
      </c>
      <c r="E4648" t="inlineStr">
        <is>
          <t>HÄLLEFORS</t>
        </is>
      </c>
      <c r="F4648" t="inlineStr">
        <is>
          <t>Bergvik skog väst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40524-2024</t>
        </is>
      </c>
      <c r="B4649" s="1" t="n">
        <v>45555</v>
      </c>
      <c r="C4649" s="1" t="n">
        <v>46132</v>
      </c>
      <c r="D4649" t="inlineStr">
        <is>
          <t>ÖREBRO LÄN</t>
        </is>
      </c>
      <c r="E4649" t="inlineStr">
        <is>
          <t>LAXÅ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8059-2024</t>
        </is>
      </c>
      <c r="B4650" s="1" t="n">
        <v>45351</v>
      </c>
      <c r="C4650" s="1" t="n">
        <v>46132</v>
      </c>
      <c r="D4650" t="inlineStr">
        <is>
          <t>ÖREBRO LÄN</t>
        </is>
      </c>
      <c r="E4650" t="inlineStr">
        <is>
          <t>DEGERFORS</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9933-2025</t>
        </is>
      </c>
      <c r="B4651" s="1" t="n">
        <v>45717.85300925926</v>
      </c>
      <c r="C4651" s="1" t="n">
        <v>46132</v>
      </c>
      <c r="D4651" t="inlineStr">
        <is>
          <t>ÖREBRO LÄN</t>
        </is>
      </c>
      <c r="E4651" t="inlineStr">
        <is>
          <t>HALLSBERG</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2555-2024</t>
        </is>
      </c>
      <c r="B4652" s="1" t="n">
        <v>45313.60285879629</v>
      </c>
      <c r="C4652" s="1" t="n">
        <v>46132</v>
      </c>
      <c r="D4652" t="inlineStr">
        <is>
          <t>ÖREBRO LÄN</t>
        </is>
      </c>
      <c r="E4652" t="inlineStr">
        <is>
          <t>ASKERSUND</t>
        </is>
      </c>
      <c r="G4652" t="n">
        <v>8.4</v>
      </c>
      <c r="H4652" t="n">
        <v>0</v>
      </c>
      <c r="I4652" t="n">
        <v>0</v>
      </c>
      <c r="J4652" t="n">
        <v>0</v>
      </c>
      <c r="K4652" t="n">
        <v>0</v>
      </c>
      <c r="L4652" t="n">
        <v>0</v>
      </c>
      <c r="M4652" t="n">
        <v>0</v>
      </c>
      <c r="N4652" t="n">
        <v>0</v>
      </c>
      <c r="O4652" t="n">
        <v>0</v>
      </c>
      <c r="P4652" t="n">
        <v>0</v>
      </c>
      <c r="Q4652" t="n">
        <v>0</v>
      </c>
      <c r="R4652" s="2" t="inlineStr"/>
    </row>
    <row r="4653" ht="15" customHeight="1">
      <c r="A4653" t="inlineStr">
        <is>
          <t>A 9437-2025</t>
        </is>
      </c>
      <c r="B4653" s="1" t="n">
        <v>45715.4134375</v>
      </c>
      <c r="C4653" s="1" t="n">
        <v>46132</v>
      </c>
      <c r="D4653" t="inlineStr">
        <is>
          <t>ÖREBRO LÄN</t>
        </is>
      </c>
      <c r="E4653" t="inlineStr">
        <is>
          <t>ASKERSUND</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16999-2024</t>
        </is>
      </c>
      <c r="B4654" s="1" t="n">
        <v>45412.35543981481</v>
      </c>
      <c r="C4654" s="1" t="n">
        <v>46132</v>
      </c>
      <c r="D4654" t="inlineStr">
        <is>
          <t>ÖREBRO LÄN</t>
        </is>
      </c>
      <c r="E4654" t="inlineStr">
        <is>
          <t>HÄLLEFORS</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50891-2024</t>
        </is>
      </c>
      <c r="B4655" s="1" t="n">
        <v>45602.67336805556</v>
      </c>
      <c r="C4655" s="1" t="n">
        <v>46132</v>
      </c>
      <c r="D4655" t="inlineStr">
        <is>
          <t>ÖREBRO LÄN</t>
        </is>
      </c>
      <c r="E4655" t="inlineStr">
        <is>
          <t>HALLSBERG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17700-2025</t>
        </is>
      </c>
      <c r="B4656" s="1" t="n">
        <v>45758</v>
      </c>
      <c r="C4656" s="1" t="n">
        <v>46132</v>
      </c>
      <c r="D4656" t="inlineStr">
        <is>
          <t>ÖREBRO LÄN</t>
        </is>
      </c>
      <c r="E4656" t="inlineStr">
        <is>
          <t>HALLSBERG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51539-2024</t>
        </is>
      </c>
      <c r="B4657" s="1" t="n">
        <v>45604.58837962963</v>
      </c>
      <c r="C4657" s="1" t="n">
        <v>46132</v>
      </c>
      <c r="D4657" t="inlineStr">
        <is>
          <t>ÖREBRO LÄN</t>
        </is>
      </c>
      <c r="E4657" t="inlineStr">
        <is>
          <t>LINDESBERG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55943-2024</t>
        </is>
      </c>
      <c r="B4658" s="1" t="n">
        <v>45623.61278935185</v>
      </c>
      <c r="C4658" s="1" t="n">
        <v>46132</v>
      </c>
      <c r="D4658" t="inlineStr">
        <is>
          <t>ÖREBRO LÄN</t>
        </is>
      </c>
      <c r="E4658" t="inlineStr">
        <is>
          <t>ÖREBRO</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11065-2025</t>
        </is>
      </c>
      <c r="B4659" s="1" t="n">
        <v>45723.52491898148</v>
      </c>
      <c r="C4659" s="1" t="n">
        <v>46132</v>
      </c>
      <c r="D4659" t="inlineStr">
        <is>
          <t>ÖREBRO LÄN</t>
        </is>
      </c>
      <c r="E4659" t="inlineStr">
        <is>
          <t>ASKERSUND</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15852-2025</t>
        </is>
      </c>
      <c r="B4660" s="1" t="n">
        <v>45749</v>
      </c>
      <c r="C4660" s="1" t="n">
        <v>46132</v>
      </c>
      <c r="D4660" t="inlineStr">
        <is>
          <t>ÖREBRO LÄN</t>
        </is>
      </c>
      <c r="E4660" t="inlineStr">
        <is>
          <t>LINDESBERG</t>
        </is>
      </c>
      <c r="G4660" t="n">
        <v>8.9</v>
      </c>
      <c r="H4660" t="n">
        <v>0</v>
      </c>
      <c r="I4660" t="n">
        <v>0</v>
      </c>
      <c r="J4660" t="n">
        <v>0</v>
      </c>
      <c r="K4660" t="n">
        <v>0</v>
      </c>
      <c r="L4660" t="n">
        <v>0</v>
      </c>
      <c r="M4660" t="n">
        <v>0</v>
      </c>
      <c r="N4660" t="n">
        <v>0</v>
      </c>
      <c r="O4660" t="n">
        <v>0</v>
      </c>
      <c r="P4660" t="n">
        <v>0</v>
      </c>
      <c r="Q4660" t="n">
        <v>0</v>
      </c>
      <c r="R4660" s="2" t="inlineStr"/>
    </row>
    <row r="4661" ht="15" customHeight="1">
      <c r="A4661" t="inlineStr">
        <is>
          <t>A 1013-2024</t>
        </is>
      </c>
      <c r="B4661" s="1" t="n">
        <v>45301</v>
      </c>
      <c r="C4661" s="1" t="n">
        <v>46132</v>
      </c>
      <c r="D4661" t="inlineStr">
        <is>
          <t>ÖREBRO LÄN</t>
        </is>
      </c>
      <c r="E4661" t="inlineStr">
        <is>
          <t>ÖREBRO</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13623-2024</t>
        </is>
      </c>
      <c r="B4662" s="1" t="n">
        <v>45390.38626157407</v>
      </c>
      <c r="C4662" s="1" t="n">
        <v>46132</v>
      </c>
      <c r="D4662" t="inlineStr">
        <is>
          <t>ÖREBRO LÄN</t>
        </is>
      </c>
      <c r="E4662" t="inlineStr">
        <is>
          <t>ÖREBRO</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20139-2025</t>
        </is>
      </c>
      <c r="B4663" s="1" t="n">
        <v>45772</v>
      </c>
      <c r="C4663" s="1" t="n">
        <v>46132</v>
      </c>
      <c r="D4663" t="inlineStr">
        <is>
          <t>ÖREBRO LÄN</t>
        </is>
      </c>
      <c r="E4663" t="inlineStr">
        <is>
          <t>KARLSKOGA</t>
        </is>
      </c>
      <c r="F4663" t="inlineStr">
        <is>
          <t>Sveaskog</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20140-2025</t>
        </is>
      </c>
      <c r="B4664" s="1" t="n">
        <v>45772</v>
      </c>
      <c r="C4664" s="1" t="n">
        <v>46132</v>
      </c>
      <c r="D4664" t="inlineStr">
        <is>
          <t>ÖREBRO LÄN</t>
        </is>
      </c>
      <c r="E4664" t="inlineStr">
        <is>
          <t>KARLSKOGA</t>
        </is>
      </c>
      <c r="F4664" t="inlineStr">
        <is>
          <t>Sveaskog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34539-2024</t>
        </is>
      </c>
      <c r="B4665" s="1" t="n">
        <v>45525.7374537037</v>
      </c>
      <c r="C4665" s="1" t="n">
        <v>46132</v>
      </c>
      <c r="D4665" t="inlineStr">
        <is>
          <t>ÖREBRO LÄN</t>
        </is>
      </c>
      <c r="E4665" t="inlineStr">
        <is>
          <t>LINDESBERG</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34567-2024</t>
        </is>
      </c>
      <c r="B4666" s="1" t="n">
        <v>45525</v>
      </c>
      <c r="C4666" s="1" t="n">
        <v>46132</v>
      </c>
      <c r="D4666" t="inlineStr">
        <is>
          <t>ÖREBRO LÄN</t>
        </is>
      </c>
      <c r="E4666" t="inlineStr">
        <is>
          <t>LAXÅ</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35739-2024</t>
        </is>
      </c>
      <c r="B4667" s="1" t="n">
        <v>45532</v>
      </c>
      <c r="C4667" s="1" t="n">
        <v>46132</v>
      </c>
      <c r="D4667" t="inlineStr">
        <is>
          <t>ÖREBRO LÄN</t>
        </is>
      </c>
      <c r="E4667" t="inlineStr">
        <is>
          <t>LINDESBERG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64090-2023</t>
        </is>
      </c>
      <c r="B4668" s="1" t="n">
        <v>45279.43923611111</v>
      </c>
      <c r="C4668" s="1" t="n">
        <v>46132</v>
      </c>
      <c r="D4668" t="inlineStr">
        <is>
          <t>ÖREBRO LÄN</t>
        </is>
      </c>
      <c r="E4668" t="inlineStr">
        <is>
          <t>NORA</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1383-2025</t>
        </is>
      </c>
      <c r="B4669" s="1" t="n">
        <v>45667</v>
      </c>
      <c r="C4669" s="1" t="n">
        <v>46132</v>
      </c>
      <c r="D4669" t="inlineStr">
        <is>
          <t>ÖREBRO LÄN</t>
        </is>
      </c>
      <c r="E4669" t="inlineStr">
        <is>
          <t>LINDESBERG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35930-2023</t>
        </is>
      </c>
      <c r="B4670" s="1" t="n">
        <v>45148</v>
      </c>
      <c r="C4670" s="1" t="n">
        <v>46132</v>
      </c>
      <c r="D4670" t="inlineStr">
        <is>
          <t>ÖREBRO LÄN</t>
        </is>
      </c>
      <c r="E4670" t="inlineStr">
        <is>
          <t>KARLSKOGA</t>
        </is>
      </c>
      <c r="F4670" t="inlineStr">
        <is>
          <t>Sveaskog</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916-2025</t>
        </is>
      </c>
      <c r="B4671" s="1" t="n">
        <v>45664</v>
      </c>
      <c r="C4671" s="1" t="n">
        <v>46132</v>
      </c>
      <c r="D4671" t="inlineStr">
        <is>
          <t>ÖREBRO LÄN</t>
        </is>
      </c>
      <c r="E4671" t="inlineStr">
        <is>
          <t>ASKERSUND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919-2025</t>
        </is>
      </c>
      <c r="B4672" s="1" t="n">
        <v>45664</v>
      </c>
      <c r="C4672" s="1" t="n">
        <v>46132</v>
      </c>
      <c r="D4672" t="inlineStr">
        <is>
          <t>ÖREBRO LÄN</t>
        </is>
      </c>
      <c r="E4672" t="inlineStr">
        <is>
          <t>ASKERSUND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32859-2022</t>
        </is>
      </c>
      <c r="B4673" s="1" t="n">
        <v>44784</v>
      </c>
      <c r="C4673" s="1" t="n">
        <v>46132</v>
      </c>
      <c r="D4673" t="inlineStr">
        <is>
          <t>ÖREBRO LÄN</t>
        </is>
      </c>
      <c r="E4673" t="inlineStr">
        <is>
          <t>KUMLA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54515-2023</t>
        </is>
      </c>
      <c r="B4674" s="1" t="n">
        <v>45233.57033564815</v>
      </c>
      <c r="C4674" s="1" t="n">
        <v>46132</v>
      </c>
      <c r="D4674" t="inlineStr">
        <is>
          <t>ÖREBRO LÄN</t>
        </is>
      </c>
      <c r="E4674" t="inlineStr">
        <is>
          <t>DEGERFORS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10057-2025</t>
        </is>
      </c>
      <c r="B4675" s="1" t="n">
        <v>45719.52871527777</v>
      </c>
      <c r="C4675" s="1" t="n">
        <v>46132</v>
      </c>
      <c r="D4675" t="inlineStr">
        <is>
          <t>ÖREBRO LÄN</t>
        </is>
      </c>
      <c r="E4675" t="inlineStr">
        <is>
          <t>LINDESBERG</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2799-2024</t>
        </is>
      </c>
      <c r="B4676" s="1" t="n">
        <v>45314</v>
      </c>
      <c r="C4676" s="1" t="n">
        <v>46132</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58829-2023</t>
        </is>
      </c>
      <c r="B4677" s="1" t="n">
        <v>45252</v>
      </c>
      <c r="C4677" s="1" t="n">
        <v>46132</v>
      </c>
      <c r="D4677" t="inlineStr">
        <is>
          <t>ÖREBRO LÄN</t>
        </is>
      </c>
      <c r="E4677" t="inlineStr">
        <is>
          <t>NORA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47196-2023</t>
        </is>
      </c>
      <c r="B4678" s="1" t="n">
        <v>45196</v>
      </c>
      <c r="C4678" s="1" t="n">
        <v>46132</v>
      </c>
      <c r="D4678" t="inlineStr">
        <is>
          <t>ÖREBRO LÄN</t>
        </is>
      </c>
      <c r="E4678" t="inlineStr">
        <is>
          <t>KARLSKOGA</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5330-2024</t>
        </is>
      </c>
      <c r="B4679" s="1" t="n">
        <v>45331.4187962963</v>
      </c>
      <c r="C4679" s="1" t="n">
        <v>46132</v>
      </c>
      <c r="D4679" t="inlineStr">
        <is>
          <t>ÖREBRO LÄN</t>
        </is>
      </c>
      <c r="E4679" t="inlineStr">
        <is>
          <t>ÖREBRO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6794-2025</t>
        </is>
      </c>
      <c r="B4680" s="1" t="n">
        <v>45700.66429398148</v>
      </c>
      <c r="C4680" s="1" t="n">
        <v>46132</v>
      </c>
      <c r="D4680" t="inlineStr">
        <is>
          <t>ÖREBRO LÄN</t>
        </is>
      </c>
      <c r="E4680" t="inlineStr">
        <is>
          <t>ÖREBRO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45536-2024</t>
        </is>
      </c>
      <c r="B4681" s="1" t="n">
        <v>45578</v>
      </c>
      <c r="C4681" s="1" t="n">
        <v>46132</v>
      </c>
      <c r="D4681" t="inlineStr">
        <is>
          <t>ÖREBRO LÄN</t>
        </is>
      </c>
      <c r="E4681" t="inlineStr">
        <is>
          <t>LJUSNARSBERG</t>
        </is>
      </c>
      <c r="F4681" t="inlineStr">
        <is>
          <t>Bergvik skog väst AB</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40968-2023</t>
        </is>
      </c>
      <c r="B4682" s="1" t="n">
        <v>45173.48231481481</v>
      </c>
      <c r="C4682" s="1" t="n">
        <v>46132</v>
      </c>
      <c r="D4682" t="inlineStr">
        <is>
          <t>ÖREBRO LÄN</t>
        </is>
      </c>
      <c r="E4682" t="inlineStr">
        <is>
          <t>HALLSBERG</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46863-2024</t>
        </is>
      </c>
      <c r="B4683" s="1" t="n">
        <v>45583</v>
      </c>
      <c r="C4683" s="1" t="n">
        <v>46132</v>
      </c>
      <c r="D4683" t="inlineStr">
        <is>
          <t>ÖREBRO LÄN</t>
        </is>
      </c>
      <c r="E4683" t="inlineStr">
        <is>
          <t>HALLSBERG</t>
        </is>
      </c>
      <c r="F4683" t="inlineStr">
        <is>
          <t>Sveaskog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53618-2024</t>
        </is>
      </c>
      <c r="B4684" s="1" t="n">
        <v>45614.73951388889</v>
      </c>
      <c r="C4684" s="1" t="n">
        <v>46132</v>
      </c>
      <c r="D4684" t="inlineStr">
        <is>
          <t>ÖREBRO LÄN</t>
        </is>
      </c>
      <c r="E4684" t="inlineStr">
        <is>
          <t>KARLSKOGA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55476-2024</t>
        </is>
      </c>
      <c r="B4685" s="1" t="n">
        <v>45622.43747685185</v>
      </c>
      <c r="C4685" s="1" t="n">
        <v>46132</v>
      </c>
      <c r="D4685" t="inlineStr">
        <is>
          <t>ÖREBRO LÄN</t>
        </is>
      </c>
      <c r="E4685" t="inlineStr">
        <is>
          <t>LAXÅ</t>
        </is>
      </c>
      <c r="F4685" t="inlineStr">
        <is>
          <t>Sveaskog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55481-2024</t>
        </is>
      </c>
      <c r="B4686" s="1" t="n">
        <v>45622.44200231481</v>
      </c>
      <c r="C4686" s="1" t="n">
        <v>46132</v>
      </c>
      <c r="D4686" t="inlineStr">
        <is>
          <t>ÖREBRO LÄN</t>
        </is>
      </c>
      <c r="E4686" t="inlineStr">
        <is>
          <t>LAXÅ</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55484-2024</t>
        </is>
      </c>
      <c r="B4687" s="1" t="n">
        <v>45622.44274305556</v>
      </c>
      <c r="C4687" s="1" t="n">
        <v>46132</v>
      </c>
      <c r="D4687" t="inlineStr">
        <is>
          <t>ÖREBRO LÄN</t>
        </is>
      </c>
      <c r="E4687" t="inlineStr">
        <is>
          <t>LAXÅ</t>
        </is>
      </c>
      <c r="F4687" t="inlineStr">
        <is>
          <t>Sveaskog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48782-2024</t>
        </is>
      </c>
      <c r="B4688" s="1" t="n">
        <v>45593</v>
      </c>
      <c r="C4688" s="1" t="n">
        <v>46132</v>
      </c>
      <c r="D4688" t="inlineStr">
        <is>
          <t>ÖREBRO LÄN</t>
        </is>
      </c>
      <c r="E4688" t="inlineStr">
        <is>
          <t>LAXÅ</t>
        </is>
      </c>
      <c r="F4688" t="inlineStr">
        <is>
          <t>Sveaskog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56395-2024</t>
        </is>
      </c>
      <c r="B4689" s="1" t="n">
        <v>45625.34810185185</v>
      </c>
      <c r="C4689" s="1" t="n">
        <v>46132</v>
      </c>
      <c r="D4689" t="inlineStr">
        <is>
          <t>ÖREBRO LÄN</t>
        </is>
      </c>
      <c r="E4689" t="inlineStr">
        <is>
          <t>ASKERSUND</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25723-2023</t>
        </is>
      </c>
      <c r="B4690" s="1" t="n">
        <v>45090.3674537037</v>
      </c>
      <c r="C4690" s="1" t="n">
        <v>46132</v>
      </c>
      <c r="D4690" t="inlineStr">
        <is>
          <t>ÖREBRO LÄN</t>
        </is>
      </c>
      <c r="E4690" t="inlineStr">
        <is>
          <t>NORA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59056-2024</t>
        </is>
      </c>
      <c r="B4691" s="1" t="n">
        <v>45636</v>
      </c>
      <c r="C4691" s="1" t="n">
        <v>46132</v>
      </c>
      <c r="D4691" t="inlineStr">
        <is>
          <t>ÖREBRO LÄN</t>
        </is>
      </c>
      <c r="E4691" t="inlineStr">
        <is>
          <t>NORA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29436-2023</t>
        </is>
      </c>
      <c r="B4692" s="1" t="n">
        <v>45106.49378472222</v>
      </c>
      <c r="C4692" s="1" t="n">
        <v>46132</v>
      </c>
      <c r="D4692" t="inlineStr">
        <is>
          <t>ÖREBRO LÄN</t>
        </is>
      </c>
      <c r="E4692" t="inlineStr">
        <is>
          <t>LJUSNARSBERG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6140-2025</t>
        </is>
      </c>
      <c r="B4693" s="1" t="n">
        <v>45698.3849537037</v>
      </c>
      <c r="C4693" s="1" t="n">
        <v>46132</v>
      </c>
      <c r="D4693" t="inlineStr">
        <is>
          <t>ÖREBRO LÄN</t>
        </is>
      </c>
      <c r="E4693" t="inlineStr">
        <is>
          <t>LEKEBERG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43247-2023</t>
        </is>
      </c>
      <c r="B4694" s="1" t="n">
        <v>45183.48666666666</v>
      </c>
      <c r="C4694" s="1" t="n">
        <v>46132</v>
      </c>
      <c r="D4694" t="inlineStr">
        <is>
          <t>ÖREBRO LÄN</t>
        </is>
      </c>
      <c r="E4694" t="inlineStr">
        <is>
          <t>LINDESBERG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626-2025</t>
        </is>
      </c>
      <c r="B4695" s="1" t="n">
        <v>45664</v>
      </c>
      <c r="C4695" s="1" t="n">
        <v>46132</v>
      </c>
      <c r="D4695" t="inlineStr">
        <is>
          <t>ÖREBRO LÄN</t>
        </is>
      </c>
      <c r="E4695" t="inlineStr">
        <is>
          <t>LINDESBERG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13413-2025</t>
        </is>
      </c>
      <c r="B4696" s="1" t="n">
        <v>45736.27847222222</v>
      </c>
      <c r="C4696" s="1" t="n">
        <v>46132</v>
      </c>
      <c r="D4696" t="inlineStr">
        <is>
          <t>ÖREBRO LÄN</t>
        </is>
      </c>
      <c r="E4696" t="inlineStr">
        <is>
          <t>DEGERFORS</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43046-2022</t>
        </is>
      </c>
      <c r="B4697" s="1" t="n">
        <v>44833</v>
      </c>
      <c r="C4697" s="1" t="n">
        <v>46132</v>
      </c>
      <c r="D4697" t="inlineStr">
        <is>
          <t>ÖREBRO LÄN</t>
        </is>
      </c>
      <c r="E4697" t="inlineStr">
        <is>
          <t>LINDESBERG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38193-2024</t>
        </is>
      </c>
      <c r="B4698" s="1" t="n">
        <v>45545.49151620371</v>
      </c>
      <c r="C4698" s="1" t="n">
        <v>46132</v>
      </c>
      <c r="D4698" t="inlineStr">
        <is>
          <t>ÖREBRO LÄN</t>
        </is>
      </c>
      <c r="E4698" t="inlineStr">
        <is>
          <t>KUMLA</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57795-2021</t>
        </is>
      </c>
      <c r="B4699" s="1" t="n">
        <v>44484</v>
      </c>
      <c r="C4699" s="1" t="n">
        <v>46132</v>
      </c>
      <c r="D4699" t="inlineStr">
        <is>
          <t>ÖREBRO LÄN</t>
        </is>
      </c>
      <c r="E4699" t="inlineStr">
        <is>
          <t>LINDESBERG</t>
        </is>
      </c>
      <c r="G4699" t="n">
        <v>39.4</v>
      </c>
      <c r="H4699" t="n">
        <v>0</v>
      </c>
      <c r="I4699" t="n">
        <v>0</v>
      </c>
      <c r="J4699" t="n">
        <v>0</v>
      </c>
      <c r="K4699" t="n">
        <v>0</v>
      </c>
      <c r="L4699" t="n">
        <v>0</v>
      </c>
      <c r="M4699" t="n">
        <v>0</v>
      </c>
      <c r="N4699" t="n">
        <v>0</v>
      </c>
      <c r="O4699" t="n">
        <v>0</v>
      </c>
      <c r="P4699" t="n">
        <v>0</v>
      </c>
      <c r="Q4699" t="n">
        <v>0</v>
      </c>
      <c r="R4699" s="2" t="inlineStr"/>
    </row>
    <row r="4700" ht="15" customHeight="1">
      <c r="A4700" t="inlineStr">
        <is>
          <t>A 3-2024</t>
        </is>
      </c>
      <c r="B4700" s="1" t="n">
        <v>45292</v>
      </c>
      <c r="C4700" s="1" t="n">
        <v>46132</v>
      </c>
      <c r="D4700" t="inlineStr">
        <is>
          <t>ÖREBRO LÄN</t>
        </is>
      </c>
      <c r="E4700" t="inlineStr">
        <is>
          <t>ÖREBRO</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63422-2021</t>
        </is>
      </c>
      <c r="B4701" s="1" t="n">
        <v>44508</v>
      </c>
      <c r="C4701" s="1" t="n">
        <v>46132</v>
      </c>
      <c r="D4701" t="inlineStr">
        <is>
          <t>ÖREBRO LÄN</t>
        </is>
      </c>
      <c r="E4701" t="inlineStr">
        <is>
          <t>ASKERSUND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38738-2022</t>
        </is>
      </c>
      <c r="B4702" s="1" t="n">
        <v>44816.34217592593</v>
      </c>
      <c r="C4702" s="1" t="n">
        <v>46132</v>
      </c>
      <c r="D4702" t="inlineStr">
        <is>
          <t>ÖREBRO LÄN</t>
        </is>
      </c>
      <c r="E4702" t="inlineStr">
        <is>
          <t>DEGERFORS</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5619-2023</t>
        </is>
      </c>
      <c r="B4703" s="1" t="n">
        <v>44958</v>
      </c>
      <c r="C4703" s="1" t="n">
        <v>46132</v>
      </c>
      <c r="D4703" t="inlineStr">
        <is>
          <t>ÖREBRO LÄN</t>
        </is>
      </c>
      <c r="E4703" t="inlineStr">
        <is>
          <t>ÖREBRO</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8687-2023</t>
        </is>
      </c>
      <c r="B4704" s="1" t="n">
        <v>44978.30016203703</v>
      </c>
      <c r="C4704" s="1" t="n">
        <v>46132</v>
      </c>
      <c r="D4704" t="inlineStr">
        <is>
          <t>ÖREBRO LÄN</t>
        </is>
      </c>
      <c r="E4704" t="inlineStr">
        <is>
          <t>KUMLA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31167-2023</t>
        </is>
      </c>
      <c r="B4705" s="1" t="n">
        <v>45103</v>
      </c>
      <c r="C4705" s="1" t="n">
        <v>46132</v>
      </c>
      <c r="D4705" t="inlineStr">
        <is>
          <t>ÖREBRO LÄN</t>
        </is>
      </c>
      <c r="E4705" t="inlineStr">
        <is>
          <t>LJUSNARSBERG</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43433-2024</t>
        </is>
      </c>
      <c r="B4706" s="1" t="n">
        <v>45568.64523148148</v>
      </c>
      <c r="C4706" s="1" t="n">
        <v>46132</v>
      </c>
      <c r="D4706" t="inlineStr">
        <is>
          <t>ÖREBRO LÄN</t>
        </is>
      </c>
      <c r="E4706" t="inlineStr">
        <is>
          <t>LINDESBERG</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6604-2024</t>
        </is>
      </c>
      <c r="B4707" s="1" t="n">
        <v>45341.56577546296</v>
      </c>
      <c r="C4707" s="1" t="n">
        <v>46132</v>
      </c>
      <c r="D4707" t="inlineStr">
        <is>
          <t>ÖREBRO LÄN</t>
        </is>
      </c>
      <c r="E4707" t="inlineStr">
        <is>
          <t>LINDESBERG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5550-2024</t>
        </is>
      </c>
      <c r="B4708" s="1" t="n">
        <v>45334</v>
      </c>
      <c r="C4708" s="1" t="n">
        <v>46132</v>
      </c>
      <c r="D4708" t="inlineStr">
        <is>
          <t>ÖREBRO LÄN</t>
        </is>
      </c>
      <c r="E4708" t="inlineStr">
        <is>
          <t>LINDESBERG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5578-2024</t>
        </is>
      </c>
      <c r="B4709" s="1" t="n">
        <v>45334.49104166667</v>
      </c>
      <c r="C4709" s="1" t="n">
        <v>46132</v>
      </c>
      <c r="D4709" t="inlineStr">
        <is>
          <t>ÖREBRO LÄN</t>
        </is>
      </c>
      <c r="E4709" t="inlineStr">
        <is>
          <t>ÖREBRO</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2224-2025</t>
        </is>
      </c>
      <c r="B4710" s="1" t="n">
        <v>45673</v>
      </c>
      <c r="C4710" s="1" t="n">
        <v>46132</v>
      </c>
      <c r="D4710" t="inlineStr">
        <is>
          <t>ÖREBRO LÄN</t>
        </is>
      </c>
      <c r="E4710" t="inlineStr">
        <is>
          <t>KARLSKOGA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45537-2024</t>
        </is>
      </c>
      <c r="B4711" s="1" t="n">
        <v>45578</v>
      </c>
      <c r="C4711" s="1" t="n">
        <v>46132</v>
      </c>
      <c r="D4711" t="inlineStr">
        <is>
          <t>ÖREBRO LÄN</t>
        </is>
      </c>
      <c r="E4711" t="inlineStr">
        <is>
          <t>LJUSNARSBERG</t>
        </is>
      </c>
      <c r="F4711" t="inlineStr">
        <is>
          <t>Bergvik skog väst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58388-2024</t>
        </is>
      </c>
      <c r="B4712" s="1" t="n">
        <v>45633.64746527778</v>
      </c>
      <c r="C4712" s="1" t="n">
        <v>46132</v>
      </c>
      <c r="D4712" t="inlineStr">
        <is>
          <t>ÖREBRO LÄN</t>
        </is>
      </c>
      <c r="E4712" t="inlineStr">
        <is>
          <t>KARLSKOGA</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63125-2023</t>
        </is>
      </c>
      <c r="B4713" s="1" t="n">
        <v>45273</v>
      </c>
      <c r="C4713" s="1" t="n">
        <v>46132</v>
      </c>
      <c r="D4713" t="inlineStr">
        <is>
          <t>ÖREBRO LÄN</t>
        </is>
      </c>
      <c r="E4713" t="inlineStr">
        <is>
          <t>LINDESBERG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47201-2023</t>
        </is>
      </c>
      <c r="B4714" s="1" t="n">
        <v>45196</v>
      </c>
      <c r="C4714" s="1" t="n">
        <v>46132</v>
      </c>
      <c r="D4714" t="inlineStr">
        <is>
          <t>ÖREBRO LÄN</t>
        </is>
      </c>
      <c r="E4714" t="inlineStr">
        <is>
          <t>KARLSKOGA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8367-2025</t>
        </is>
      </c>
      <c r="B4715" s="1" t="n">
        <v>45708.95491898148</v>
      </c>
      <c r="C4715" s="1" t="n">
        <v>46132</v>
      </c>
      <c r="D4715" t="inlineStr">
        <is>
          <t>ÖREBRO LÄN</t>
        </is>
      </c>
      <c r="E4715" t="inlineStr">
        <is>
          <t>ASKERSUND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18932-2022</t>
        </is>
      </c>
      <c r="B4716" s="1" t="n">
        <v>44690</v>
      </c>
      <c r="C4716" s="1" t="n">
        <v>46132</v>
      </c>
      <c r="D4716" t="inlineStr">
        <is>
          <t>ÖREBRO LÄN</t>
        </is>
      </c>
      <c r="E4716" t="inlineStr">
        <is>
          <t>LJUSNARSBERG</t>
        </is>
      </c>
      <c r="F4716" t="inlineStr">
        <is>
          <t>Bergvik skog väst AB</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10496-2024</t>
        </is>
      </c>
      <c r="B4717" s="1" t="n">
        <v>45366.46909722222</v>
      </c>
      <c r="C4717" s="1" t="n">
        <v>46132</v>
      </c>
      <c r="D4717" t="inlineStr">
        <is>
          <t>ÖREBRO LÄN</t>
        </is>
      </c>
      <c r="E4717" t="inlineStr">
        <is>
          <t>LAXÅ</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37786-2024</t>
        </is>
      </c>
      <c r="B4718" s="1" t="n">
        <v>45542.82987268519</v>
      </c>
      <c r="C4718" s="1" t="n">
        <v>46132</v>
      </c>
      <c r="D4718" t="inlineStr">
        <is>
          <t>ÖREBRO LÄN</t>
        </is>
      </c>
      <c r="E4718" t="inlineStr">
        <is>
          <t>ÖREBRO</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13104-2025</t>
        </is>
      </c>
      <c r="B4719" s="1" t="n">
        <v>45734</v>
      </c>
      <c r="C4719" s="1" t="n">
        <v>46132</v>
      </c>
      <c r="D4719" t="inlineStr">
        <is>
          <t>ÖREBRO LÄN</t>
        </is>
      </c>
      <c r="E4719" t="inlineStr">
        <is>
          <t>LAXÅ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9754-2022</t>
        </is>
      </c>
      <c r="B4720" s="1" t="n">
        <v>44618.81180555555</v>
      </c>
      <c r="C4720" s="1" t="n">
        <v>46132</v>
      </c>
      <c r="D4720" t="inlineStr">
        <is>
          <t>ÖREBRO LÄN</t>
        </is>
      </c>
      <c r="E4720" t="inlineStr">
        <is>
          <t>NORA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17003-2022</t>
        </is>
      </c>
      <c r="B4721" s="1" t="n">
        <v>44676</v>
      </c>
      <c r="C4721" s="1" t="n">
        <v>46132</v>
      </c>
      <c r="D4721" t="inlineStr">
        <is>
          <t>ÖREBRO LÄN</t>
        </is>
      </c>
      <c r="E4721" t="inlineStr">
        <is>
          <t>HALLSBERG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58615-2024</t>
        </is>
      </c>
      <c r="B4722" s="1" t="n">
        <v>45635.5587037037</v>
      </c>
      <c r="C4722" s="1" t="n">
        <v>46132</v>
      </c>
      <c r="D4722" t="inlineStr">
        <is>
          <t>ÖREBRO LÄN</t>
        </is>
      </c>
      <c r="E4722" t="inlineStr">
        <is>
          <t>ÖREBRO</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60392-2023</t>
        </is>
      </c>
      <c r="B4723" s="1" t="n">
        <v>45259.4353587963</v>
      </c>
      <c r="C4723" s="1" t="n">
        <v>46132</v>
      </c>
      <c r="D4723" t="inlineStr">
        <is>
          <t>ÖREBRO LÄN</t>
        </is>
      </c>
      <c r="E4723" t="inlineStr">
        <is>
          <t>LAXÅ</t>
        </is>
      </c>
      <c r="F4723" t="inlineStr">
        <is>
          <t>Sveaskog</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12651-2024</t>
        </is>
      </c>
      <c r="B4724" s="1" t="n">
        <v>45384</v>
      </c>
      <c r="C4724" s="1" t="n">
        <v>46132</v>
      </c>
      <c r="D4724" t="inlineStr">
        <is>
          <t>ÖREBRO LÄN</t>
        </is>
      </c>
      <c r="E4724" t="inlineStr">
        <is>
          <t>LAXÅ</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15752-2024</t>
        </is>
      </c>
      <c r="B4725" s="1" t="n">
        <v>45404.55681712963</v>
      </c>
      <c r="C4725" s="1" t="n">
        <v>46132</v>
      </c>
      <c r="D4725" t="inlineStr">
        <is>
          <t>ÖREBRO LÄN</t>
        </is>
      </c>
      <c r="E4725" t="inlineStr">
        <is>
          <t>LINDESBERG</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45517-2023</t>
        </is>
      </c>
      <c r="B4726" s="1" t="n">
        <v>45194.49594907407</v>
      </c>
      <c r="C4726" s="1" t="n">
        <v>46132</v>
      </c>
      <c r="D4726" t="inlineStr">
        <is>
          <t>ÖREBRO LÄN</t>
        </is>
      </c>
      <c r="E4726" t="inlineStr">
        <is>
          <t>ÖREBRO</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12729-2024</t>
        </is>
      </c>
      <c r="B4727" s="1" t="n">
        <v>45384.49421296296</v>
      </c>
      <c r="C4727" s="1" t="n">
        <v>46132</v>
      </c>
      <c r="D4727" t="inlineStr">
        <is>
          <t>ÖREBRO LÄN</t>
        </is>
      </c>
      <c r="E4727" t="inlineStr">
        <is>
          <t>DEGERFORS</t>
        </is>
      </c>
      <c r="F4727" t="inlineStr">
        <is>
          <t>Sveaskog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35229-2024</t>
        </is>
      </c>
      <c r="B4728" s="1" t="n">
        <v>45530</v>
      </c>
      <c r="C4728" s="1" t="n">
        <v>46132</v>
      </c>
      <c r="D4728" t="inlineStr">
        <is>
          <t>ÖREBRO LÄN</t>
        </is>
      </c>
      <c r="E4728" t="inlineStr">
        <is>
          <t>LINDESBERG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50986-2023</t>
        </is>
      </c>
      <c r="B4729" s="1" t="n">
        <v>45218</v>
      </c>
      <c r="C4729" s="1" t="n">
        <v>46132</v>
      </c>
      <c r="D4729" t="inlineStr">
        <is>
          <t>ÖREBRO LÄN</t>
        </is>
      </c>
      <c r="E4729" t="inlineStr">
        <is>
          <t>LINDESBERG</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35656-2024</t>
        </is>
      </c>
      <c r="B4730" s="1" t="n">
        <v>45532</v>
      </c>
      <c r="C4730" s="1" t="n">
        <v>46132</v>
      </c>
      <c r="D4730" t="inlineStr">
        <is>
          <t>ÖREBRO LÄN</t>
        </is>
      </c>
      <c r="E4730" t="inlineStr">
        <is>
          <t>NORA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12559-2025</t>
        </is>
      </c>
      <c r="B4731" s="1" t="n">
        <v>45731.47399305556</v>
      </c>
      <c r="C4731" s="1" t="n">
        <v>46132</v>
      </c>
      <c r="D4731" t="inlineStr">
        <is>
          <t>ÖREBRO LÄN</t>
        </is>
      </c>
      <c r="E4731" t="inlineStr">
        <is>
          <t>HÄLLEFORS</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25046-2024</t>
        </is>
      </c>
      <c r="B4732" s="1" t="n">
        <v>45462</v>
      </c>
      <c r="C4732" s="1" t="n">
        <v>46132</v>
      </c>
      <c r="D4732" t="inlineStr">
        <is>
          <t>ÖREBRO LÄN</t>
        </is>
      </c>
      <c r="E4732" t="inlineStr">
        <is>
          <t>LINDESBERG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10273-2023</t>
        </is>
      </c>
      <c r="B4733" s="1" t="n">
        <v>44986</v>
      </c>
      <c r="C4733" s="1" t="n">
        <v>46132</v>
      </c>
      <c r="D4733" t="inlineStr">
        <is>
          <t>ÖREBRO LÄN</t>
        </is>
      </c>
      <c r="E4733" t="inlineStr">
        <is>
          <t>LEKEBERG</t>
        </is>
      </c>
      <c r="G4733" t="n">
        <v>12.8</v>
      </c>
      <c r="H4733" t="n">
        <v>0</v>
      </c>
      <c r="I4733" t="n">
        <v>0</v>
      </c>
      <c r="J4733" t="n">
        <v>0</v>
      </c>
      <c r="K4733" t="n">
        <v>0</v>
      </c>
      <c r="L4733" t="n">
        <v>0</v>
      </c>
      <c r="M4733" t="n">
        <v>0</v>
      </c>
      <c r="N4733" t="n">
        <v>0</v>
      </c>
      <c r="O4733" t="n">
        <v>0</v>
      </c>
      <c r="P4733" t="n">
        <v>0</v>
      </c>
      <c r="Q4733" t="n">
        <v>0</v>
      </c>
      <c r="R4733" s="2" t="inlineStr"/>
    </row>
    <row r="4734" ht="15" customHeight="1">
      <c r="A4734" t="inlineStr">
        <is>
          <t>A 3652-2022</t>
        </is>
      </c>
      <c r="B4734" s="1" t="n">
        <v>44586.46921296296</v>
      </c>
      <c r="C4734" s="1" t="n">
        <v>46132</v>
      </c>
      <c r="D4734" t="inlineStr">
        <is>
          <t>ÖREBRO LÄN</t>
        </is>
      </c>
      <c r="E4734" t="inlineStr">
        <is>
          <t>ÖREBRO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25407-2021</t>
        </is>
      </c>
      <c r="B4735" s="1" t="n">
        <v>44342</v>
      </c>
      <c r="C4735" s="1" t="n">
        <v>46132</v>
      </c>
      <c r="D4735" t="inlineStr">
        <is>
          <t>ÖREBRO LÄN</t>
        </is>
      </c>
      <c r="E4735" t="inlineStr">
        <is>
          <t>ÖREBRO</t>
        </is>
      </c>
      <c r="F4735" t="inlineStr">
        <is>
          <t>Kommuner</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44675-2021</t>
        </is>
      </c>
      <c r="B4736" s="1" t="n">
        <v>44438</v>
      </c>
      <c r="C4736" s="1" t="n">
        <v>46132</v>
      </c>
      <c r="D4736" t="inlineStr">
        <is>
          <t>ÖREBRO LÄN</t>
        </is>
      </c>
      <c r="E4736" t="inlineStr">
        <is>
          <t>LINDESBERG</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32829-2024</t>
        </is>
      </c>
      <c r="B4737" s="1" t="n">
        <v>45516.59447916667</v>
      </c>
      <c r="C4737" s="1" t="n">
        <v>46132</v>
      </c>
      <c r="D4737" t="inlineStr">
        <is>
          <t>ÖREBRO LÄN</t>
        </is>
      </c>
      <c r="E4737" t="inlineStr">
        <is>
          <t>LINDESBERG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12245-2023</t>
        </is>
      </c>
      <c r="B4738" s="1" t="n">
        <v>44998.64402777778</v>
      </c>
      <c r="C4738" s="1" t="n">
        <v>46132</v>
      </c>
      <c r="D4738" t="inlineStr">
        <is>
          <t>ÖREBRO LÄN</t>
        </is>
      </c>
      <c r="E4738" t="inlineStr">
        <is>
          <t>ÖREBRO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10320-2023</t>
        </is>
      </c>
      <c r="B4739" s="1" t="n">
        <v>44986</v>
      </c>
      <c r="C4739" s="1" t="n">
        <v>46132</v>
      </c>
      <c r="D4739" t="inlineStr">
        <is>
          <t>ÖREBRO LÄN</t>
        </is>
      </c>
      <c r="E4739" t="inlineStr">
        <is>
          <t>DEGERFORS</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43416-2024</t>
        </is>
      </c>
      <c r="B4740" s="1" t="n">
        <v>45568.62625</v>
      </c>
      <c r="C4740" s="1" t="n">
        <v>46132</v>
      </c>
      <c r="D4740" t="inlineStr">
        <is>
          <t>ÖREBRO LÄN</t>
        </is>
      </c>
      <c r="E4740" t="inlineStr">
        <is>
          <t>LINDESBERG</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7134-2025</t>
        </is>
      </c>
      <c r="B4741" s="1" t="n">
        <v>45702</v>
      </c>
      <c r="C4741" s="1" t="n">
        <v>46132</v>
      </c>
      <c r="D4741" t="inlineStr">
        <is>
          <t>ÖREBRO LÄN</t>
        </is>
      </c>
      <c r="E4741" t="inlineStr">
        <is>
          <t>ÖREBRO</t>
        </is>
      </c>
      <c r="F4741" t="inlineStr">
        <is>
          <t>Övriga Aktiebolag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54859-2024</t>
        </is>
      </c>
      <c r="B4742" s="1" t="n">
        <v>45618.58962962963</v>
      </c>
      <c r="C4742" s="1" t="n">
        <v>46132</v>
      </c>
      <c r="D4742" t="inlineStr">
        <is>
          <t>ÖREBRO LÄN</t>
        </is>
      </c>
      <c r="E4742" t="inlineStr">
        <is>
          <t>LINDESBERG</t>
        </is>
      </c>
      <c r="F4742" t="inlineStr">
        <is>
          <t>Sveaskog</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60506-2024</t>
        </is>
      </c>
      <c r="B4743" s="1" t="n">
        <v>45643.66630787037</v>
      </c>
      <c r="C4743" s="1" t="n">
        <v>46132</v>
      </c>
      <c r="D4743" t="inlineStr">
        <is>
          <t>ÖREBRO LÄN</t>
        </is>
      </c>
      <c r="E4743" t="inlineStr">
        <is>
          <t>ÖREBRO</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10654-2023</t>
        </is>
      </c>
      <c r="B4744" s="1" t="n">
        <v>44984</v>
      </c>
      <c r="C4744" s="1" t="n">
        <v>46132</v>
      </c>
      <c r="D4744" t="inlineStr">
        <is>
          <t>ÖREBRO LÄN</t>
        </is>
      </c>
      <c r="E4744" t="inlineStr">
        <is>
          <t>LINDESBERG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30534-2023</t>
        </is>
      </c>
      <c r="B4745" s="1" t="n">
        <v>45111</v>
      </c>
      <c r="C4745" s="1" t="n">
        <v>46132</v>
      </c>
      <c r="D4745" t="inlineStr">
        <is>
          <t>ÖREBRO LÄN</t>
        </is>
      </c>
      <c r="E4745" t="inlineStr">
        <is>
          <t>LINDESBERG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5762-2024</t>
        </is>
      </c>
      <c r="B4746" s="1" t="n">
        <v>45335</v>
      </c>
      <c r="C4746" s="1" t="n">
        <v>46132</v>
      </c>
      <c r="D4746" t="inlineStr">
        <is>
          <t>ÖREBRO LÄN</t>
        </is>
      </c>
      <c r="E4746" t="inlineStr">
        <is>
          <t>HÄLLEFORS</t>
        </is>
      </c>
      <c r="G4746" t="n">
        <v>12.1</v>
      </c>
      <c r="H4746" t="n">
        <v>0</v>
      </c>
      <c r="I4746" t="n">
        <v>0</v>
      </c>
      <c r="J4746" t="n">
        <v>0</v>
      </c>
      <c r="K4746" t="n">
        <v>0</v>
      </c>
      <c r="L4746" t="n">
        <v>0</v>
      </c>
      <c r="M4746" t="n">
        <v>0</v>
      </c>
      <c r="N4746" t="n">
        <v>0</v>
      </c>
      <c r="O4746" t="n">
        <v>0</v>
      </c>
      <c r="P4746" t="n">
        <v>0</v>
      </c>
      <c r="Q4746" t="n">
        <v>0</v>
      </c>
      <c r="R4746" s="2" t="inlineStr"/>
    </row>
    <row r="4747" ht="15" customHeight="1">
      <c r="A4747" t="inlineStr">
        <is>
          <t>A 56271-2023</t>
        </is>
      </c>
      <c r="B4747" s="1" t="n">
        <v>45240</v>
      </c>
      <c r="C4747" s="1" t="n">
        <v>46132</v>
      </c>
      <c r="D4747" t="inlineStr">
        <is>
          <t>ÖREBRO LÄN</t>
        </is>
      </c>
      <c r="E4747" t="inlineStr">
        <is>
          <t>HALLSBERG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40151-2024</t>
        </is>
      </c>
      <c r="B4748" s="1" t="n">
        <v>45554</v>
      </c>
      <c r="C4748" s="1" t="n">
        <v>46132</v>
      </c>
      <c r="D4748" t="inlineStr">
        <is>
          <t>ÖREBRO LÄN</t>
        </is>
      </c>
      <c r="E4748" t="inlineStr">
        <is>
          <t>LAXÅ</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29978-2024</t>
        </is>
      </c>
      <c r="B4749" s="1" t="n">
        <v>45488.48340277778</v>
      </c>
      <c r="C4749" s="1" t="n">
        <v>46132</v>
      </c>
      <c r="D4749" t="inlineStr">
        <is>
          <t>ÖREBRO LÄN</t>
        </is>
      </c>
      <c r="E4749" t="inlineStr">
        <is>
          <t>ÖREBRO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2295-2023</t>
        </is>
      </c>
      <c r="B4750" s="1" t="n">
        <v>44942</v>
      </c>
      <c r="C4750" s="1" t="n">
        <v>46132</v>
      </c>
      <c r="D4750" t="inlineStr">
        <is>
          <t>ÖREBRO LÄN</t>
        </is>
      </c>
      <c r="E4750" t="inlineStr">
        <is>
          <t>ASKERSUND</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6452-2024</t>
        </is>
      </c>
      <c r="B4751" s="1" t="n">
        <v>45338</v>
      </c>
      <c r="C4751" s="1" t="n">
        <v>46132</v>
      </c>
      <c r="D4751" t="inlineStr">
        <is>
          <t>ÖREBRO LÄN</t>
        </is>
      </c>
      <c r="E4751" t="inlineStr">
        <is>
          <t>LAXÅ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30903-2024</t>
        </is>
      </c>
      <c r="B4752" s="1" t="n">
        <v>45498.49946759259</v>
      </c>
      <c r="C4752" s="1" t="n">
        <v>46132</v>
      </c>
      <c r="D4752" t="inlineStr">
        <is>
          <t>ÖREBRO LÄN</t>
        </is>
      </c>
      <c r="E4752" t="inlineStr">
        <is>
          <t>ÖREBRO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27013-2024</t>
        </is>
      </c>
      <c r="B4753" s="1" t="n">
        <v>45471.40384259259</v>
      </c>
      <c r="C4753" s="1" t="n">
        <v>46132</v>
      </c>
      <c r="D4753" t="inlineStr">
        <is>
          <t>ÖREBRO LÄN</t>
        </is>
      </c>
      <c r="E4753" t="inlineStr">
        <is>
          <t>LINDESBERG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17920-2025</t>
        </is>
      </c>
      <c r="B4754" s="1" t="n">
        <v>45758</v>
      </c>
      <c r="C4754" s="1" t="n">
        <v>46132</v>
      </c>
      <c r="D4754" t="inlineStr">
        <is>
          <t>ÖREBRO LÄN</t>
        </is>
      </c>
      <c r="E4754" t="inlineStr">
        <is>
          <t>KUMLA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58611-2024</t>
        </is>
      </c>
      <c r="B4755" s="1" t="n">
        <v>45635.55555555555</v>
      </c>
      <c r="C4755" s="1" t="n">
        <v>46132</v>
      </c>
      <c r="D4755" t="inlineStr">
        <is>
          <t>ÖREBRO LÄN</t>
        </is>
      </c>
      <c r="E4755" t="inlineStr">
        <is>
          <t>ÖREBRO</t>
        </is>
      </c>
      <c r="F4755" t="inlineStr">
        <is>
          <t>Sveaskog</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27428-2024</t>
        </is>
      </c>
      <c r="B4756" s="1" t="n">
        <v>45473</v>
      </c>
      <c r="C4756" s="1" t="n">
        <v>46132</v>
      </c>
      <c r="D4756" t="inlineStr">
        <is>
          <t>ÖREBRO LÄN</t>
        </is>
      </c>
      <c r="E4756" t="inlineStr">
        <is>
          <t>ASKERSUND</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37542-2024</t>
        </is>
      </c>
      <c r="B4757" s="1" t="n">
        <v>45541.42298611111</v>
      </c>
      <c r="C4757" s="1" t="n">
        <v>46132</v>
      </c>
      <c r="D4757" t="inlineStr">
        <is>
          <t>ÖREBRO LÄN</t>
        </is>
      </c>
      <c r="E4757" t="inlineStr">
        <is>
          <t>HÄLLEFORS</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50405-2024</t>
        </is>
      </c>
      <c r="B4758" s="1" t="n">
        <v>45601.35753472222</v>
      </c>
      <c r="C4758" s="1" t="n">
        <v>46132</v>
      </c>
      <c r="D4758" t="inlineStr">
        <is>
          <t>ÖREBRO LÄN</t>
        </is>
      </c>
      <c r="E4758" t="inlineStr">
        <is>
          <t>LEKEBERG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26412-2023</t>
        </is>
      </c>
      <c r="B4759" s="1" t="n">
        <v>45092.37815972222</v>
      </c>
      <c r="C4759" s="1" t="n">
        <v>46132</v>
      </c>
      <c r="D4759" t="inlineStr">
        <is>
          <t>ÖREBRO LÄN</t>
        </is>
      </c>
      <c r="E4759" t="inlineStr">
        <is>
          <t>LAXÅ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7472-2025</t>
        </is>
      </c>
      <c r="B4760" s="1" t="n">
        <v>45705.46409722222</v>
      </c>
      <c r="C4760" s="1" t="n">
        <v>46132</v>
      </c>
      <c r="D4760" t="inlineStr">
        <is>
          <t>ÖREBRO LÄN</t>
        </is>
      </c>
      <c r="E4760" t="inlineStr">
        <is>
          <t>DEGERFORS</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59495-2024</t>
        </is>
      </c>
      <c r="B4761" s="1" t="n">
        <v>45638</v>
      </c>
      <c r="C4761" s="1" t="n">
        <v>46132</v>
      </c>
      <c r="D4761" t="inlineStr">
        <is>
          <t>ÖREBRO LÄN</t>
        </is>
      </c>
      <c r="E4761" t="inlineStr">
        <is>
          <t>LJUSNARSBERG</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28824-2024</t>
        </is>
      </c>
      <c r="B4762" s="1" t="n">
        <v>45478</v>
      </c>
      <c r="C4762" s="1" t="n">
        <v>46132</v>
      </c>
      <c r="D4762" t="inlineStr">
        <is>
          <t>ÖREBRO LÄN</t>
        </is>
      </c>
      <c r="E4762" t="inlineStr">
        <is>
          <t>LEKEBERG</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20981-2024</t>
        </is>
      </c>
      <c r="B4763" s="1" t="n">
        <v>45439</v>
      </c>
      <c r="C4763" s="1" t="n">
        <v>46132</v>
      </c>
      <c r="D4763" t="inlineStr">
        <is>
          <t>ÖREBRO LÄN</t>
        </is>
      </c>
      <c r="E4763" t="inlineStr">
        <is>
          <t>HALLSBERG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20146-2024</t>
        </is>
      </c>
      <c r="B4764" s="1" t="n">
        <v>45434.57641203704</v>
      </c>
      <c r="C4764" s="1" t="n">
        <v>46132</v>
      </c>
      <c r="D4764" t="inlineStr">
        <is>
          <t>ÖREBRO LÄN</t>
        </is>
      </c>
      <c r="E4764" t="inlineStr">
        <is>
          <t>ÖREBRO</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9140-2025</t>
        </is>
      </c>
      <c r="B4765" s="1" t="n">
        <v>45714.31533564815</v>
      </c>
      <c r="C4765" s="1" t="n">
        <v>46132</v>
      </c>
      <c r="D4765" t="inlineStr">
        <is>
          <t>ÖREBRO LÄN</t>
        </is>
      </c>
      <c r="E4765" t="inlineStr">
        <is>
          <t>LINDESBERG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58477-2024</t>
        </is>
      </c>
      <c r="B4766" s="1" t="n">
        <v>45635.38418981482</v>
      </c>
      <c r="C4766" s="1" t="n">
        <v>46132</v>
      </c>
      <c r="D4766" t="inlineStr">
        <is>
          <t>ÖREBRO LÄN</t>
        </is>
      </c>
      <c r="E4766" t="inlineStr">
        <is>
          <t>DEGERFORS</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53143-2023</t>
        </is>
      </c>
      <c r="B4767" s="1" t="n">
        <v>45229</v>
      </c>
      <c r="C4767" s="1" t="n">
        <v>46132</v>
      </c>
      <c r="D4767" t="inlineStr">
        <is>
          <t>ÖREBRO LÄN</t>
        </is>
      </c>
      <c r="E4767" t="inlineStr">
        <is>
          <t>ÖREBRO</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7975-2025</t>
        </is>
      </c>
      <c r="B4768" s="1" t="n">
        <v>45707.46203703704</v>
      </c>
      <c r="C4768" s="1" t="n">
        <v>46132</v>
      </c>
      <c r="D4768" t="inlineStr">
        <is>
          <t>ÖREBRO LÄN</t>
        </is>
      </c>
      <c r="E4768" t="inlineStr">
        <is>
          <t>DEGERFORS</t>
        </is>
      </c>
      <c r="F4768" t="inlineStr">
        <is>
          <t>Sveaskog</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12964-2025</t>
        </is>
      </c>
      <c r="B4769" s="1" t="n">
        <v>45734.4234375</v>
      </c>
      <c r="C4769" s="1" t="n">
        <v>46132</v>
      </c>
      <c r="D4769" t="inlineStr">
        <is>
          <t>ÖREBRO LÄN</t>
        </is>
      </c>
      <c r="E4769" t="inlineStr">
        <is>
          <t>LAXÅ</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15356-2023</t>
        </is>
      </c>
      <c r="B4770" s="1" t="n">
        <v>45019</v>
      </c>
      <c r="C4770" s="1" t="n">
        <v>46132</v>
      </c>
      <c r="D4770" t="inlineStr">
        <is>
          <t>ÖREBRO LÄN</t>
        </is>
      </c>
      <c r="E4770" t="inlineStr">
        <is>
          <t>KUMLA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8656-2025</t>
        </is>
      </c>
      <c r="B4771" s="1" t="n">
        <v>45712.38268518518</v>
      </c>
      <c r="C4771" s="1" t="n">
        <v>46132</v>
      </c>
      <c r="D4771" t="inlineStr">
        <is>
          <t>ÖREBRO LÄN</t>
        </is>
      </c>
      <c r="E4771" t="inlineStr">
        <is>
          <t>ÖREBRO</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52828-2024</t>
        </is>
      </c>
      <c r="B4772" s="1" t="n">
        <v>45610.59295138889</v>
      </c>
      <c r="C4772" s="1" t="n">
        <v>46132</v>
      </c>
      <c r="D4772" t="inlineStr">
        <is>
          <t>ÖREBRO LÄN</t>
        </is>
      </c>
      <c r="E4772" t="inlineStr">
        <is>
          <t>KARLSKOGA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14580-2025</t>
        </is>
      </c>
      <c r="B4773" s="1" t="n">
        <v>45742.30726851852</v>
      </c>
      <c r="C4773" s="1" t="n">
        <v>46132</v>
      </c>
      <c r="D4773" t="inlineStr">
        <is>
          <t>ÖREBRO LÄN</t>
        </is>
      </c>
      <c r="E4773" t="inlineStr">
        <is>
          <t>LAXÅ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28469-2023</t>
        </is>
      </c>
      <c r="B4774" s="1" t="n">
        <v>45103</v>
      </c>
      <c r="C4774" s="1" t="n">
        <v>46132</v>
      </c>
      <c r="D4774" t="inlineStr">
        <is>
          <t>ÖREBRO LÄN</t>
        </is>
      </c>
      <c r="E4774" t="inlineStr">
        <is>
          <t>LINDESBERG</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5762-2025</t>
        </is>
      </c>
      <c r="B4775" s="1" t="n">
        <v>45694.57181712963</v>
      </c>
      <c r="C4775" s="1" t="n">
        <v>46132</v>
      </c>
      <c r="D4775" t="inlineStr">
        <is>
          <t>ÖREBRO LÄN</t>
        </is>
      </c>
      <c r="E4775" t="inlineStr">
        <is>
          <t>ÖREBRO</t>
        </is>
      </c>
      <c r="F4775" t="inlineStr">
        <is>
          <t>Övriga Aktiebolag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8346-2024</t>
        </is>
      </c>
      <c r="B4776" s="1" t="n">
        <v>45352.55505787037</v>
      </c>
      <c r="C4776" s="1" t="n">
        <v>46132</v>
      </c>
      <c r="D4776" t="inlineStr">
        <is>
          <t>ÖREBRO LÄN</t>
        </is>
      </c>
      <c r="E4776" t="inlineStr">
        <is>
          <t>HALLSBERG</t>
        </is>
      </c>
      <c r="F4776" t="inlineStr">
        <is>
          <t>Sveaskog</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55099-2024</t>
        </is>
      </c>
      <c r="B4777" s="1" t="n">
        <v>45621</v>
      </c>
      <c r="C4777" s="1" t="n">
        <v>46132</v>
      </c>
      <c r="D4777" t="inlineStr">
        <is>
          <t>ÖREBRO LÄN</t>
        </is>
      </c>
      <c r="E4777" t="inlineStr">
        <is>
          <t>HÄLLEFORS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12278-2025</t>
        </is>
      </c>
      <c r="B4778" s="1" t="n">
        <v>45729.65171296296</v>
      </c>
      <c r="C4778" s="1" t="n">
        <v>46132</v>
      </c>
      <c r="D4778" t="inlineStr">
        <is>
          <t>ÖREBRO LÄN</t>
        </is>
      </c>
      <c r="E4778" t="inlineStr">
        <is>
          <t>LINDESBERG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59349-2023</t>
        </is>
      </c>
      <c r="B4779" s="1" t="n">
        <v>45253.65600694445</v>
      </c>
      <c r="C4779" s="1" t="n">
        <v>46132</v>
      </c>
      <c r="D4779" t="inlineStr">
        <is>
          <t>ÖREBRO LÄN</t>
        </is>
      </c>
      <c r="E4779" t="inlineStr">
        <is>
          <t>ASKERSUND</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41601-2023</t>
        </is>
      </c>
      <c r="B4780" s="1" t="n">
        <v>45175</v>
      </c>
      <c r="C4780" s="1" t="n">
        <v>46132</v>
      </c>
      <c r="D4780" t="inlineStr">
        <is>
          <t>ÖREBRO LÄN</t>
        </is>
      </c>
      <c r="E4780" t="inlineStr">
        <is>
          <t>LAXÅ</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62794-2021</t>
        </is>
      </c>
      <c r="B4781" s="1" t="n">
        <v>44504</v>
      </c>
      <c r="C4781" s="1" t="n">
        <v>46132</v>
      </c>
      <c r="D4781" t="inlineStr">
        <is>
          <t>ÖREBRO LÄN</t>
        </is>
      </c>
      <c r="E4781" t="inlineStr">
        <is>
          <t>ÖREBRO</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20954-2024</t>
        </is>
      </c>
      <c r="B4782" s="1" t="n">
        <v>45439.56605324074</v>
      </c>
      <c r="C4782" s="1" t="n">
        <v>46132</v>
      </c>
      <c r="D4782" t="inlineStr">
        <is>
          <t>ÖREBRO LÄN</t>
        </is>
      </c>
      <c r="E4782" t="inlineStr">
        <is>
          <t>LINDESBERG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62810-2021</t>
        </is>
      </c>
      <c r="B4783" s="1" t="n">
        <v>44503</v>
      </c>
      <c r="C4783" s="1" t="n">
        <v>46132</v>
      </c>
      <c r="D4783" t="inlineStr">
        <is>
          <t>ÖREBRO LÄN</t>
        </is>
      </c>
      <c r="E4783" t="inlineStr">
        <is>
          <t>LJUSNARSBERG</t>
        </is>
      </c>
      <c r="F4783" t="inlineStr">
        <is>
          <t>Bergvik skog väst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15269-2025</t>
        </is>
      </c>
      <c r="B4784" s="1" t="n">
        <v>45744.66511574074</v>
      </c>
      <c r="C4784" s="1" t="n">
        <v>46132</v>
      </c>
      <c r="D4784" t="inlineStr">
        <is>
          <t>ÖREBRO LÄN</t>
        </is>
      </c>
      <c r="E4784" t="inlineStr">
        <is>
          <t>KARLSKOGA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52612-2024</t>
        </is>
      </c>
      <c r="B4785" s="1" t="n">
        <v>45609</v>
      </c>
      <c r="C4785" s="1" t="n">
        <v>46132</v>
      </c>
      <c r="D4785" t="inlineStr">
        <is>
          <t>ÖREBRO LÄN</t>
        </is>
      </c>
      <c r="E4785" t="inlineStr">
        <is>
          <t>ÖREBRO</t>
        </is>
      </c>
      <c r="F4785" t="inlineStr">
        <is>
          <t>Kommuner</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5795-2024</t>
        </is>
      </c>
      <c r="B4786" s="1" t="n">
        <v>45335.4531712963</v>
      </c>
      <c r="C4786" s="1" t="n">
        <v>46132</v>
      </c>
      <c r="D4786" t="inlineStr">
        <is>
          <t>ÖREBRO LÄN</t>
        </is>
      </c>
      <c r="E4786" t="inlineStr">
        <is>
          <t>ÖREBRO</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37771-2024</t>
        </is>
      </c>
      <c r="B4787" s="1" t="n">
        <v>45542.31359953704</v>
      </c>
      <c r="C4787" s="1" t="n">
        <v>46132</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41350-2023</t>
        </is>
      </c>
      <c r="B4788" s="1" t="n">
        <v>45174</v>
      </c>
      <c r="C4788" s="1" t="n">
        <v>46132</v>
      </c>
      <c r="D4788" t="inlineStr">
        <is>
          <t>ÖREBRO LÄN</t>
        </is>
      </c>
      <c r="E4788" t="inlineStr">
        <is>
          <t>LEKEBERG</t>
        </is>
      </c>
      <c r="F4788" t="inlineStr">
        <is>
          <t>Allmännings- och besparingsskogar</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9537-2025</t>
        </is>
      </c>
      <c r="B4789" s="1" t="n">
        <v>45715.57903935185</v>
      </c>
      <c r="C4789" s="1" t="n">
        <v>46132</v>
      </c>
      <c r="D4789" t="inlineStr">
        <is>
          <t>ÖREBRO LÄN</t>
        </is>
      </c>
      <c r="E4789" t="inlineStr">
        <is>
          <t>HÄLLEFORS</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15652-2025</t>
        </is>
      </c>
      <c r="B4790" s="1" t="n">
        <v>45748</v>
      </c>
      <c r="C4790" s="1" t="n">
        <v>46132</v>
      </c>
      <c r="D4790" t="inlineStr">
        <is>
          <t>ÖREBRO LÄN</t>
        </is>
      </c>
      <c r="E4790" t="inlineStr">
        <is>
          <t>ÖREBRO</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17243-2024</t>
        </is>
      </c>
      <c r="B4791" s="1" t="n">
        <v>45414</v>
      </c>
      <c r="C4791" s="1" t="n">
        <v>46132</v>
      </c>
      <c r="D4791" t="inlineStr">
        <is>
          <t>ÖREBRO LÄN</t>
        </is>
      </c>
      <c r="E4791" t="inlineStr">
        <is>
          <t>KARLSKOGA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7120-2025</t>
        </is>
      </c>
      <c r="B4792" s="1" t="n">
        <v>45702</v>
      </c>
      <c r="C4792" s="1" t="n">
        <v>46132</v>
      </c>
      <c r="D4792" t="inlineStr">
        <is>
          <t>ÖREBRO LÄN</t>
        </is>
      </c>
      <c r="E4792" t="inlineStr">
        <is>
          <t>LINDESBERG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59938-2023</t>
        </is>
      </c>
      <c r="B4793" s="1" t="n">
        <v>45257.67357638889</v>
      </c>
      <c r="C4793" s="1" t="n">
        <v>46132</v>
      </c>
      <c r="D4793" t="inlineStr">
        <is>
          <t>ÖREBRO LÄN</t>
        </is>
      </c>
      <c r="E4793" t="inlineStr">
        <is>
          <t>KARLSKOGA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18831-2025</t>
        </is>
      </c>
      <c r="B4794" s="1" t="n">
        <v>45764.39109953704</v>
      </c>
      <c r="C4794" s="1" t="n">
        <v>46132</v>
      </c>
      <c r="D4794" t="inlineStr">
        <is>
          <t>ÖREBRO LÄN</t>
        </is>
      </c>
      <c r="E4794" t="inlineStr">
        <is>
          <t>DEGERFORS</t>
        </is>
      </c>
      <c r="F4794" t="inlineStr">
        <is>
          <t>Sveaskog</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36773-2024</t>
        </is>
      </c>
      <c r="B4795" s="1" t="n">
        <v>45538</v>
      </c>
      <c r="C4795" s="1" t="n">
        <v>46132</v>
      </c>
      <c r="D4795" t="inlineStr">
        <is>
          <t>ÖREBRO LÄN</t>
        </is>
      </c>
      <c r="E4795" t="inlineStr">
        <is>
          <t>LINDESBERG</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61813-2024</t>
        </is>
      </c>
      <c r="B4796" s="1" t="n">
        <v>45649.59596064815</v>
      </c>
      <c r="C4796" s="1" t="n">
        <v>46132</v>
      </c>
      <c r="D4796" t="inlineStr">
        <is>
          <t>ÖREBRO LÄN</t>
        </is>
      </c>
      <c r="E4796" t="inlineStr">
        <is>
          <t>KARLSKOGA</t>
        </is>
      </c>
      <c r="F4796" t="inlineStr">
        <is>
          <t>Kyrkan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53897-2024</t>
        </is>
      </c>
      <c r="B4797" s="1" t="n">
        <v>45615.69570601852</v>
      </c>
      <c r="C4797" s="1" t="n">
        <v>46132</v>
      </c>
      <c r="D4797" t="inlineStr">
        <is>
          <t>ÖREBRO LÄN</t>
        </is>
      </c>
      <c r="E4797" t="inlineStr">
        <is>
          <t>LINDESBERG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23648-2024</t>
        </is>
      </c>
      <c r="B4798" s="1" t="n">
        <v>45454</v>
      </c>
      <c r="C4798" s="1" t="n">
        <v>46132</v>
      </c>
      <c r="D4798" t="inlineStr">
        <is>
          <t>ÖREBRO LÄN</t>
        </is>
      </c>
      <c r="E4798" t="inlineStr">
        <is>
          <t>KUMLA</t>
        </is>
      </c>
      <c r="F4798" t="inlineStr">
        <is>
          <t>Kommuner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2039-2025</t>
        </is>
      </c>
      <c r="B4799" s="1" t="n">
        <v>45672</v>
      </c>
      <c r="C4799" s="1" t="n">
        <v>46132</v>
      </c>
      <c r="D4799" t="inlineStr">
        <is>
          <t>ÖREBRO LÄN</t>
        </is>
      </c>
      <c r="E4799" t="inlineStr">
        <is>
          <t>LEKEBERG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2076-2025</t>
        </is>
      </c>
      <c r="B4800" s="1" t="n">
        <v>45672</v>
      </c>
      <c r="C4800" s="1" t="n">
        <v>46132</v>
      </c>
      <c r="D4800" t="inlineStr">
        <is>
          <t>ÖREBRO LÄN</t>
        </is>
      </c>
      <c r="E4800" t="inlineStr">
        <is>
          <t>ÖREBRO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18715-2025</t>
        </is>
      </c>
      <c r="B4801" s="1" t="n">
        <v>45763.64383101852</v>
      </c>
      <c r="C4801" s="1" t="n">
        <v>46132</v>
      </c>
      <c r="D4801" t="inlineStr">
        <is>
          <t>ÖREBRO LÄN</t>
        </is>
      </c>
      <c r="E4801" t="inlineStr">
        <is>
          <t>HÄLLEFORS</t>
        </is>
      </c>
      <c r="F4801" t="inlineStr">
        <is>
          <t>Bergvik skog väst AB</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12692-2024</t>
        </is>
      </c>
      <c r="B4802" s="1" t="n">
        <v>45384.43418981481</v>
      </c>
      <c r="C4802" s="1" t="n">
        <v>46132</v>
      </c>
      <c r="D4802" t="inlineStr">
        <is>
          <t>ÖREBRO LÄN</t>
        </is>
      </c>
      <c r="E4802" t="inlineStr">
        <is>
          <t>LINDESBERG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15325-2024</t>
        </is>
      </c>
      <c r="B4803" s="1" t="n">
        <v>45400.6709837963</v>
      </c>
      <c r="C4803" s="1" t="n">
        <v>46132</v>
      </c>
      <c r="D4803" t="inlineStr">
        <is>
          <t>ÖREBRO LÄN</t>
        </is>
      </c>
      <c r="E4803" t="inlineStr">
        <is>
          <t>LINDESBERG</t>
        </is>
      </c>
      <c r="F4803" t="inlineStr">
        <is>
          <t>Sveaskog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12421-2023</t>
        </is>
      </c>
      <c r="B4804" s="1" t="n">
        <v>44999.52975694444</v>
      </c>
      <c r="C4804" s="1" t="n">
        <v>46132</v>
      </c>
      <c r="D4804" t="inlineStr">
        <is>
          <t>ÖREBRO LÄN</t>
        </is>
      </c>
      <c r="E4804" t="inlineStr">
        <is>
          <t>ASKERSUND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14454-2025</t>
        </is>
      </c>
      <c r="B4805" s="1" t="n">
        <v>45741.56476851852</v>
      </c>
      <c r="C4805" s="1" t="n">
        <v>46132</v>
      </c>
      <c r="D4805" t="inlineStr">
        <is>
          <t>ÖREBRO LÄN</t>
        </is>
      </c>
      <c r="E4805" t="inlineStr">
        <is>
          <t>LAXÅ</t>
        </is>
      </c>
      <c r="F4805" t="inlineStr">
        <is>
          <t>Sveaskog</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50402-2023</t>
        </is>
      </c>
      <c r="B4806" s="1" t="n">
        <v>45216</v>
      </c>
      <c r="C4806" s="1" t="n">
        <v>46132</v>
      </c>
      <c r="D4806" t="inlineStr">
        <is>
          <t>ÖREBRO LÄN</t>
        </is>
      </c>
      <c r="E4806" t="inlineStr">
        <is>
          <t>LAXÅ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2413-2024</t>
        </is>
      </c>
      <c r="B4807" s="1" t="n">
        <v>45310</v>
      </c>
      <c r="C4807" s="1" t="n">
        <v>46132</v>
      </c>
      <c r="D4807" t="inlineStr">
        <is>
          <t>ÖREBRO LÄN</t>
        </is>
      </c>
      <c r="E4807" t="inlineStr">
        <is>
          <t>NORA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14960-2025</t>
        </is>
      </c>
      <c r="B4808" s="1" t="n">
        <v>45743.5853125</v>
      </c>
      <c r="C4808" s="1" t="n">
        <v>46132</v>
      </c>
      <c r="D4808" t="inlineStr">
        <is>
          <t>ÖREBRO LÄN</t>
        </is>
      </c>
      <c r="E4808" t="inlineStr">
        <is>
          <t>ÖREBRO</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52710-2023</t>
        </is>
      </c>
      <c r="B4809" s="1" t="n">
        <v>45225.84559027778</v>
      </c>
      <c r="C4809" s="1" t="n">
        <v>46132</v>
      </c>
      <c r="D4809" t="inlineStr">
        <is>
          <t>ÖREBRO LÄN</t>
        </is>
      </c>
      <c r="E4809" t="inlineStr">
        <is>
          <t>HALLSBERG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14669-2025</t>
        </is>
      </c>
      <c r="B4810" s="1" t="n">
        <v>45742.55043981481</v>
      </c>
      <c r="C4810" s="1" t="n">
        <v>46132</v>
      </c>
      <c r="D4810" t="inlineStr">
        <is>
          <t>ÖREBRO LÄN</t>
        </is>
      </c>
      <c r="E4810" t="inlineStr">
        <is>
          <t>HÄLLEFORS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17428-2025</t>
        </is>
      </c>
      <c r="B4811" s="1" t="n">
        <v>45757.4027199074</v>
      </c>
      <c r="C4811" s="1" t="n">
        <v>46132</v>
      </c>
      <c r="D4811" t="inlineStr">
        <is>
          <t>ÖREBRO LÄN</t>
        </is>
      </c>
      <c r="E4811" t="inlineStr">
        <is>
          <t>LJUSNARSBERG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61314-2024</t>
        </is>
      </c>
      <c r="B4812" s="1" t="n">
        <v>45646.31635416667</v>
      </c>
      <c r="C4812" s="1" t="n">
        <v>46132</v>
      </c>
      <c r="D4812" t="inlineStr">
        <is>
          <t>ÖREBRO LÄN</t>
        </is>
      </c>
      <c r="E4812" t="inlineStr">
        <is>
          <t>LEKEBERG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46642-2024</t>
        </is>
      </c>
      <c r="B4813" s="1" t="n">
        <v>45583.34902777777</v>
      </c>
      <c r="C4813" s="1" t="n">
        <v>46132</v>
      </c>
      <c r="D4813" t="inlineStr">
        <is>
          <t>ÖREBRO LÄN</t>
        </is>
      </c>
      <c r="E4813" t="inlineStr">
        <is>
          <t>HÄLLEFORS</t>
        </is>
      </c>
      <c r="F4813" t="inlineStr">
        <is>
          <t>Bergvik skog väst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60022-2024</t>
        </is>
      </c>
      <c r="B4814" s="1" t="n">
        <v>45642</v>
      </c>
      <c r="C4814" s="1" t="n">
        <v>46132</v>
      </c>
      <c r="D4814" t="inlineStr">
        <is>
          <t>ÖREBRO LÄN</t>
        </is>
      </c>
      <c r="E4814" t="inlineStr">
        <is>
          <t>ÖREBRO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7119-2025</t>
        </is>
      </c>
      <c r="B4815" s="1" t="n">
        <v>45702</v>
      </c>
      <c r="C4815" s="1" t="n">
        <v>46132</v>
      </c>
      <c r="D4815" t="inlineStr">
        <is>
          <t>ÖREBRO LÄN</t>
        </is>
      </c>
      <c r="E4815" t="inlineStr">
        <is>
          <t>LINDESBERG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20729-2025</t>
        </is>
      </c>
      <c r="B4816" s="1" t="n">
        <v>45776.51268518518</v>
      </c>
      <c r="C4816" s="1" t="n">
        <v>46132</v>
      </c>
      <c r="D4816" t="inlineStr">
        <is>
          <t>ÖREBRO LÄN</t>
        </is>
      </c>
      <c r="E4816" t="inlineStr">
        <is>
          <t>HALLSBERG</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20804-2025</t>
        </is>
      </c>
      <c r="B4817" s="1" t="n">
        <v>45776.65518518518</v>
      </c>
      <c r="C4817" s="1" t="n">
        <v>46132</v>
      </c>
      <c r="D4817" t="inlineStr">
        <is>
          <t>ÖREBRO LÄN</t>
        </is>
      </c>
      <c r="E4817" t="inlineStr">
        <is>
          <t>LINDESBERG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20670-2025</t>
        </is>
      </c>
      <c r="B4818" s="1" t="n">
        <v>45776.43351851852</v>
      </c>
      <c r="C4818" s="1" t="n">
        <v>46132</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20724-2025</t>
        </is>
      </c>
      <c r="B4819" s="1" t="n">
        <v>45776.51016203704</v>
      </c>
      <c r="C4819" s="1" t="n">
        <v>46132</v>
      </c>
      <c r="D4819" t="inlineStr">
        <is>
          <t>ÖREBRO LÄN</t>
        </is>
      </c>
      <c r="E4819" t="inlineStr">
        <is>
          <t>HALLSBERG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20730-2025</t>
        </is>
      </c>
      <c r="B4820" s="1" t="n">
        <v>45776.51508101852</v>
      </c>
      <c r="C4820" s="1" t="n">
        <v>46132</v>
      </c>
      <c r="D4820" t="inlineStr">
        <is>
          <t>ÖREBRO LÄN</t>
        </is>
      </c>
      <c r="E4820" t="inlineStr">
        <is>
          <t>HALLSBERG</t>
        </is>
      </c>
      <c r="F4820" t="inlineStr">
        <is>
          <t>Sveaskog</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21050-2025</t>
        </is>
      </c>
      <c r="B4821" s="1" t="n">
        <v>45777.56322916667</v>
      </c>
      <c r="C4821" s="1" t="n">
        <v>46132</v>
      </c>
      <c r="D4821" t="inlineStr">
        <is>
          <t>ÖREBRO LÄN</t>
        </is>
      </c>
      <c r="E4821" t="inlineStr">
        <is>
          <t>HÄLLEFORS</t>
        </is>
      </c>
      <c r="F4821" t="inlineStr">
        <is>
          <t>Kyrkan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21097-2025</t>
        </is>
      </c>
      <c r="B4822" s="1" t="n">
        <v>45777.63863425926</v>
      </c>
      <c r="C4822" s="1" t="n">
        <v>46132</v>
      </c>
      <c r="D4822" t="inlineStr">
        <is>
          <t>ÖREBRO LÄN</t>
        </is>
      </c>
      <c r="E4822" t="inlineStr">
        <is>
          <t>ÖREBRO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21045-2025</t>
        </is>
      </c>
      <c r="B4823" s="1" t="n">
        <v>45777.55422453704</v>
      </c>
      <c r="C4823" s="1" t="n">
        <v>46132</v>
      </c>
      <c r="D4823" t="inlineStr">
        <is>
          <t>ÖREBRO LÄN</t>
        </is>
      </c>
      <c r="E4823" t="inlineStr">
        <is>
          <t>ASKERSUND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20923-2025</t>
        </is>
      </c>
      <c r="B4824" s="1" t="n">
        <v>45777.41673611111</v>
      </c>
      <c r="C4824" s="1" t="n">
        <v>46132</v>
      </c>
      <c r="D4824" t="inlineStr">
        <is>
          <t>ÖREBRO LÄN</t>
        </is>
      </c>
      <c r="E4824" t="inlineStr">
        <is>
          <t>LINDESBERG</t>
        </is>
      </c>
      <c r="F4824" t="inlineStr">
        <is>
          <t>Sveaskog</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20950-2025</t>
        </is>
      </c>
      <c r="B4825" s="1" t="n">
        <v>45777.43878472222</v>
      </c>
      <c r="C4825" s="1" t="n">
        <v>46132</v>
      </c>
      <c r="D4825" t="inlineStr">
        <is>
          <t>ÖREBRO LÄN</t>
        </is>
      </c>
      <c r="E4825" t="inlineStr">
        <is>
          <t>LINDESBERG</t>
        </is>
      </c>
      <c r="F4825" t="inlineStr">
        <is>
          <t>Sveaskog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21041-2025</t>
        </is>
      </c>
      <c r="B4826" s="1" t="n">
        <v>45777.54607638889</v>
      </c>
      <c r="C4826" s="1" t="n">
        <v>46132</v>
      </c>
      <c r="D4826" t="inlineStr">
        <is>
          <t>ÖREBRO LÄN</t>
        </is>
      </c>
      <c r="E4826" t="inlineStr">
        <is>
          <t>ASKERSUND</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21048-2025</t>
        </is>
      </c>
      <c r="B4827" s="1" t="n">
        <v>45777.55945601852</v>
      </c>
      <c r="C4827" s="1" t="n">
        <v>46132</v>
      </c>
      <c r="D4827" t="inlineStr">
        <is>
          <t>ÖREBRO LÄN</t>
        </is>
      </c>
      <c r="E4827" t="inlineStr">
        <is>
          <t>ASKERSUND</t>
        </is>
      </c>
      <c r="G4827" t="n">
        <v>0.7</v>
      </c>
      <c r="H4827" t="n">
        <v>0</v>
      </c>
      <c r="I4827" t="n">
        <v>0</v>
      </c>
      <c r="J4827" t="n">
        <v>0</v>
      </c>
      <c r="K4827" t="n">
        <v>0</v>
      </c>
      <c r="L4827" t="n">
        <v>0</v>
      </c>
      <c r="M4827" t="n">
        <v>0</v>
      </c>
      <c r="N4827" t="n">
        <v>0</v>
      </c>
      <c r="O4827" t="n">
        <v>0</v>
      </c>
      <c r="P4827" t="n">
        <v>0</v>
      </c>
      <c r="Q4827" t="n">
        <v>0</v>
      </c>
      <c r="R4827" s="2" t="inlineStr"/>
    </row>
    <row r="4828">
      <c r="A4828" t="inlineStr">
        <is>
          <t>A 12795-2025</t>
        </is>
      </c>
      <c r="B4828" s="1" t="n">
        <v>45733.60959490741</v>
      </c>
      <c r="C4828" s="1" t="n">
        <v>46132</v>
      </c>
      <c r="D4828" t="inlineStr">
        <is>
          <t>ÖREBRO LÄN</t>
        </is>
      </c>
      <c r="E4828" t="inlineStr">
        <is>
          <t>LINDESBERG</t>
        </is>
      </c>
      <c r="G4828" t="n">
        <v>10.8</v>
      </c>
      <c r="H4828" t="n">
        <v>0</v>
      </c>
      <c r="I4828" t="n">
        <v>0</v>
      </c>
      <c r="J4828" t="n">
        <v>0</v>
      </c>
      <c r="K4828" t="n">
        <v>0</v>
      </c>
      <c r="L4828" t="n">
        <v>0</v>
      </c>
      <c r="M4828" t="n">
        <v>0</v>
      </c>
      <c r="N4828" t="n">
        <v>0</v>
      </c>
      <c r="O4828" t="n">
        <v>0</v>
      </c>
      <c r="P4828" t="n">
        <v>0</v>
      </c>
      <c r="Q4828" t="n">
        <v>0</v>
      </c>
      <c r="R4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2026-04-20T10:28:35Z</dcterms:created>
  <dcterms:modified xmlns:dcterms="http://purl.org/dc/terms/" xmlns:xsi="http://www.w3.org/2001/XMLSchema-instance" xsi:type="dcterms:W3CDTF">2026-04-20T10:28:39Z</dcterms:modified>
</cp:coreProperties>
</file>