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45801</v>
      </c>
      <c r="D4" t="inlineStr">
        <is>
          <t>ÖREBRO LÄN</t>
        </is>
      </c>
      <c r="E4" t="inlineStr">
        <is>
          <t>HALLSBERG</t>
        </is>
      </c>
      <c r="G4" t="n">
        <v>8.1</v>
      </c>
      <c r="H4" t="n">
        <v>23</v>
      </c>
      <c r="I4" t="n">
        <v>2</v>
      </c>
      <c r="J4" t="n">
        <v>18</v>
      </c>
      <c r="K4" t="n">
        <v>1</v>
      </c>
      <c r="L4" t="n">
        <v>0</v>
      </c>
      <c r="M4" t="n">
        <v>0</v>
      </c>
      <c r="N4" t="n">
        <v>0</v>
      </c>
      <c r="O4" t="n">
        <v>19</v>
      </c>
      <c r="P4" t="n">
        <v>1</v>
      </c>
      <c r="Q4" t="n">
        <v>30</v>
      </c>
      <c r="R4"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45801</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45801</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45801</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45801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45801</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45801</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45801</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45801</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45801</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45801</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45801</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45801</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45801</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45801</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45801</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45801</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45801</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45801</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45801</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45801</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45801</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45801</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45801</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45801</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45801</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45801</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45801</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45801</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45801</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45801</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45801</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45801</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45801</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45801</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45801</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45801</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45801</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45801</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45801</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45801</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45801</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45801</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45801</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45801</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45801</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45801</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45801</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45801</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45801</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45801</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45801</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45801</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45801</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45801</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45801</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45801</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45801</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45801</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45801</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45801</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45801</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45801</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45801</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45801</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45801</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45801</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45801</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45801</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45801</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45801</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45801</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45801</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45801</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45801</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45801</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45801</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45801</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45801</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45801</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45801</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45801</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45801</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45801</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45801</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45801</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45801</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45801</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45801</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45801</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45801</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45801</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45801</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45801</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45801</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45801</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45801</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45801</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45801</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45801</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45801</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45801</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45801</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45801</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45801</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45801</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45801</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45801</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45801</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45801</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45801</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45801</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45801</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45801</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45801</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45801</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45801</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45801</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45801</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45801</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45801</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45801</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45801</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45801</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45801</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45801</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45801</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45801</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45801</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45801</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45801</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45801</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45801</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45801</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45801</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45801</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45801</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45801</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45801</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45801</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45801</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45801</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45801</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45801</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45801</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45801</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45801</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45801</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45801</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45801</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45801</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45801</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45801</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45801</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45801</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45801</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45801</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45801</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45801</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45801</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45801</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45801</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45801</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45801</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45801</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45801</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45801</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45801</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45801</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45801</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45801</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45801</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45801</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45801</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45801</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45801</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45801</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45801</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45801</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45801</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45801</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45801</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45801</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45801</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45801</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45801</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45801</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45801</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45801</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45801</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45801</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45801</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45801</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45801</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45801</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45801</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45801</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45801</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45801</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45801</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45801</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45801</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45801</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45801</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45801</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45801</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45801</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45801</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45801</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45801</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45801</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45801</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45801</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45801</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45801</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45801</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45801</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45801</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45801</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45801</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45801</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45801</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45801</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45801</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45801</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45801</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45801</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45801</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45801</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45801</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45801</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45801</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45801</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45801</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45801</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45801</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45801</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45801</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45801</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45801</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45801</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45801</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45801</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45801</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45801</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45801</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45801</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45801</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45801</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45801</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45801</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45801</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45801</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45801</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45801</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45801</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45801</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45801</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45801</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45801</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45801</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45801</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45801</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45801</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45801</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45801</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45801</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45801</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45801</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45801</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45801</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45801</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45801</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45801</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45801</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45801</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45801</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45801</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45801</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45801</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45801</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45801</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45801</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45801</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45801</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45801</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45801</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45801</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45801</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45801</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45801</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45801</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45801</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45801</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45801</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45801</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45801</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45801</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45801</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45801</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45801</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45801</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45801</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45801</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45801</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45801</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45801</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45801</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45801</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45801</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45801</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45801</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45801</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45801</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45801</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45801</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45801</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45801</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45801</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45801</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45801</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45801</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45801</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45801</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45801</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45801</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45801</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45801</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45801</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45801</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45801</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45801</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45801</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45801</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45801</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45801</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45801</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45801</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45801</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45801</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45801</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45801</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45801</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45801</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45801</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45801</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45801</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45801</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45801</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45801</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45801</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45801</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45801</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45801</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45801</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45801</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45801</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45801</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45801</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45801</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45801</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45801</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45801</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45801</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45801</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45801</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45801</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45801</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45801</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45801</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45801</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45801</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45801</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45801</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45801</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45801</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45801</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45801</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45801</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45801</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45801</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45801</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45801</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45801</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45801</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45801</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45801</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45801</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45801</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45801</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45801</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45801</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45801</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45801</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45801</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45801</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45801</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45801</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45801</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45801</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45801</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45801</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45801</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45801</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45801</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45801</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45801</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45801</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45801</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45801</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45801</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45801</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45801</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45801</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45801</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45801</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45801</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45801</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45801</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45801</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45801</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45801</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45801</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45801</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45801</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45801</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45801</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45801</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45801</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45801</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45801</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45801</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45801</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45801</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45801</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45801</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45801</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45801</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45801</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45801</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45801</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45801</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45801</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45801</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45801</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45801</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45801</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45801</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45801</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45801</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45801</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45801</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45801</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45801</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45801</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45801</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45801</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45801</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45801</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45801</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45801</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45801</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45801</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45801</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45801</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45801</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45801</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45801</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45801</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45801</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45801</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45801</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45801</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45801</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45801</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45801</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45801</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45801</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45801</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45801</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45801</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45801</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45801</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45801</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45801</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45801</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45801</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45801</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45801</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45801</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45801</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45801</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45801</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45801</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45801</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45801</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45801</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45801</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45801</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45801</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45801</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45801</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45801</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45801</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45801</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45801</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45801</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45801</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45801</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45801</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45801</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45801</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45801</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45801</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45801</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45801</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45801</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45801</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45801</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45801</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45801</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45801</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45801</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45801</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45801</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45801</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45801</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45801</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45801</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45801</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45801</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45801</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45801</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45801</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45801</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45801</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45801</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45801</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45801</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45801</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45801</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45801</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45801</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45801</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45801</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45801</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45801</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45801</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45801</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45801</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45801</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45801</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45801</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45801</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45801</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45801</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45801</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45801</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45801</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45801</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45801</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45801</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45801</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45801</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45801</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45801</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45801</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45801</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45801</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45801</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45801</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45801</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45801</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45801</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45801</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45801</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45801</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45801</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45801</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45801</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45801</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45801</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45801</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45801</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45801</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45801</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45801</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45801</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45801</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45801</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45801</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45801</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45801</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45801</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45801</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45801</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45801</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45801</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45801</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45801</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45801</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45801</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21847-2025</t>
        </is>
      </c>
      <c r="B626" s="1" t="n">
        <v>45784</v>
      </c>
      <c r="C626" s="1" t="n">
        <v>45801</v>
      </c>
      <c r="D626" t="inlineStr">
        <is>
          <t>ÖREBRO LÄN</t>
        </is>
      </c>
      <c r="E626" t="inlineStr">
        <is>
          <t>KARLSKOGA</t>
        </is>
      </c>
      <c r="F626" t="inlineStr">
        <is>
          <t>Sveaskog</t>
        </is>
      </c>
      <c r="G626" t="n">
        <v>8.5</v>
      </c>
      <c r="H626" t="n">
        <v>0</v>
      </c>
      <c r="I626" t="n">
        <v>0</v>
      </c>
      <c r="J626" t="n">
        <v>1</v>
      </c>
      <c r="K626" t="n">
        <v>0</v>
      </c>
      <c r="L626" t="n">
        <v>0</v>
      </c>
      <c r="M626" t="n">
        <v>0</v>
      </c>
      <c r="N626" t="n">
        <v>0</v>
      </c>
      <c r="O626" t="n">
        <v>1</v>
      </c>
      <c r="P626" t="n">
        <v>0</v>
      </c>
      <c r="Q626" t="n">
        <v>1</v>
      </c>
      <c r="R626" s="2" t="inlineStr">
        <is>
          <t>Vedtrappmossa</t>
        </is>
      </c>
      <c r="S626">
        <f>HYPERLINK("https://klasma.github.io/Logging_181883/artfynd/A 21847-2025 artfynd.xlsx", "A 21847-2025")</f>
        <v/>
      </c>
      <c r="T626">
        <f>HYPERLINK("https://klasma.github.io/Logging_181883/kartor/A 21847-2025 karta.png", "A 21847-2025")</f>
        <v/>
      </c>
      <c r="V626">
        <f>HYPERLINK("https://klasma.github.io/Logging_181883/klagomål/A 21847-2025 FSC-klagomål.docx", "A 21847-2025")</f>
        <v/>
      </c>
      <c r="W626">
        <f>HYPERLINK("https://klasma.github.io/Logging_181883/klagomålsmail/A 21847-2025 FSC-klagomål mail.docx", "A 21847-2025")</f>
        <v/>
      </c>
      <c r="X626">
        <f>HYPERLINK("https://klasma.github.io/Logging_181883/tillsyn/A 21847-2025 tillsynsbegäran.docx", "A 21847-2025")</f>
        <v/>
      </c>
      <c r="Y626">
        <f>HYPERLINK("https://klasma.github.io/Logging_181883/tillsynsmail/A 21847-2025 tillsynsbegäran mail.docx", "A 21847-2025")</f>
        <v/>
      </c>
    </row>
    <row r="627" ht="15" customHeight="1">
      <c r="A627" t="inlineStr">
        <is>
          <t>A 21885-2025</t>
        </is>
      </c>
      <c r="B627" s="1" t="n">
        <v>45784</v>
      </c>
      <c r="C627" s="1" t="n">
        <v>45801</v>
      </c>
      <c r="D627" t="inlineStr">
        <is>
          <t>ÖREBRO LÄN</t>
        </is>
      </c>
      <c r="E627" t="inlineStr">
        <is>
          <t>KARLSKOGA</t>
        </is>
      </c>
      <c r="G627" t="n">
        <v>1.7</v>
      </c>
      <c r="H627" t="n">
        <v>0</v>
      </c>
      <c r="I627" t="n">
        <v>1</v>
      </c>
      <c r="J627" t="n">
        <v>0</v>
      </c>
      <c r="K627" t="n">
        <v>0</v>
      </c>
      <c r="L627" t="n">
        <v>0</v>
      </c>
      <c r="M627" t="n">
        <v>0</v>
      </c>
      <c r="N627" t="n">
        <v>0</v>
      </c>
      <c r="O627" t="n">
        <v>0</v>
      </c>
      <c r="P627" t="n">
        <v>0</v>
      </c>
      <c r="Q627" t="n">
        <v>1</v>
      </c>
      <c r="R627" s="2" t="inlineStr">
        <is>
          <t>Grovticka</t>
        </is>
      </c>
      <c r="S627">
        <f>HYPERLINK("https://klasma.github.io/Logging_181883/artfynd/A 21885-2025 artfynd.xlsx", "A 21885-2025")</f>
        <v/>
      </c>
      <c r="T627">
        <f>HYPERLINK("https://klasma.github.io/Logging_181883/kartor/A 21885-2025 karta.png", "A 21885-2025")</f>
        <v/>
      </c>
      <c r="V627">
        <f>HYPERLINK("https://klasma.github.io/Logging_181883/klagomål/A 21885-2025 FSC-klagomål.docx", "A 21885-2025")</f>
        <v/>
      </c>
      <c r="W627">
        <f>HYPERLINK("https://klasma.github.io/Logging_181883/klagomålsmail/A 21885-2025 FSC-klagomål mail.docx", "A 21885-2025")</f>
        <v/>
      </c>
      <c r="X627">
        <f>HYPERLINK("https://klasma.github.io/Logging_181883/tillsyn/A 21885-2025 tillsynsbegäran.docx", "A 21885-2025")</f>
        <v/>
      </c>
      <c r="Y627">
        <f>HYPERLINK("https://klasma.github.io/Logging_181883/tillsynsmail/A 21885-2025 tillsynsbegäran mail.docx", "A 21885-2025")</f>
        <v/>
      </c>
    </row>
    <row r="628" ht="15" customHeight="1">
      <c r="A628" t="inlineStr">
        <is>
          <t>A 23998-2025</t>
        </is>
      </c>
      <c r="B628" s="1" t="n">
        <v>45796</v>
      </c>
      <c r="C628" s="1" t="n">
        <v>45801</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45801</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45801</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45801</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45801</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45801</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45801</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45801</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45801</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45801</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45801</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45801</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45801</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45801</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45801</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45801</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45801</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45801</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45801</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45801</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45801</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45801</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45801</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45801</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45801</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45801</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45801</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45801</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45801</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45801</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45801</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45801</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45801</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45801</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45801</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45801</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45801</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45801</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45801</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45801</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45801</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45801</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45801</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45801</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45801</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45801</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45801</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45801</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45801</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45801</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45801</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45801</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45801</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45801</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45801</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45801</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45801</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45801</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45801</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45801</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45801</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45801</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45801</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45801</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45801</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45801</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45801</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45801</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45801</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45801</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45801</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45801</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45801</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45801</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45801</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45801</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45801</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45801</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45801</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45801</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45801</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45801</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45801</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45801</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45801</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45801</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45801</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45801</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45801</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45801</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45801</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45801</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45801</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45801</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45801</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45801</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45801</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45801</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45801</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45801</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45801</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45801</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45801</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45801</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45801</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45801</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45801</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45801</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45801</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45801</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45801</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45801</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45801</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45801</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45801</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45801</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45801</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45801</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45801</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45801</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45801</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45801</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45801</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45801</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45801</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45801</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45801</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45801</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45801</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45801</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45801</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45801</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45801</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45801</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45801</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45801</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45801</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45801</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45801</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45801</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45801</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45801</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45801</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45801</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45801</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45801</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45801</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45801</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45801</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45801</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45801</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45801</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45801</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45801</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45801</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45801</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45801</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45801</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45801</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45801</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45801</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45801</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45801</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45801</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45801</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45801</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45801</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45801</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45801</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45801</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45801</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45801</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45801</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45801</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45801</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45801</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45801</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45801</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45801</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45801</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45801</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45801</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45801</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45801</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45801</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45801</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45801</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45801</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45801</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45801</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45801</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45801</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45801</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45801</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45801</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45801</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45801</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45801</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45801</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45801</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45801</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45801</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45801</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45801</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45801</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45801</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45801</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45801</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45801</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45801</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45801</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45801</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45801</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45801</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45801</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45801</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45801</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45801</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45801</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45801</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45801</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45801</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45801</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45801</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45801</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45801</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45801</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45801</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45801</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45801</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45801</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45801</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45801</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45801</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45801</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45801</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45801</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45801</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45801</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45801</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45801</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45801</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45801</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45801</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45801</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45801</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45801</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45801</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45801</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45801</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45801</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45801</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45801</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45801</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45801</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45801</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45801</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45801</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45801</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45801</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45801</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45801</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45801</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45801</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45801</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45801</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45801</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45801</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45801</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45801</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45801</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45801</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45801</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45801</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45801</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45801</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45801</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45801</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45801</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45801</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45801</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45801</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45801</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45801</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45801</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45801</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45801</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45801</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45801</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45801</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45801</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45801</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45801</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45801</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45801</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45801</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45801</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45801</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45801</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45801</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45801</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45801</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45801</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45801</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45801</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45801</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45801</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45801</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45801</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45801</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45801</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45801</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45801</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45801</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45801</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45801</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45801</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45801</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45801</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45801</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45801</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45801</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45801</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45801</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45801</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45801</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45801</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45801</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45801</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45801</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45801</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45801</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45801</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45801</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45801</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45801</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45801</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45801</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45801</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45801</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45801</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45801</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45801</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45801</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45801</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45801</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45801</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45801</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45801</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45801</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45801</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45801</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45801</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45801</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45801</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45801</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45801</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45801</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45801</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45801</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45801</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45801</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45801</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45801</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45801</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45801</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45801</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45801</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45801</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45801</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45801</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45801</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45801</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45801</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45801</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45801</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45801</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45801</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45801</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45801</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45801</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45801</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45801</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45801</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45801</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45801</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45801</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45801</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45801</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45801</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45801</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45801</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45801</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45801</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45801</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45801</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45801</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45801</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45801</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45801</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45801</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45801</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45801</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45801</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45801</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45801</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45801</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45801</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45801</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45801</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45801</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45801</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45801</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45801</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45801</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45801</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45801</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45801</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45801</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45801</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45801</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45801</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45801</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45801</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45801</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45801</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45801</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45801</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45801</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45801</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45801</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45801</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45801</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45801</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45801</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45801</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45801</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45801</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45801</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45801</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45801</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45801</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45801</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45801</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45801</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45801</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45801</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45801</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45801</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45801</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45801</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45801</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45801</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45801</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45801</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45801</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45801</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45801</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45801</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45801</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45801</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45801</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45801</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45801</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45801</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45801</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45801</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45801</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45801</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45801</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45801</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45801</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45801</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45801</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45801</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45801</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45801</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45801</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45801</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45801</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45801</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45801</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45801</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45801</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45801</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45801</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45801</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45801</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45801</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45801</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45801</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45801</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45801</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45801</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45801</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45801</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45801</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45801</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45801</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45801</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45801</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45801</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45801</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45801</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45801</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45801</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45801</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45801</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45801</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45801</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45801</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45801</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45801</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45801</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45801</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45801</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45801</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45801</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45801</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45801</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45801</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45801</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45801</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45801</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45801</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45801</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45801</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45801</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45801</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45801</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45801</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45801</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45801</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45801</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45801</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45801</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45801</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45801</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45801</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45801</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45801</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45801</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45801</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45801</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45801</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45801</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45801</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45801</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45801</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45801</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45801</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45801</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45801</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45801</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45801</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45801</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45801</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45801</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45801</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45801</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45801</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45801</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45801</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45801</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45801</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45801</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45801</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45801</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45801</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45801</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45801</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45801</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45801</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45801</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45801</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45801</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45801</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45801</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45801</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45801</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45801</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45801</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45801</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45801</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45801</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45801</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45801</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45801</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45801</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45801</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45801</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45801</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45801</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45801</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45801</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45801</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45801</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45801</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45801</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45801</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45801</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45801</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45801</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45801</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45801</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45801</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45801</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45801</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45801</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45801</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45801</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45801</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45801</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45801</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45801</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45801</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45801</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45801</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45801</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45801</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45801</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45801</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45801</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45801</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45801</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45801</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45801</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45801</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45801</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45801</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45801</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45801</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45801</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45801</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45801</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45801</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45801</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45801</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45801</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45801</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45801</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45801</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45801</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45801</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45801</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45801</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45801</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45801</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45801</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45801</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45801</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45801</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45801</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45801</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45801</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45801</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45801</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45801</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45801</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45801</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45801</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45801</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45801</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45801</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45801</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45801</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45801</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45801</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45801</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45801</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45801</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45801</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45801</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45801</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45801</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45801</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45801</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45801</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45801</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45801</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45801</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45801</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45801</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45801</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45801</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45801</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45801</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45801</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45801</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45801</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45801</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45801</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45801</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45801</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45801</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45801</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45801</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45801</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45801</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45801</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45801</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45801</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45801</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45801</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45801</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45801</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45801</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45801</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45801</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45801</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45801</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45801</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45801</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45801</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45801</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45801</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45801</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45801</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45801</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45801</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45801</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45801</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45801</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45801</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45801</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45801</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45801</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45801</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45801</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45801</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45801</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45801</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45801</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45801</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45801</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45801</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45801</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45801</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45801</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45801</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45801</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45801</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45801</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45801</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45801</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45801</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45801</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45801</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45801</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45801</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45801</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45801</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45801</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45801</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45801</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45801</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45801</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45801</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45801</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45801</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45801</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45801</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45801</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45801</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45801</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45801</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45801</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45801</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45801</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45801</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45801</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45801</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45801</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45801</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45801</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45801</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45801</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45801</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45801</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45801</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45801</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45801</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45801</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45801</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45801</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45801</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45801</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45801</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45801</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45801</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45801</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45801</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45801</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45801</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45801</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45801</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45801</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45801</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45801</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45801</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45801</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45801</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45801</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45801</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45801</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45801</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45801</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45801</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45801</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45801</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45801</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45801</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45801</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45801</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45801</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45801</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45801</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45801</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45801</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45801</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45801</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45801</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45801</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45801</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45801</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45801</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45801</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45801</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45801</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45801</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45801</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45801</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45801</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45801</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45801</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45801</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45801</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45801</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45801</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45801</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45801</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45801</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45801</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45801</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45801</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45801</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45801</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45801</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45801</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45801</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45801</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45801</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45801</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45801</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45801</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45801</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45801</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45801</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45801</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45801</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45801</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45801</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45801</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45801</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45801</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45801</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45801</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45801</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45801</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45801</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45801</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45801</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45801</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45801</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45801</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45801</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45801</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45801</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45801</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45801</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45801</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45801</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45801</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45801</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45801</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45801</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45801</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45801</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45801</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45801</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45801</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45801</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45801</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45801</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45801</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45801</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45801</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45801</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45801</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45801</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45801</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45801</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45801</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45801</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45801</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45801</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45801</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45801</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45801</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45801</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45801</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45801</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45801</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45801</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45801</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45801</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45801</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45801</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45801</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45801</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45801</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45801</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45801</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45801</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45801</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45801</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45801</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45801</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45801</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45801</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45801</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45801</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45801</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45801</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45801</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45801</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45801</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45801</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45801</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45801</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45801</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45801</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45801</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45801</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45801</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45801</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45801</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45801</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45801</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45801</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45801</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45801</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45801</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45801</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45801</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45801</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45801</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45801</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45801</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45801</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45801</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45801</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45801</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45801</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45801</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45801</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45801</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45801</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45801</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45801</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45801</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45801</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45801</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45801</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45801</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45801</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45801</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45801</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45801</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45801</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45801</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45801</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45801</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45801</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45801</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45801</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45801</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45801</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45801</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45801</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45801</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45801</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45801</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45801</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45801</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45801</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45801</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45801</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45801</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45801</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45801</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45801</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45801</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45801</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45801</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45801</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45801</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45801</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45801</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45801</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45801</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45801</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45801</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45801</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45801</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45801</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45801</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45801</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45801</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45801</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45801</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45801</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45801</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45801</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45801</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45801</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45801</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45801</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45801</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45801</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45801</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45801</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45801</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45801</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45801</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45801</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45801</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45801</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45801</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45801</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45801</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45801</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45801</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45801</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45801</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45801</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45801</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45801</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45801</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45801</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45801</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45801</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45801</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45801</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45801</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45801</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45801</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45801</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45801</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45801</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45801</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45801</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45801</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45801</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45801</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45801</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45801</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45801</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45801</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45801</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45801</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45801</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45801</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45801</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45801</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45801</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45801</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45801</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45801</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45801</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45801</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45801</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45801</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45801</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45801</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45801</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45801</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45801</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45801</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45801</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45801</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45801</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45801</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45801</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45801</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45801</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45801</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45801</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45801</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45801</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45801</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45801</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45801</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45801</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45801</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45801</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45801</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45801</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45801</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45801</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45801</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45801</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45801</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45801</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45801</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45801</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45801</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45801</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45801</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45801</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45801</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45801</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45801</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45801</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45801</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45801</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45801</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45801</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45801</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45801</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45801</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45801</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45801</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45801</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45801</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45801</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45801</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45801</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45801</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45801</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45801</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45801</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45801</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45801</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45801</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45801</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45801</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45801</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45801</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45801</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45801</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45801</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45801</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45801</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45801</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45801</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45801</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45801</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45801</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45801</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45801</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45801</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45801</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45801</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45801</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45801</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45801</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45801</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45801</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45801</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45801</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45801</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45801</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45801</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45801</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45801</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45801</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45801</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45801</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45801</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45801</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45801</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45801</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45801</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45801</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45801</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45801</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45801</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45801</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45801</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45801</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45801</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45801</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45801</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45801</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45801</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45801</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45801</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45801</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45801</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45801</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45801</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45801</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45801</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45801</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45801</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45801</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45801</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45801</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45801</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45801</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45801</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45801</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45801</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45801</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45801</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45801</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45801</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45801</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45801</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45801</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45801</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45801</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45801</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45801</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45801</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45801</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45801</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45801</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45801</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45801</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45801</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45801</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45801</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45801</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45801</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45801</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45801</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45801</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45801</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45801</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45801</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45801</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45801</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45801</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45801</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45801</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45801</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45801</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45801</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45801</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45801</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45801</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45801</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45801</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45801</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45801</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45801</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45801</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45801</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45801</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45801</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45801</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45801</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45801</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45801</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45801</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45801</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45801</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45801</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45801</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45801</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45801</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45801</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45801</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45801</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45801</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45801</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45801</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45801</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45801</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45801</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45801</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45801</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45801</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45801</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45801</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45801</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45801</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45801</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45801</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45801</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45801</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45801</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45801</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45801</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45801</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45801</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45801</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45801</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45801</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45801</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45801</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45801</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45801</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45801</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45801</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45801</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45801</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45801</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45801</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45801</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45801</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45801</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45801</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45801</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45801</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45801</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45801</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45801</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45801</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45801</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45801</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45801</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45801</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45801</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45801</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45801</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45801</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45801</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45801</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45801</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45801</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45801</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45801</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45801</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45801</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45801</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45801</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45801</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45801</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45801</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45801</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45801</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45801</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45801</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45801</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45801</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45801</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45801</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45801</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45801</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45801</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45801</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45801</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45801</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45801</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45801</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45801</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45801</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45801</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45801</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45801</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45801</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45801</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45801</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45801</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45801</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45801</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45801</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45801</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45801</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45801</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45801</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45801</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45801</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45801</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45801</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45801</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45801</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45801</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45801</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45801</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45801</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45801</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45801</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45801</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45801</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45801</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45801</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45801</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45801</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45801</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45801</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45801</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45801</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45801</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45801</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45801</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45801</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45801</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45801</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45801</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45801</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45801</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45801</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45801</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45801</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45801</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45801</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45801</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45801</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45801</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45801</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45801</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45801</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45801</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45801</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45801</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45801</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45801</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45801</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45801</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45801</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45801</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45801</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45801</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45801</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45801</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45801</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45801</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45801</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45801</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45801</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45801</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45801</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45801</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45801</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45801</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45801</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45801</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45801</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45801</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45801</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45801</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45801</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45801</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45801</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45801</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45801</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45801</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45801</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45801</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45801</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45801</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45801</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45801</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45801</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45801</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45801</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45801</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45801</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45801</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45801</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45801</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45801</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45801</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45801</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45801</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45801</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45801</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45801</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45801</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45801</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45801</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45801</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45801</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45801</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45801</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45801</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45801</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45801</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45801</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45801</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45801</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45801</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45801</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45801</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45801</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45801</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45801</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45801</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45801</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45801</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45801</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45801</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45801</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45801</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45801</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45801</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45801</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45801</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45801</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45801</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45801</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45801</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45801</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45801</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45801</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45801</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45801</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45801</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45801</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45801</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45801</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45801</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45801</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45801</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45801</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45801</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45801</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45801</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45801</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45801</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45801</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45801</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45801</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45801</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45801</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45801</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45801</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45801</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45801</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45801</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45801</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45801</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45801</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45801</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45801</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45801</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45801</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45801</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45801</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45801</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45801</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45801</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45801</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45801</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45801</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45801</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45801</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45801</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45801</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45801</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45801</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45801</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45801</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45801</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45801</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45801</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45801</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45801</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45801</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45801</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45801</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45801</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45801</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45801</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45801</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45801</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45801</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45801</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45801</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45801</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45801</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45801</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45801</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45801</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45801</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45801</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45801</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45801</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45801</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45801</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45801</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45801</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45801</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45801</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45801</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45801</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45801</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45801</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45801</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45801</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45801</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45801</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45801</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45801</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45801</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45801</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45801</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45801</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45801</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45801</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45801</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45801</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45801</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45801</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45801</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45801</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45801</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45801</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45801</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45801</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45801</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45801</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45801</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45801</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45801</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45801</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45801</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45801</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45801</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45801</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45801</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45801</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45801</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45801</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45801</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45801</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45801</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45801</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45801</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45801</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45801</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45801</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45801</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45801</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45801</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45801</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45801</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45801</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45801</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45801</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45801</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45801</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45801</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45801</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45801</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45801</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45801</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45801</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45801</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45801</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45801</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45801</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45801</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45801</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45801</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45801</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45801</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45801</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45801</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45801</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45801</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45801</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45801</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45801</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45801</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45801</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45801</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45801</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45801</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45801</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45801</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45801</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45801</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45801</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45801</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45801</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45801</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45801</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45801</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45801</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45801</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45801</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45801</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45801</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45801</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45801</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45801</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45801</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45801</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45801</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45801</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45801</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45801</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45801</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45801</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45801</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45801</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45801</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45801</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45801</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45801</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45801</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45801</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45801</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45801</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45801</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45801</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45801</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45801</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45801</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45801</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45801</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45801</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45801</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45801</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45801</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45801</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45801</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45801</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45801</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45801</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45801</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45801</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45801</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45801</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45801</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45801</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45801</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45801</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45801</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45801</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45801</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45801</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45801</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45801</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45801</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45801</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45801</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45801</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45801</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45801</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45801</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45801</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45801</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45801</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45801</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45801</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45801</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45801</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45801</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45801</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45801</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45801</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45801</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45801</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45801</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45801</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45801</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45801</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45801</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45801</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45801</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45801</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45801</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45801</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45801</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45801</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45801</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45801</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45801</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45801</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45801</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45801</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45801</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45801</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45801</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45801</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45801</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45801</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45801</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45801</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45801</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45801</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45801</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45801</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45801</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45801</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45801</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45801</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45801</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45801</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45801</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45801</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45801</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45801</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45801</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45801</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45801</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45801</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45801</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45801</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45801</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45801</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45801</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45801</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45801</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45801</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45801</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45801</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45801</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45801</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45801</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45801</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45801</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45801</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45801</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45801</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45801</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45801</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45801</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45801</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45801</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45801</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45801</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45801</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45801</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45801</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45801</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45801</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45801</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45801</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45801</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45801</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45801</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45801</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45801</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45801</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45801</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45801</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45801</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45801</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45801</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45801</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45801</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45801</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45801</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45801</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45801</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45801</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45801</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45801</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45801</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45801</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45801</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45801</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45801</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45801</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45801</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45801</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45801</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45801</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45801</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45801</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45801</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45801</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45801</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45801</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45801</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45801</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45801</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45801</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45801</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45801</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45801</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45801</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45801</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45801</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45801</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45801</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45801</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45801</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45801</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45801</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45801</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45801</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45801</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45801</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45801</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45801</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45801</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45801</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45801</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45801</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45801</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45801</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45801</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45801</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45801</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45801</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45801</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45801</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45801</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45801</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45801</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45801</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45801</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45801</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45801</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45801</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45801</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45801</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45801</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45801</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45801</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45801</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45801</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45801</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45801</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45801</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45801</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45801</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45801</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45801</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45801</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45801</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45801</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45801</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45801</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45801</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45801</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45801</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45801</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45801</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45801</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45801</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45801</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45801</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45801</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45801</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45801</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45801</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45801</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45801</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45801</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45801</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45801</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45801</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45801</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45801</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45801</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45801</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45801</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45801</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45801</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45801</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45801</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45801</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45801</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45801</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45801</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45801</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45801</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45801</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45801</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45801</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45801</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45801</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45801</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45801</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45801</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45801</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45801</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45801</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45801</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45801</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45801</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45801</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45801</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45801</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45801</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45801</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45801</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45801</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45801</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45801</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45801</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45801</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45801</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45801</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45801</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45801</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45801</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45801</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45801</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45801</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45801</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45801</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45801</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45801</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45801</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45801</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45801</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45801</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45801</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45801</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45801</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45801</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45801</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45801</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45801</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45801</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45801</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45801</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45801</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45801</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45801</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45801</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45801</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45801</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45801</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45801</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45801</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45801</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45801</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45801</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45801</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45801</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45801</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45801</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45801</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45801</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45801</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45801</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45801</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45801</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45801</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45801</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45801</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45801</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45801</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45801</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45801</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45801</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45801</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45801</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45801</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45801</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45801</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45801</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45801</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45801</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45801</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45801</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45801</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45801</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45801</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45801</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45801</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45801</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45801</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45801</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45801</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45801</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45801</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45801</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45801</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45801</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45801</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45801</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45801</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45801</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45801</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45801</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45801</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45801</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45801</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45801</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45801</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45801</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45801</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45801</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45801</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45801</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45801</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45801</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45801</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45801</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45801</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45801</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45801</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45801</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45801</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45801</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45801</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45801</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45801</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45801</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45801</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45801</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45801</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45801</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45801</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45801</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45801</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45801</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45801</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45801</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45801</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45801</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45801</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45801</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45801</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45801</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45801</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45801</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45801</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45801</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45801</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45801</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45801</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45801</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45801</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45801</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45801</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45801</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45801</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45801</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45801</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45801</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45801</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45801</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45801</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45801</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45801</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45801</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45801</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45801</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45801</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45801</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45801</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45801</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45801</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45801</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45801</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45801</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45801</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45801</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45801</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45801</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45801</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45801</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45801</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45801</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45801</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45801</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45801</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45801</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45801</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45801</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45801</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45801</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45801</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45801</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45801</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45801</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45801</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45801</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45801</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45801</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45801</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45801</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45801</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45801</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45801</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45801</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45801</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45801</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45801</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45801</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45801</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45801</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45801</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45801</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45801</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45801</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45801</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45801</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45801</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45801</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45801</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45801</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45801</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45801</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45801</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45801</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45801</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45801</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45801</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45801</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45801</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45801</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45801</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45801</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45801</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45801</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45801</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45801</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45801</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45801</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45801</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45801</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45801</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45801</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45801</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45801</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45801</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45801</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45801</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45801</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45801</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45801</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45801</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45801</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45801</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45801</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45801</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45801</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45801</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45801</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45801</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45801</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45801</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45801</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45801</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45801</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45801</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45801</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45801</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45801</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45801</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45801</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45801</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45801</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45801</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45801</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45801</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45801</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45801</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45801</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45801</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45801</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45801</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45801</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45801</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45801</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45801</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45801</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45801</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45801</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45801</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45801</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45801</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45801</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45801</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45801</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45801</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45801</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45801</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45801</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45801</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45801</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45801</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45801</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45801</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45801</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45801</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45801</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45801</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45801</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45801</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45801</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45801</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45801</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45801</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45801</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45801</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45801</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45801</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45801</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45801</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45801</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45801</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45801</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45801</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45801</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45801</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45801</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45801</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45801</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45801</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45801</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45801</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45801</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45801</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45801</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45801</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45801</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45801</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45801</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45801</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45801</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45801</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45801</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45801</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45801</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45801</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45801</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45801</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45801</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45801</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45801</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45801</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45801</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45801</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45801</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45801</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45801</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45801</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45801</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45801</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45801</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45801</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45801</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45801</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45801</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45801</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45801</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45801</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45801</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45801</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45801</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45801</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45801</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45801</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45801</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45801</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45801</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45801</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45801</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45801</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45801</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45801</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45801</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45801</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45801</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45801</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45801</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45801</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45801</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45801</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45801</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45801</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45801</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45801</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45801</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45801</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45801</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45801</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45801</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45801</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45801</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45801</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45801</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45801</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45801</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45801</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45801</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45801</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45801</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45801</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45801</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45801</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45801</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45801</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45801</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45801</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45801</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45801</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45801</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45801</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45801</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45801</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45801</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45801</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45801</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45801</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45801</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45801</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45801</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45801</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45801</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45801</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45801</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45801</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45801</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45801</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45801</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45801</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45801</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45801</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45801</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45801</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45801</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45801</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45801</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45801</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45801</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45801</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45801</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45801</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45801</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45801</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45801</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45801</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45801</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45801</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45801</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45801</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45801</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45801</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45801</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45801</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45801</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45801</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45801</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45801</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45801</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45801</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45801</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45801</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45801</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45801</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45801</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45801</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45801</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45801</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45801</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45801</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45801</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45801</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45801</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45801</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45801</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45801</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45801</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45801</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45801</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45801</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45801</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45801</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45801</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45801</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45801</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45801</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45801</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45801</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45801</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45801</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45801</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45801</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45801</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45801</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45801</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45801</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45801</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45801</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45801</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45801</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45801</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45801</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45801</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45801</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45801</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45801</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45801</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45801</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45801</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45801</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45801</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45801</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45801</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45801</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45801</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45801</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45801</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45801</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45801</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45801</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45801</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45801</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45801</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45801</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45801</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45801</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45801</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45801</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45801</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45801</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45801</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45801</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45801</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45801</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45801</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45801</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45801</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45801</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45801</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45801</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45801</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45801</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45801</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45801</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45801</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45801</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45801</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45801</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45801</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45801</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45801</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45801</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45801</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45801</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45801</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45801</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45801</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45801</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45801</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45801</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45801</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45801</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45801</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45801</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45801</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45801</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45801</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45801</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45801</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45801</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45801</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45801</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45801</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45801</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45801</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45801</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45801</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45801</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45801</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45801</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45801</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45801</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45801</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45801</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45801</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45801</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45801</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45801</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45801</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45801</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45801</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45801</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45801</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45801</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45801</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45801</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45801</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45801</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45801</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45801</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45801</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45801</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45801</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45801</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45801</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45801</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45801</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45801</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45801</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45801</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45801</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45801</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45801</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45801</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45801</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45801</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45801</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45801</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45801</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45801</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45801</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45801</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45801</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45801</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45801</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45801</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45801</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45801</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45801</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45801</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45801</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45801</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45801</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45801</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45801</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45801</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45801</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45801</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45801</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45801</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45801</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45801</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45801</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45801</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45801</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45801</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45801</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45801</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45801</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45801</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45801</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45801</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45801</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45801</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45801</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45801</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45801</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45801</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45801</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45801</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45801</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45801</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45801</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45801</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45801</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45801</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45801</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45801</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45801</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45801</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45801</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45801</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45801</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45801</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45801</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45801</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45801</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45801</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45801</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45801</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45801</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45801</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45801</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45801</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45801</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45801</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45801</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45801</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45801</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45801</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45801</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45801</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45801</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45801</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45801</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45801</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45801</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45801</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45801</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45801</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45801</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45801</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45801</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45801</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45801</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45801</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45801</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45801</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45801</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45801</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45801</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45801</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45801</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45801</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45801</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45801</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45801</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45801</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45801</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45801</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45801</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45801</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45801</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45801</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45801</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45801</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45801</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45801</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45801</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45801</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45801</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45801</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45801</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45801</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45801</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45801</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45801</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45801</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45801</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45801</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45801</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45801</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45801</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45801</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45801</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45801</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45801</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45801</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45801</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45801</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45801</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45801</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45801</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45801</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45801</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45801</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45801</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45801</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45801</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45801</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45801</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45801</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45801</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45801</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45801</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45801</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45801</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45801</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45801</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45801</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45801</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45801</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45801</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45801</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45801</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45801</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45801</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45801</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45801</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45801</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45801</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45801</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45801</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45801</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45801</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45801</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45801</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45801</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45801</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45801</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45801</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45801</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45801</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45801</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45801</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45801</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45801</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45801</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45801</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45801</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45801</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45801</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45801</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45801</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45801</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45801</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45801</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45801</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45801</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45801</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45801</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45801</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45801</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45801</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45801</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45801</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45801</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45801</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45801</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45801</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45801</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45801</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45801</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45801</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45801</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45801</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45801</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45801</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45801</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45801</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45801</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45801</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45801</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45801</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45801</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45801</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45801</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45801</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45801</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45801</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45801</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45801</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45801</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45801</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45801</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45801</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45801</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45801</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45801</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45801</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45801</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45801</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45801</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45801</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45801</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45801</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45801</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45801</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45801</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45801</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45801</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45801</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45801</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45801</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45801</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45801</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45801</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45801</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45801</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45801</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45801</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45801</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45801</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45801</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45801</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45801</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45801</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45801</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45801</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45801</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45801</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45801</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45801</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45801</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45801</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45801</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45801</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45801</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45801</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45801</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45801</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45801</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45801</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45801</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45801</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45801</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45801</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45801</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45801</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45801</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45801</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45801</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45801</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45801</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45801</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45801</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45801</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45801</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45801</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45801</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45801</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45801</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45801</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45801</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45801</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45801</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45801</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45801</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45801</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45801</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45801</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45801</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45801</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45801</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45801</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45801</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45801</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45801</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45801</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45801</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45801</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45801</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45801</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45801</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45801</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45801</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45801</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45801</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45801</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45801</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45801</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45801</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45801</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45801</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45801</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45801</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45801</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45801</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45801</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45801</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45801</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45801</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45801</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45801</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45801</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45801</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45801</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45801</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45801</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45801</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45801</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45801</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45801</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45801</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45801</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45801</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45801</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45801</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45801</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45801</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45801</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45801</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45801</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45801</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45801</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45801</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45801</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45801</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45801</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45801</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45801</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45801</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45801</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45801</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45801</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45801</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45801</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45801</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45801</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45801</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45801</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45801</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45801</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45801</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45801</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45801</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45801</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45801</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45801</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45801</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45801</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45801</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45801</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45801</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45801</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45801</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45801</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45801</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45801</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45801</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45801</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45801</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45801</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45801</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45801</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45801</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45801</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45801</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45801</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45801</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45801</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45801</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45801</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45801</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45801</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45801</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45801</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45801</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45801</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45801</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45801</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45801</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45801</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45801</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45801</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45801</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45801</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45801</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45801</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45801</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45801</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45801</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45801</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45801</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45801</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45801</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45801</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45801</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45801</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45801</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45801</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45801</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45801</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45801</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45801</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45801</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45801</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45801</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45801</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45801</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45801</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45801</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45801</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45801</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45801</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45801</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45801</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45801</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45801</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45801</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45801</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45801</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45801</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45801</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45801</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45801</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45801</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45801</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45801</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45801</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45801</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45801</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45801</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45801</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45801</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45801</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45801</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45801</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45801</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45801</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45801</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45801</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45801</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45801</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45801</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45801</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45801</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45801</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45801</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45801</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45801</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45801</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45801</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45801</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45801</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45801</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45801</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45801</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45801</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45801</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45801</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45801</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45801</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45801</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45801</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45801</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45801</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45801</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45801</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45801</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45801</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45801</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45801</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45801</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45801</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45801</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45801</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45801</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45801</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45801</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45801</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45801</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45801</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45801</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45801</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45801</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45801</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45801</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45801</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45801</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45801</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45801</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45801</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45801</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45801</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45801</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45801</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45801</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45801</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45801</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45801</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45801</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45801</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45801</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45801</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45801</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45801</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45801</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45801</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45801</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45801</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45801</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45801</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45801</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45801</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45801</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45801</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45801</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45801</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45801</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45801</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45801</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45801</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45801</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45801</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45801</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45801</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45801</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45801</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45801</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45801</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45801</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45801</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45801</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45801</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45801</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45801</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45801</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45801</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45801</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45801</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45801</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45801</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45801</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45801</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45801</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45801</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45801</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45801</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45801</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45801</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45801</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45801</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45801</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45801</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45801</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45801</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45801</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45801</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45801</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45801</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45801</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45801</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45801</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45801</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45801</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45801</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45801</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45801</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45801</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45801</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45801</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45801</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45801</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45801</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45801</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45801</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45801</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45801</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45801</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45801</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45801</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45801</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45801</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45801</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45801</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45801</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45801</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45801</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45801</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45801</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45801</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45801</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45801</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45801</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45801</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45801</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45801</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45801</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45801</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45801</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45801</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45801</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45801</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45801</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45801</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45801</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45801</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45801</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45801</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45801</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45801</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45801</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45801</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45801</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45801</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45801</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45801</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45801</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45801</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45801</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45801</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45801</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45801</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45801</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45801</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45801</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45801</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45801</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45801</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45801</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45801</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45801</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45801</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45801</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45801</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45801</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45801</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45801</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45801</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45801</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45801</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45801</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45801</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45801</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45801</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45801</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45801</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45801</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45801</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45801</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45801</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45801</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45801</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45801</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45801</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45801</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45801</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45801</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45801</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45801</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45801</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45801</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45801</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45801</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45801</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45801</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45801</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45801</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45801</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45801</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45801</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45801</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45801</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45801</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45801</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45801</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45801</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45801</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45801</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45801</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45801</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45801</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45801</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45801</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45801</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45801</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45801</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45801</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45801</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45801</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45801</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45801</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45801</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45801</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45801</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45801</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45801</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45801</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45801</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45801</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45801</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45801</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45801</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45801</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45801</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45801</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45801</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45801</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45801</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45801</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45801</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45801</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45801</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45801</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45801</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45801</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45801</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45801</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45801</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45801</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45801</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45801</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45801</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45801</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45801</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45801</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45801</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45801</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45801</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45801</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45801</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45801</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45801</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45801</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45801</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45801</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45801</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45801</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45801</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45801</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45801</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45801</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45801</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45801</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45801</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45801</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45801</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45801</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45801</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45801</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45801</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45801</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45801</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45801</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45801</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45801</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45801</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45801</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45801</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45801</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45801</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45801</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45801</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45801</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45801</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45801</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45801</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45801</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45801</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45801</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45801</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45801</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45801</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45801</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45801</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45801</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45801</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45801</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45801</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45801</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45801</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45801</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45801</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45801</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45801</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45801</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45801</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45801</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45801</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45801</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45801</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45801</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45801</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45801</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45801</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45801</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45801</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45801</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45801</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45801</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45801</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45801</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45801</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45801</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45801</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45801</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45801</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45801</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45801</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45801</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45801</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45801</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45801</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45801</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45801</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45801</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45801</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45801</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45801</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45801</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45801</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45801</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45801</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45801</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45801</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45801</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45801</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45801</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45801</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45801</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45801</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45801</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45801</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45801</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45801</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45801</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45801</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45801</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45801</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45801</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45801</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45801</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45801</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45801</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45801</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45801</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45801</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45801</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45801</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45801</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45801</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45801</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45801</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45801</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45801</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45801</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45801</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45801</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45801</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45801</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45801</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45801</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45801</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45801</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45801</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45801</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45801</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45801</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45801</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45801</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45801</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45801</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45801</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45801</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45801</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45801</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45801</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45801</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45801</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45801</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45801</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45801</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45801</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45801</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45801</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45801</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45801</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45801</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45801</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45801</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45801</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45801</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45801</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45801</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45801</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45801</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45801</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45801</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45801</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45801</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45801</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45801</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45801</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45801</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45801</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45801</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45801</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45801</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45801</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45801</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45801</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45801</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45801</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45801</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45801</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45801</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45801</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45801</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45801</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45801</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45801</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45801</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45801</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45801</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45801</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45801</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45801</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45801</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45801</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45801</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45801</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45801</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45801</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45801</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45801</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45801</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45801</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45801</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45801</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45801</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45801</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45801</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45801</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45801</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45801</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45801</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45801</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45801</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45801</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45801</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45801</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45801</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45801</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45801</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45801</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45801</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45801</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45801</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45801</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45801</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45801</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45801</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45801</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45801</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45801</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45801</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45801</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45801</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45801</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45801</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45801</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45801</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45801</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45801</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45801</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45801</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45801</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45801</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45801</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45801</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45801</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45801</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45801</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45801</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45801</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45801</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45801</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45801</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45801</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45801</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45801</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45801</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45801</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45801</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45801</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45801</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45801</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45801</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45801</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45801</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45801</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45801</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45801</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45801</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45801</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45801</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45801</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45801</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45801</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45801</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45801</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45801</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45801</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45801</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45801</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45801</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45801</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45801</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45801</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45801</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45801</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45801</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45801</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45801</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45801</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45801</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45801</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45801</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45801</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45801</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45801</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45801</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45801</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45801</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45801</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45801</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45801</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45801</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45801</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45801</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45801</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45801</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45801</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45801</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45801</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45801</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45801</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45801</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45801</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45801</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45801</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45801</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45801</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45801</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45801</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45801</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45801</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45801</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45801</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45801</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45801</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45801</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45801</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45801</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45801</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45801</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45801</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45801</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45801</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45801</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45801</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45801</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45801</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45801</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45801</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45801</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45801</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45801</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45801</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45801</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45801</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45801</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45801</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45801</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45801</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45801</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45801</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45801</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45801</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45801</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45801</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45801</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45801</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45801</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45801</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45801</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45801</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45801</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45801</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45801</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45801</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45801</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45801</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45801</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45801</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45801</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45801</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45801</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45801</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45801</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45801</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45801</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45801</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45801</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45801</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45801</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45801</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45801</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45801</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45801</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45801</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45801</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45801</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45801</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45801</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45801</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45801</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45801</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45801</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45801</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45801</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45801</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45801</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45801</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45801</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45801</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45801</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45801</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45801</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45801</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45801</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45801</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45801</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45801</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45801</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45801</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45801</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45801</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45801</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45801</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45801</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45801</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45801</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45801</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45801</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45801</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45801</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45801</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45801</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45801</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45801</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45801</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45801</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45801</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45801</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45801</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45801</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45801</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45801</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45801</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45801</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45801</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45801</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45801</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45801</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45801</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45801</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45801</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45801</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45801</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45801</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45801</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45801</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45801</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45801</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45801</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45801</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45801</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45801</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45801</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45801</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45801</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45801</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45801</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45801</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45801</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45801</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45801</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45801</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45801</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45801</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45801</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45801</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45801</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45801</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45801</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45801</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45801</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45801</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45801</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45801</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45801</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45801</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45801</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45801</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45801</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45801</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45801</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45801</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45801</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45801</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45801</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45801</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45801</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45801</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45801</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45801</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45801</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45801</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45801</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45801</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45801</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45801</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45801</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45801</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45801</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45801</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45801</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45801</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45801</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45801</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45801</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45801</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45801</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45801</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45801</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45801</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45801</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45801</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45801</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45801</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45801</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45801</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45801</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45801</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45801</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45801</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45801</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45801</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45801</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45801</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45801</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45801</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45801</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45801</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45801</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45801</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45801</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45801</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45801</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45801</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45801</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45801</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45801</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45801</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45801</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45801</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45801</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45801</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45801</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45801</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45801</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45801</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45801</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45801</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45801</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45801</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45801</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45801</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45801</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45801</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45801</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45801</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45801</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45801</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45801</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45801</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45801</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45801</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45801</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45801</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45801</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45801</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45801</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45801</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45801</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45801</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45801</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45801</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45801</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45801</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45801</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45801</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45801</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45801</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45801</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45801</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45801</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45801</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45801</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45801</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45801</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45801</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45801</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45801</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45801</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45801</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45801</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45801</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45801</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45801</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45801</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45801</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45801</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45801</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45801</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45801</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45801</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45801</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45801</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45801</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45801</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45801</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45801</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45801</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45801</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45801</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45801</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45801</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45801</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45801</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45801</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45801</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45801</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45801</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45801</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45801</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45801</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45801</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45801</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45801</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45801</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45801</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45801</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45801</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45801</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45801</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45801</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45801</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45801</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45801</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45801</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45801</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45801</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45801</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45801</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45801</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45801</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45801</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45801</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45801</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45801</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45801</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45801</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45801</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45801</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45801</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45801</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45801</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45801</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45801</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45801</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45801</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45801</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45801</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45801</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45801</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45801</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45801</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45801</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45801</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45801</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45801</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45801</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45801</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45801</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45801</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45801</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45801</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45801</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45801</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45801</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45801</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45801</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45801</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45801</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45801</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45801</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45801</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45801</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45801</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45801</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45801</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45801</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45801</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45801</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45801</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45801</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45801</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45801</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45801</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45801</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45801</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45801</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45801</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45801</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45801</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45801</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45801</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45801</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45801</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45801</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45801</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45801</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45801</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45801</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45801</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45801</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45801</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45801</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45801</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45801</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45801</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45801</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45801</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45801</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45801</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45801</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45801</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45801</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45801</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45801</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45801</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45801</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45801</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45801</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45801</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45801</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45801</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45801</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45801</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45801</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45801</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45801</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45801</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45801</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45801</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45801</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45801</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45801</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45801</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45801</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45801</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45801</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45801</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45801</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45801</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45801</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45801</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45801</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45801</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45801</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45801</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45801</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45801</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45801</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45801</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45801</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45801</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45801</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45801</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45801</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45801</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45801</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45801</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45801</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45801</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45801</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45801</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45801</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45801</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45801</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45801</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45801</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45801</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45801</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45801</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45801</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45801</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45801</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45801</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45801</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45801</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45801</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45801</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45801</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45801</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45801</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45801</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45801</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45801</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45801</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45801</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45801</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45801</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45801</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45801</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45801</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45801</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45801</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45801</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45801</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45801</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45801</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45801</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45801</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45801</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45801</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45801</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45801</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45801</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45801</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45801</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45801</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45801</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45801</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45801</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45801</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45801</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45801</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45801</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45801</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45801</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45801</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45801</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45801</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45801</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45801</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45801</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45801</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45801</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45801</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45801</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45801</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45801</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45801</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45801</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45801</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45801</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45801</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45801</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45801</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45801</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45801</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45801</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45801</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45801</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45801</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45801</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45801</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45801</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45801</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45801</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45801</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45801</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45801</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45801</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45801</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45801</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45801</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45801</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45801</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45801</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45801</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45801</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45801</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45801</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45801</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45801</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45801</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45801</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45801</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45801</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45801</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45801</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45801</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45801</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45801</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45801</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45801</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45801</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45801</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45801</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45801</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45801</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45801</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45801</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45801</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45801</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45801</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45801</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45801</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45801</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45801</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45801</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45801</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45801</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45801</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45801</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45801</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45801</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45801</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45801</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45801</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45801</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45801</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45801</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45801</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45801</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45801</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45801</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45801</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45801</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45801</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45801</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45801</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45801</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45801</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45801</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45801</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45801</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45801</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45801</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45801</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45801</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45801</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45801</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45801</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45801</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45801</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45801</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45801</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45801</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45801</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45801</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45801</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45801</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45801</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45801</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45801</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45801</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45801</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45801</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45801</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45801</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45801</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45801</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45801</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45801</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45801</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45801</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45801</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45801</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45801</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45801</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45801</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45801</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45801</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45801</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45801</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45801</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45801</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45801</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45801</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45801</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45801</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45801</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45801</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45801</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45801</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45801</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45801</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45801</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45801</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45801</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45801</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45801</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45801</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45801</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45801</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45801</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45801</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45801</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45801</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45801</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45801</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45801</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45801</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45801</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45801</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45801</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45801</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45801</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45801</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45801</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45801</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45801</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45801</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45801</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45801</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45801</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45801</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45801</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45801</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45801</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45801</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45801</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45801</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45801</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45801</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45801</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45801</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45801</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45801</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45801</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45801</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45801</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45801</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45801</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45801</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45801</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45801</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45801</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45801</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45801</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45801</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45801</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45801</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45801</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45801</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45801</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45801</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45801</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45801</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45801</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45801</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45801</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45801</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45801</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45801</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45801</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45801</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45801</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45801</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45801</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45801</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45801</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45801</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45801</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45801</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45801</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45801</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45801</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45801</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45801</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45801</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45801</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45801</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45801</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45801</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45801</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45801</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45801</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45801</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45801</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45801</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45801</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45801</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45801</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45801</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45801</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45801</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45801</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45801</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45801</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45801</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45801</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45801</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45801</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45801</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45801</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45801</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45801</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45801</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45801</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45801</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45801</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45801</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45801</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45801</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45801</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45801</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45801</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45801</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45801</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45801</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45801</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45801</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45801</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45801</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45801</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45801</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45801</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45801</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45801</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45801</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45801</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45801</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45801</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45801</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45801</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45801</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45801</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45801</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45801</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45801</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45801</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45801</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45801</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45801</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45801</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45801</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45801</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45801</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45801</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45801</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45801</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45801</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45801</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45801</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45801</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45801</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45801</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45801</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45801</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45801</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45801</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45801</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45801</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45801</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45801</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45801</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45801</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45801</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45801</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45801</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45801</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45801</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45801</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45801</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45801</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45801</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45801</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45801</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45801</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45801</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45801</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45801</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45801</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45801</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45801</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45801</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45801</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45801</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45801</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45801</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45801</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45801</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45801</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45801</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45801</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45801</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45801</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45801</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45801</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45801</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45801</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45801</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45801</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45801</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45801</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45801</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45801</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45801</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45801</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45801</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45801</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45801</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45801</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45801</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45801</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45801</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45801</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45801</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45801</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45801</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45801</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45801</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45801</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45801</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45801</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45801</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45801</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45801</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45801</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45801</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45801</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45801</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45801</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45801</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45801</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45801</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45801</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45801</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45801</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45801</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45801</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45801</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45801</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45801</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45801</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45801</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45801</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45801</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45801</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45801</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45801</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45801</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45801</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45801</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45801</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45801</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45801</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45801</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45801</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45801</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45801</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45801</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45801</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45801</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45801</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45801</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45801</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45801</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45801</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45801</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45801</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45801</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45801</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45801</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45801</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45801</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45801</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45801</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45801</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45801</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45801</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45801</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45801</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45801</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45801</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45801</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45801</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45801</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45801</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45801</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45801</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45801</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45801</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45801</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45801</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45801</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45801</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45801</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45801</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45801</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45801</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45801</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45801</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45801</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45801</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45801</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45801</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45801</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45801</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45801</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45801</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45801</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45801</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45801</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45801</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45801</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45801</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45801</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45801</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45801</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45801</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45801</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45801</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45801</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45801</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45801</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45801</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45801</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45801</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45801</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45801</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45801</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45801</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45801</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45801</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45801</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45801</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45801</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45801</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45801</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45801</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45801</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45801</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45801</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45801</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45801</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45801</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45801</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45801</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45801</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45801</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45801</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45801</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45801</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45801</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45801</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45801</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45801</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45801</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45801</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45801</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45801</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45801</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45801</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45801</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45801</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45801</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45801</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45801</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45801</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45801</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45801</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45801</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45801</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45801</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45801</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45801</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45801</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45801</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45801</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45801</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45801</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45801</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45801</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45801</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45801</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45801</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45801</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45801</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45801</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45801</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45801</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45801</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45801</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45801</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45801</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45801</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45801</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45801</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45801</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45801</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45801</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45801</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45801</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45801</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45801</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45801</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45801</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45801</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45801</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45801</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45801</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45801</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45801</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45801</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45801</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45801</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45801</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45801</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45801</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45801</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45801</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45801</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45801</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45801</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45801</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45801</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45801</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45801</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45801</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45801</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45801</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45801</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45801</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45801</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45801</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45801</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45801</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45801</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45801</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45801</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45801</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45801</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45801</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45801</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45801</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45801</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45801</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45801</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45801</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45801</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45801</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45801</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45801</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45801</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45801</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45801</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45801</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45801</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45801</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45801</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45801</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45801</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45801</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45801</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45801</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45801</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45801</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45801</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45801</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45801</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45801</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45801</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45801</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45801</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45801</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45801</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45801</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45801</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45801</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45801</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45801</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45801</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45801</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45801</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45801</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45801</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45801</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45801</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45801</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45801</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45801</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45801</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45801</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45801</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45801</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45801</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45801</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45801</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45801</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45801</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45801</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45801</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45801</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45801</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45801</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45801</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45801</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45801</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45801</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45801</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45801</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45801</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45801</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45801</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45801</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45801</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45801</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45801</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45801</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45801</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45801</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45801</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45801</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45801</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45801</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45801</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45801</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45801</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45801</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45801</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45801</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45801</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45801</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45801</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45801</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45801</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45801</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45801</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45801</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45801</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45801</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45801</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45801</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45801</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45801</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45801</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45801</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45801</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45801</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45801</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45801</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45801</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45801</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45801</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45801</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45801</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45801</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45801</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45801</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45801</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45801</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45801</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45801</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45801</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45801</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45801</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45801</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45801</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45801</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45801</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45801</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45801</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45801</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45801</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45801</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45801</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45801</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45801</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45801</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45801</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45801</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45801</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45801</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45801</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45801</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45801</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45801</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45801</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45801</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45801</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45801</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45801</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45801</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45801</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45801</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45801</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45801</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45801</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45801</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45801</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45801</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45801</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45801</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45801</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45801</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45801</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45801</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45801</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45801</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45801</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45801</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45801</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45801</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45801</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45801</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45801</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45801</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45801</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45801</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45801</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45801</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45801</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45801</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45801</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45801</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45801</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45801</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45801</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45801</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45801</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45801</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45801</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45801</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45801</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45801</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45801</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45801</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45801</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45801</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45801</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45801</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45801</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45801</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45801</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45801</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45801</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45801</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45801</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45801</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45801</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45801</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45801</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45801</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45801</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45801</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45801</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45801</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45801</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45801</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45801</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45801</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45801</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45801</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45801</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45801</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45801</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45801</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45801</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45801</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45801</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45801</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45801</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45801</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45801</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45801</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45801</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45801</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45801</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45801</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45801</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45801</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45801</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45801</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45801</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45801</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45801</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45801</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45801</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45801</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45801</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45801</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45801</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45801</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45801</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45801</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45801</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45801</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45801</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45801</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45801</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45801</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45801</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45801</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45801</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45801</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45801</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45801</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45801</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45801</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45801</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45801</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45801</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45801</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45801</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45801</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45801</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45801</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45801</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45801</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45801</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45801</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45801</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45801</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45801</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45801</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45801</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45801</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45801</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45801</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45801</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45801</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45801</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45801</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45801</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45801</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45801</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45801</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45801</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45801</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45801</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45801</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45801</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45801</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45801</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45801</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45801</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45801</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45801</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45801</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45801</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45801</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45801</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45801</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45801</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45801</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45801</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45801</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45801</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45801</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45801</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45801</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45801</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45801</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45801</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45801</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45801</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45801</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45801</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45801</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45801</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45801</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45801</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45801</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45801</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45801</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45801</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45801</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45801</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45801</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45801</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45801</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45801</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45801</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45801</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45801</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45801</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45801</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45801</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45801</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45801</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45801</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45801</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45801</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45801</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45801</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45801</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45801</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45801</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45801</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45801</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45801</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45801</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45801</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45801</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45801</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45801</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45801</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45801</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45801</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45801</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45801</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45801</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45801</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45801</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45801</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45801</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45801</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45801</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45801</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45801</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45801</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45801</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45801</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45801</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45801</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45801</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45801</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45801</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45801</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45801</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45801</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45801</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45801</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45801</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45801</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45801</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45801</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45801</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45801</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45801</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45801</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45801</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45801</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45801</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45801</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45801</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45801</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45801</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45801</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45801</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45801</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45801</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45801</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45801</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45801</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45801</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45801</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45801</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45801</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45801</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45801</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45801</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45801</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45801</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45801</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45801</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45801</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45801</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45801</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45801</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45801</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45801</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45801</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45801</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45801</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45801</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45801</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45801</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45801</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45801</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45801</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45801</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45801</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45801</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45801</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45801</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45801</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45801</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45801</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45801</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45801</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45801</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45801</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45801</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45801</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45801</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45801</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45801</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45801</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45801</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45801</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45801</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45801</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45801</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45801</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45801</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45801</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45801</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45801</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45801</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45801</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45801</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45801</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45801</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45801</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45801</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45801</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45801</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45801</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45801</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45801</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45801</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45801</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45801</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45801</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45801</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45801</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45801</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45801</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45801</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45801</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45801</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45801</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45801</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45801</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45801</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45801</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45801</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45801</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45801</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45801</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45801</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45801</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45801</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45801</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45801</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45801</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45801</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45801</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45801</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45801</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45801</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45801</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45801</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45801</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45801</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45801</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45801</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45801</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45801</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45801</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45801</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45801</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45801</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45801</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45801</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45801</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45801</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45801</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45801</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45801</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45801</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45801</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45801</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45801</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45801</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45801</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45801</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45801</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45801</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45801</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45801</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45801</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45801</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45801</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45801</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45801</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45801</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45801</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45801</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45801</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45801</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45801</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45801</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45801</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45801</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45801</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45801</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45801</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45801</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45801</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45801</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45801</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45801</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45801</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45801</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45801</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45801</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45801</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45801</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45801</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45801</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45801</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45801</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45801</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45801</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45801</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45801</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45801</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45801</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45801</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45801</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45801</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45801</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45801</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45801</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45801</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45801</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45801</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45801</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45801</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45801</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45801</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45801</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45801</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45801</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45801</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45801</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45801</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45801</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45801</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45801</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45801</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45801</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45801</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45801</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45801</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45801</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45801</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45801</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45801</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45801</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45801</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45801</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45801</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45801</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45801</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45801</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45801</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45801</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45801</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45801</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45801</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45801</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45801</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45801</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45801</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45801</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45801</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45801</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45801</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45801</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45801</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45801</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45801</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45801</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45801</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45801</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45801</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45801</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45801</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45801</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45801</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45801</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45801</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45801</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45801</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45801</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45801</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45801</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45801</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45801</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45801</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45801</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45801</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45801</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45801</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45801</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45801</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45801</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45801</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45801</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45801</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45801</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45801</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45801</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45801</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45801</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45801</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45801</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45801</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45801</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45801</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45801</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45801</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45801</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45801</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45801</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45801</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45801</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45801</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45801</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45801</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45801</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45801</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45801</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45801</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45801</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45801</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45801</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45801</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45801</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45801</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45801</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45801</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45801</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45801</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45801</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45801</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45801</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45801</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45801</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45801</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45801</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45801</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45801</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45801</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45801</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45801</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45801</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45801</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45801</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45801</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45801</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45801</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45801</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45801</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45801</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45801</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45801</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45801</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45801</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45801</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45801</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45801</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45801</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45801</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45801</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45801</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45801</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45801</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45801</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45801</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45801</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45801</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45801</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45801</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45801</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45801</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45801</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45801</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45801</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45801</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45801</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45801</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45801</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45801</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45801</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45801</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45801</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45801</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45801</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45801</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45801</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45801</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45801</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45801</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45801</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45801</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45801</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45801</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45801</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45801</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45801</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45801</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45801</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45801</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45801</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45801</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45801</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45801</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45801</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45801</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45801</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45801</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45801</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45801</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45801</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45801</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45801</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45801</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45801</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45801</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45801</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45801</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45801</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45801</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45801</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45801</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45801</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45801</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45801</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45801</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45801</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45801</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45801</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45801</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45801</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45801</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45801</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45801</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45801</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45801</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45801</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45801</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45801</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45801</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45801</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45801</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45801</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45801</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45801</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45801</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45801</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45801</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45801</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45801</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45801</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45801</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45801</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45801</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45801</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45801</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45801</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45801</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45801</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45801</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45801</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45801</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45801</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45801</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45801</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45801</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45801</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45801</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45801</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45801</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45801</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45801</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45801</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45801</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45801</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45801</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45801</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45801</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45801</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45801</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45801</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45801</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45801</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45801</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45801</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45801</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45801</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45801</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45801</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45801</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45801</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45801</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45801</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45801</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45801</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45801</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45801</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45801</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45801</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45801</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45801</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45801</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45801</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45801</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45801</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45801</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45801</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45801</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45801</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45801</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45801</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45801</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45801</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45801</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45801</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45801</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45801</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45801</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45801</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45801</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45801</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45801</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45801</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45801</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45801</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45801</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45801</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45801</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45801</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45801</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45801</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45801</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45801</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45801</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45801</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45801</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45801</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45801</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45801</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45801</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45801</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45801</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45801</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45801</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45801</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45801</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45801</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45801</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45801</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45801</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45801</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45801</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45801</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45801</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45801</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45801</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45801</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45801</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45801</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45801</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45801</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45801</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45801</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45801</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45801</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45801</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45801</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45801</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45801</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45801</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45801</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45801</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45801</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45801</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45801</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45801</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45801</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45801</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45801</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45801</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45801</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45801</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45801</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45801</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45801</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45801</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45801</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45801</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45801</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45801</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45801</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45801</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45801</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45801</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45801</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45801</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45801</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45801</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45801</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45801</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45801</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45801</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45801</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45801</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45801</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45801</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45801</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45801</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45801</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45801</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45801</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45801</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45801</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45801</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45801</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45801</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45801</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45801</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45801</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45801</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45801</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45801</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45801</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45801</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45801</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45801</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45801</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45801</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45801</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45801</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45801</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45801</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45801</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45801</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45801</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45801</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45801</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45801</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45801</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45801</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45801</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45801</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45801</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45801</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45801</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45801</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45801</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45801</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45801</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45801</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45801</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45801</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45801</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45801</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45801</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45801</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45801</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45801</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45801</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45801</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45801</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45801</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45801</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45801</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45801</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45801</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45801</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45801</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45801</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45801</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45801</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45801</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45801</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45801</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45801</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45801</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45801</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45801</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45801</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45801</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45801</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45801</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45801</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45801</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45801</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45801</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45801</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45801</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45801</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45801</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45801</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45801</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45801</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45801</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45801</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45801</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45801</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45801</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45801</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45801</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45801</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45801</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45801</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45801</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45801</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45801</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45801</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45801</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45801</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45801</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45801</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45801</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45801</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45801</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45801</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45801</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45801</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45801</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45801</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45801</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45801</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45801</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45801</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45801</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45801</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45801</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45801</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45801</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45801</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45801</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45801</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45801</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45801</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45801</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45801</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45801</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45801</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45801</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45801</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45801</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45801</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45801</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45801</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45801</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45801</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45801</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45801</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45801</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45801</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45801</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45801</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45801</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45801</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45801</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45801</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45801</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45801</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45801</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45801</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45801</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45801</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45801</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45801</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45801</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45801</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45801</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45801</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45801</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45801</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45801</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45801</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45801</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45801</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45801</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45801</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45801</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45801</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45801</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45801</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45801</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45801</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45801</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45801</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45801</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45801</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45801</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45801</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45801</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45801</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45801</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45801</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45801</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45801</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45801</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45801</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45801</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45801</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45801</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45801</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45801</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45801</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45801</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45801</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45801</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45801</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45801</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45801</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45801</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45801</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45801</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45801</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45801</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45801</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45801</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45801</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45801</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45801</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45801</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45801</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45801</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45801</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45801</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45801</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45801</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45801</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45801</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45801</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45801</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45801</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45801</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45801</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45801</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45801</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45801</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45801</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45801</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45801</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45801</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45801</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45801</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45801</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45801</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45801</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45801</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45801</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45801</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45801</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45801</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45801</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45801</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45801</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45801</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45801</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45801</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45801</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45801</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45801</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45801</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45801</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45801</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45801</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45801</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45801</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45801</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45801</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45801</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45801</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45801</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45801</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45801</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45801</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45801</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45801</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45801</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45801</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45801</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45801</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45801</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45801</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45801</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45801</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45801</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45801</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45801</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45801</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45801</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45801</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45801</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45801</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45801</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45801</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45801</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45801</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45801</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45801</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45801</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45801</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45801</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45801</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45801</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45801</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45801</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45801</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45801</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45801</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45801</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45801</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45801</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45801</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45801</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45801</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45801</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45801</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45801</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45801</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45801</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45801</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45801</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45801</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45801</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45801</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45801</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45801</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45801</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45801</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45801</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45801</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45801</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45801</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45801</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45801</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45801</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45801</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45801</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45801</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45801</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45801</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45801</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45801</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45801</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45801</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45801</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45801</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45801</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45801</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45801</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45801</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45801</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45801</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45801</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45801</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45801</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45801</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45801</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45801</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45801</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45801</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45801</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45801</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45801</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45801</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45801</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45801</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45801</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45801</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45801</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45801</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45801</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45801</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45801</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45801</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45801</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45801</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45801</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45801</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45801</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45801</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45801</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45801</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45801</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45801</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45801</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45801</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45801</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45801</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45801</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45801</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45801</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45801</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45801</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45801</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45801</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45801</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45801</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45801</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45801</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45801</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45801</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45801</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45801</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45801</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45801</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45801</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45801</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45801</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45801</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45801</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45801</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45801</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45801</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45801</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45801</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45801</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45801</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45801</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45801</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45801</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45801</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45801</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45801</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45801</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45801</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45801</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45801</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45801</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45801</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45801</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45801</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45801</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45801</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45801</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45801</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45801</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45801</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45801</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45801</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45801</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45801</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45801</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45801</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45801</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45801</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45801</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45801</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45801</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45801</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45801</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45801</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45801</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45801</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45801</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45801</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45801</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45801</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45801</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45801</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45801</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45801</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45801</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45801</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45801</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45801</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45801</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45801</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45801</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45801</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45801</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45801</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45801</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45801</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45801</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45801</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45801</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45801</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45801</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45801</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45801</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45801</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45801</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45801</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45801</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45801</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45801</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45801</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45801</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45801</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45801</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45801</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45801</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45801</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45801</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45801</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45801</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45801</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45801</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45801</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45801</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45801</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45801</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45801</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45801</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45801</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45801</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45801</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45801</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45801</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45801</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45801</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45801</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45801</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45801</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45801</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45801</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45801</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45801</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45801</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45801</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45801</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45801</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45801</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45801</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45801</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45801</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45801</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45801</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45801</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45801</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45801</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45801</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45801</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45801</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45801</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45801</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45801</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45801</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45801</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45801</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45801</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45801</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45801</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45801</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45801</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45801</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45801</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45801</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45801</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45801</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45801</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45801</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45801</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45801</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45801</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45801</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45801</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45801</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45801</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45801</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45801</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45801</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45801</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45801</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45801</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45801</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45801</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45801</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45801</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45801</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45801</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45801</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45801</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45801</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45801</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45801</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45801</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45801</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45801</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45801</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45801</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45801</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45801</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45801</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45801</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45801</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45801</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45801</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45801</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45801</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45801</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45801</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45801</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45801</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45801</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45801</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45801</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45801</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45801</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45801</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45801</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45801</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45801</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45801</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45801</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45801</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45801</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45801</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45801</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45801</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45801</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45801</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45801</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45801</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45801</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45801</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45801</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45801</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45801</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45801</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45801</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45801</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45801</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45801</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45801</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45801</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45801</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45801</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45801</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45801</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45801</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45801</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45801</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45801</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45801</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45801</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45801</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45801</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45801</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45801</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45801</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45801</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45801</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45801</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45801</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45801</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45801</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45801</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45801</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45801</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45801</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45801</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45801</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45801</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45801</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45801</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45801</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45801</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45801</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45801</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45801</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45801</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45801</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45801</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45801</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45801</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45801</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45801</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45801</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45801</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45801</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45801</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45801</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45801</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45801</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45801</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45801</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45801</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45801</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45801</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45801</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45801</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45801</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45801</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45801</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45801</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45801</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45801</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45801</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45801</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45801</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45801</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45801</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45801</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45801</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45801</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45801</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45801</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45801</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45801</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45801</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45801</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45801</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45801</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45801</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45801</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45801</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45801</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45801</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45801</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45801</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45801</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45801</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45801</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45801</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45801</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45801</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45801</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45801</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45801</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45801</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45801</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45801</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45801</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45801</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45801</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45801</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45801</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45801</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45801</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45801</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45801</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45801</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45801</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45801</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45801</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45801</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45801</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45801</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45801</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45801</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45801</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45801</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45801</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45801</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45801</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45801</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45801</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45801</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45801</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45801</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45801</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45801</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45801</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45801</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45801</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45801</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45801</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45801</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45801</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45801</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45801</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45801</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45801</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45801</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45801</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45801</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45801</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45801</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45801</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45801</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45801</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45801</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45801</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45801</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45801</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45801</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45801</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45801</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45801</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45801</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45801</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45801</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45801</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45801</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45801</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45801</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45801</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45801</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45801</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45801</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45801</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45801</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45801</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45801</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45801</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45801</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45801</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45801</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45801</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45801</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45801</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45801</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45801</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45801</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45801</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45801</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45801</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45801</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45801</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45801</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45801</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45801</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45801</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45801</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45801</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45801</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45801</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45801</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45801</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45801</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45801</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45801</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45801</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45801</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45801</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45801</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45801</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45801</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45801</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45801</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45801</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45801</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45801</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45801</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45801</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45801</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45801</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45801</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45801</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45801</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45801</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45801</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45801</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45801</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45801</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45801</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45801</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45801</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45801</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45801</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45801</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45801</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45801</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45801</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45801</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45801</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45801</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45801</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45801</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45801</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45801</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45801</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45801</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45801</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45801</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45801</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45801</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45801</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45801</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45801</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45801</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45801</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45801</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45801</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45801</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45801</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45801</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45801</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45801</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45801</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45801</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45801</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45801</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45801</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45801</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45801</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45801</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45801</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45801</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45801</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45801</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45801</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45801</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45801</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45801</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45801</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45801</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45801</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45801</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45801</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45801</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45801</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45801</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45801</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45801</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45801</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45801</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45801</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45801</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45801</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45801</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45801</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45801</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45801</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45801</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45801</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45801</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45801</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45801</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45801</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45801</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45801</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45801</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45801</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45801</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45801</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45801</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45801</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45801</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45801</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45801</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45801</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45801</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45801</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45801</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45801</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45801</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45801</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45801</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45801</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45801</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45801</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45801</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45801</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45801</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45801</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45801</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45801</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45801</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45801</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45801</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45801</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45801</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45801</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45801</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45801</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45801</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45801</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45801</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45801</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45801</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45801</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45801</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45801</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45801</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45801</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45801</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45801</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45801</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45801</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45801</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45801</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45801</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45801</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45801</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45801</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45801</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45801</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45801</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45801</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45801</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45801</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45801</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45801</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45801</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45801</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45801</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45801</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45801</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45801</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45801</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45801</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45801</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45801</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45801</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45801</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45801</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45801</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45801</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45801</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45801</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45801</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45801</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45801</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45801</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45801</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45801</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45801</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45801</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45801</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45801</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45801</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45801</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45801</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45801</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45801</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45801</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45801</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45801</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45801</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45801</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45801</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45801</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45801</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45801</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45801</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45801</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45801</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45801</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45801</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45801</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45801</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45801</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45801</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45801</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45801</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45801</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45801</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45801</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45801</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45801</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45801</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45801</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45801</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45801</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45801</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45801</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45801</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45801</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45801</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45801</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45801</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45801</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45801</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45801</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45801</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45801</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45801</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45801</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45801</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45801</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45801</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45801</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45801</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45801</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45801</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45801</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45801</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45801</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45801</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45801</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45801</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45801</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45801</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45801</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45801</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45801</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45801</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45801</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45801</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45801</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45801</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45801</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45801</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45801</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45801</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45801</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45801</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45801</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45801</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45801</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45801</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45801</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45801</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45801</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45801</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45801</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45801</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45801</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45801</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45801</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45801</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45801</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45801</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45801</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45801</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45801</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45801</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45801</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45801</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45801</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45801</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45801</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45801</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45801</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45801</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45801</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45801</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45801</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45801</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45801</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45801</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45801</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45801</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45801</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45801</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45801</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45801</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45801</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45801</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45801</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45801</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45801</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45801</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45801</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45801</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45801</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45801</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45801</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45801</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45801</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45801</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45801</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45801</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45801</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45801</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45801</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45801</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45801</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45801</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45801</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45801</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45801</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45801</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45801</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45801</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45801</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45801</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45801</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45801</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45801</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45801</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45801</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45801</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45801</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45801</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45801</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45801</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45801</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45801</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45801</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45801</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45801</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45801</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45801</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45801</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45801</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45801</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45801</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45801</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45801</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45801</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45801</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45801</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45801</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45801</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45801</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45801</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45801</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45801</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45801</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45801</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45801</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45801</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45801</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45801</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45801</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45801</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45801</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45801</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45801</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45801</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45801</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45801</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45801</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45801</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45801</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45801</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45801</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45801</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45801</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45801</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45801</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45801</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45801</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45801</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45801</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45801</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45801</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45801</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45801</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45801</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45801</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45801</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45801</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45801</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45801</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45801</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45801</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45801</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45801</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45801</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45801</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45801</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45801</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45801</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45801</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45801</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45801</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45801</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45801</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45801</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45801</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45801</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45801</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45801</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45801</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45801</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45801</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45801</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45801</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45801</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45801</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45801</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45801</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45801</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45801</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45801</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45801</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45801</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45801</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45801</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45801</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45801</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45801</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45801</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45801</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45801</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45801</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45801</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45801</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45801</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45801</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45801</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45801</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45801</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45801</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45801</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45801</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45801</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45801</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45801</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45801</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45801</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45801</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45801</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45801</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45801</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45801</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45801</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45801</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45801</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45801</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45801</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45801</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45801</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45801</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45801</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45801</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45801</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45801</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45801</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45801</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45801</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45801</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45801</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45801</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45801</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45801</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45801</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45801</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45801</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45801</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45801</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45801</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45801</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45801</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45801</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45801</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45801</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45801</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45801</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45801</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45801</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45801</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45801</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45801</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45801</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45801</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45801</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45801</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45801</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45801</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45801</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45801</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45801</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45801</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45801</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45801</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45801</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45801</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45801</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45801</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45801</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45801</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45801</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45801</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45801</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45801</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45801</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45801</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45801</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45801</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45801</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45801</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45801</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45801</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45801</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45801</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45801</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45801</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45801</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45801</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45801</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45801</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45801</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45801</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45801</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45801</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45801</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45801</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45801</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45801</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45801</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45801</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45801</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45801</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45801</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45801</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45801</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45801</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45801</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45801</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45801</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45801</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45801</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45801</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45801</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45801</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45801</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45801</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45801</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45801</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45801</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45801</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45801</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45801</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45801</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45801</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45801</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45801</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45801</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45801</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45801</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45801</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45801</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45801</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45801</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45801</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45801</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45801</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45801</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45801</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45801</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45801</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45801</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45801</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45801</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45801</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45801</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45801</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45801</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45801</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45801</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45801</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45801</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45801</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45801</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45801</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45801</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45801</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45801</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45801</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45801</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45801</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45801</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45801</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45801</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45801</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45801</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45801</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45801</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45801</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45801</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45801</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45801</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45801</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45801</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45801</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45801</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45801</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45801</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45801</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45801</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45801</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45801</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45801</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45801</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45801</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45801</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45801</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45801</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45801</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45801</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45801</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45801</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45801</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45801</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45801</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45801</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45801</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45801</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45801</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45801</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45801</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45801</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45801</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45801</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45801</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45801</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45801</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45801</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45801</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45801</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45801</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45801</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45801</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45801</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45801</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45801</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45801</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45801</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45801</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45801</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45801</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45801</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45801</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45801</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45801</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45801</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45801</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45801</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45801</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45801</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45801</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45801</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45801</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45801</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45801</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45801</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45801</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45801</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45801</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45801</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45801</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45801</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45801</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45801</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45801</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45801</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45801</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45801</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45801</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45801</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45801</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45801</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45801</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45801</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45801</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45801</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45801</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45801</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45801</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45801</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45801</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45801</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45801</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45801</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45801</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45801</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45801</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45801</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45801</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45801</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45801</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45801</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45801</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45801</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45801</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45801</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45801</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45801</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45801</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45801</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45801</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45801</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45801</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45801</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45801</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45801</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45801</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45801</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45801</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45801</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45801</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45801</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45801</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45801</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45801</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45801</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45801</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45801</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45801</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45801</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45801</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45801</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45801</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45801</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45801</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45801</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45801</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45801</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45801</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45801</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45801</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45801</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45801</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45801</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45801</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45801</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45801</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45801</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45801</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45801</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45801</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45801</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45801</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45801</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45801</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45801</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45801</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45801</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45801</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45801</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45801</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45801</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45801</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45801</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45801</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45801</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45801</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45801</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45801</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45801</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45801</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45801</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45801</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45801</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45801</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45801</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45801</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45801</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45801</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45801</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45801</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45801</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45801</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45801</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45801</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45801</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45801</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45801</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45801</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45801</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45801</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45801</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45801</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45801</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45801</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45801</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45801</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45801</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45801</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45801</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45801</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45801</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45801</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45801</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45801</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45801</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45801</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45801</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45801</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45801</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45801</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45801</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45801</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45801</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45801</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45801</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45801</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45801</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45801</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45801</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45801</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45801</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45801</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45801</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45801</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45801</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45801</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45801</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45801</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45801</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45801</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45801</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45801</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45801</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45801</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45801</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45801</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45801</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45801</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45801</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45801</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45801</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45801</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45801</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45801</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45801</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45801</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45801</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45801</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45801</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45801</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45801</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45801</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45801</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45801</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45801</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45801</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45801</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45801</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45801</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45801</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45801</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45801</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45801</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45801</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45801</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45801</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45801</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45801</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45801</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45801</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45801</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45801</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45801</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45801</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45801</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45801</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45801</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45801</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45801</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45801</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45801</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45801</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45801</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45801</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45801</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45801</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45801</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45801</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45801</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45801</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45801</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45801</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45801</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45801</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45801</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45801</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45801</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45801</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45801</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45801</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45801</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45801</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45801</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45801</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45801</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45801</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45801</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45801</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45801</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45801</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45801</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45801</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45801</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45801</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45801</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45801</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45801</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45801</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45801</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45801</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45801</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45801</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45801</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45801</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45801</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45801</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45801</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45801</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45801</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45801</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45801</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45801</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45801</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45801</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45801</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45801</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45801</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45801</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45801</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45801</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45801</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45801</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45801</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45801</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45801</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45801</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45801</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45801</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45801</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45801</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45801</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45801</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45801</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45801</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45801</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45801</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45801</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45801</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45801</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45801</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45801</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45801</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45801</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45801</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45801</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45801</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45801</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45801</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45801</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45801</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45801</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45801</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45801</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45801</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45801</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45801</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45801</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45801</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45801</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45801</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45801</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45801</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45801</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45801</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45801</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45801</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45801</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45801</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45801</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45801</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45801</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45801</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45801</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45801</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45801</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45801</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45801</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45801</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45801</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45801</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45801</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45801</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45801</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45801</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45801</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45801</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45801</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45801</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45801</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45801</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45801</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45801</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45801</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45801</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45801</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45801</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45801</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45801</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45801</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45801</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45801</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45801</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45801</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45801</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45801</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45801</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45801</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45801</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45801</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45801</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45801</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45801</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45801</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45801</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45801</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45801</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45801</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45801</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45801</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45801</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45801</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45801</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45801</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45801</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45801</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45801</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45801</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45801</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45801</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45801</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45801</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45801</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45801</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45801</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45801</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45801</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45801</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45801</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45801</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45801</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45801</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45801</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45801</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45801</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45801</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45801</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45801</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45801</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45801</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45801</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45801</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45801</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45801</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45801</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45801</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45801</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45801</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45801</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45801</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45801</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45801</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45801</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45801</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45801</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45801</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45801</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45801</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45801</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45801</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45801</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45801</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45801</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45801</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45801</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45801</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45801</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45801</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45801</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45801</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45801</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45801</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45801</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45801</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45801</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45801</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45801</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45801</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45801</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45801</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45801</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45801</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45801</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45801</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45801</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45801</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45801</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45801</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45801</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45801</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45801</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45801</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45801</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45801</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45801</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45801</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45801</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45801</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45801</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45801</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45801</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45801</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45801</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45801</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45801</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45801</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45801</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45801</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45801</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45801</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45801</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45801</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45801</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45801</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45801</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45801</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45801</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45801</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45801</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45801</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45801</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45801</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45801</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45801</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45801</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45801</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45801</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45801</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45801</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45801</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45801</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45801</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45801</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45801</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45801</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45801</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45801</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45801</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45801</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45801</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45801</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45801</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45801</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45801</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45801</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45801</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45801</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45801</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45801</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45801</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45801</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45801</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45801</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45801</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45801</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45801</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45801</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45801</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45801</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45801</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45801</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45801</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45801</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45801</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45801</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45801</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45801</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45801</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45801</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45801</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45801</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45801</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45801</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45801</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45801</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45801</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45801</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45801</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45801</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45801</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45801</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45801</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45801</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45801</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45801</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45801</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45801</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45801</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45801</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45801</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45801</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45801</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45801</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45801</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45801</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45801</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45801</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45801</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45801</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45801</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45801</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45801</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45801</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45801</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45801</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45801</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45801</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45801</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45801</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45801</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45801</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45801</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45801</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45801</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45801</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45801</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45801</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45801</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45801</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45801</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45801</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45801</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45801</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45801</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45801</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45801</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45801</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45801</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45801</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45801</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45801</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45801</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45801</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45801</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45801</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45801</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45801</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45801</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45801</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45801</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45801</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45801</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45801</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45801</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45801</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45801</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45801</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45801</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45801</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45801</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45801</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45801</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45801</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45801</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45801</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45801</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45801</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45801</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45801</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45801</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45801</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45801</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45801</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45801</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45801</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45801</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45801</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45801</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45801</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45801</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45801</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45801</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45801</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45801</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45801</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45801</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45801</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45801</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45801</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45801</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45801</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45801</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45801</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45801</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45801</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45801</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45801</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45801</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45801</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45801</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45801</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45801</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45801</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45801</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45801</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45801</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45801</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45801</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45801</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45801</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45801</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45801</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45801</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45801</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20139-2025</t>
        </is>
      </c>
      <c r="B8562" s="1" t="n">
        <v>45772</v>
      </c>
      <c r="C8562" s="1" t="n">
        <v>45801</v>
      </c>
      <c r="D8562" t="inlineStr">
        <is>
          <t>ÖREBRO LÄN</t>
        </is>
      </c>
      <c r="E8562" t="inlineStr">
        <is>
          <t>KARLSKOGA</t>
        </is>
      </c>
      <c r="F8562" t="inlineStr">
        <is>
          <t>Sveaskog</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20217-2025</t>
        </is>
      </c>
      <c r="B8563" s="1" t="n">
        <v>45772</v>
      </c>
      <c r="C8563" s="1" t="n">
        <v>45801</v>
      </c>
      <c r="D8563" t="inlineStr">
        <is>
          <t>ÖREBRO LÄN</t>
        </is>
      </c>
      <c r="E8563" t="inlineStr">
        <is>
          <t>KARLSKOGA</t>
        </is>
      </c>
      <c r="F8563" t="inlineStr">
        <is>
          <t>Sveaskog</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20140-2025</t>
        </is>
      </c>
      <c r="B8564" s="1" t="n">
        <v>45772</v>
      </c>
      <c r="C8564" s="1" t="n">
        <v>45801</v>
      </c>
      <c r="D8564" t="inlineStr">
        <is>
          <t>ÖREBRO LÄN</t>
        </is>
      </c>
      <c r="E8564" t="inlineStr">
        <is>
          <t>KARLSKOGA</t>
        </is>
      </c>
      <c r="F8564" t="inlineStr">
        <is>
          <t>Sveaskog</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45801</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45801</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45801</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20352-2025</t>
        </is>
      </c>
      <c r="B8568" s="1" t="n">
        <v>45775</v>
      </c>
      <c r="C8568" s="1" t="n">
        <v>45801</v>
      </c>
      <c r="D8568" t="inlineStr">
        <is>
          <t>ÖREBRO LÄN</t>
        </is>
      </c>
      <c r="E8568" t="inlineStr">
        <is>
          <t>HALLSBERG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45801</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20762-2025</t>
        </is>
      </c>
      <c r="B8570" s="1" t="n">
        <v>45776</v>
      </c>
      <c r="C8570" s="1" t="n">
        <v>45801</v>
      </c>
      <c r="D8570" t="inlineStr">
        <is>
          <t>ÖREBRO LÄN</t>
        </is>
      </c>
      <c r="E8570" t="inlineStr">
        <is>
          <t>HALLSBERG</t>
        </is>
      </c>
      <c r="F8570" t="inlineStr">
        <is>
          <t>Allmännings- och besparingsskogar</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20804-2025</t>
        </is>
      </c>
      <c r="B8571" s="1" t="n">
        <v>45776</v>
      </c>
      <c r="C8571" s="1" t="n">
        <v>45801</v>
      </c>
      <c r="D8571" t="inlineStr">
        <is>
          <t>ÖREBRO LÄN</t>
        </is>
      </c>
      <c r="E8571" t="inlineStr">
        <is>
          <t>LINDESBERG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20670-2025</t>
        </is>
      </c>
      <c r="B8572" s="1" t="n">
        <v>45776</v>
      </c>
      <c r="C8572" s="1" t="n">
        <v>45801</v>
      </c>
      <c r="D8572" t="inlineStr">
        <is>
          <t>ÖREBRO LÄN</t>
        </is>
      </c>
      <c r="E8572" t="inlineStr">
        <is>
          <t>HÄLLEFORS</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20724-2025</t>
        </is>
      </c>
      <c r="B8573" s="1" t="n">
        <v>45776</v>
      </c>
      <c r="C8573" s="1" t="n">
        <v>45801</v>
      </c>
      <c r="D8573" t="inlineStr">
        <is>
          <t>ÖREBRO LÄN</t>
        </is>
      </c>
      <c r="E8573" t="inlineStr">
        <is>
          <t>HALLSBERG</t>
        </is>
      </c>
      <c r="F8573" t="inlineStr">
        <is>
          <t>Sveaskog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20729-2025</t>
        </is>
      </c>
      <c r="B8574" s="1" t="n">
        <v>45776</v>
      </c>
      <c r="C8574" s="1" t="n">
        <v>45801</v>
      </c>
      <c r="D8574" t="inlineStr">
        <is>
          <t>ÖREBRO LÄN</t>
        </is>
      </c>
      <c r="E8574" t="inlineStr">
        <is>
          <t>HALLSBERG</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20730-2025</t>
        </is>
      </c>
      <c r="B8575" s="1" t="n">
        <v>45776</v>
      </c>
      <c r="C8575" s="1" t="n">
        <v>45801</v>
      </c>
      <c r="D8575" t="inlineStr">
        <is>
          <t>ÖREBRO LÄN</t>
        </is>
      </c>
      <c r="E8575" t="inlineStr">
        <is>
          <t>HALLSBERG</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20673-2025</t>
        </is>
      </c>
      <c r="B8576" s="1" t="n">
        <v>45776</v>
      </c>
      <c r="C8576" s="1" t="n">
        <v>45801</v>
      </c>
      <c r="D8576" t="inlineStr">
        <is>
          <t>ÖREBRO LÄN</t>
        </is>
      </c>
      <c r="E8576" t="inlineStr">
        <is>
          <t>LJUSNARSBERG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45801</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45801</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45801</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20922-2025</t>
        </is>
      </c>
      <c r="B8580" s="1" t="n">
        <v>45777</v>
      </c>
      <c r="C8580" s="1" t="n">
        <v>45801</v>
      </c>
      <c r="D8580" t="inlineStr">
        <is>
          <t>ÖREBRO LÄN</t>
        </is>
      </c>
      <c r="E8580" t="inlineStr">
        <is>
          <t>HALLSBERG</t>
        </is>
      </c>
      <c r="F8580" t="inlineStr">
        <is>
          <t>Sveaskog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21099-2025</t>
        </is>
      </c>
      <c r="B8581" s="1" t="n">
        <v>45777</v>
      </c>
      <c r="C8581" s="1" t="n">
        <v>45801</v>
      </c>
      <c r="D8581" t="inlineStr">
        <is>
          <t>ÖREBRO LÄN</t>
        </is>
      </c>
      <c r="E8581" t="inlineStr">
        <is>
          <t>HÄLLEFORS</t>
        </is>
      </c>
      <c r="F8581" t="inlineStr">
        <is>
          <t>Kyrkan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45801</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45801</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45801</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45801</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21050-2025</t>
        </is>
      </c>
      <c r="B8586" s="1" t="n">
        <v>45777</v>
      </c>
      <c r="C8586" s="1" t="n">
        <v>45801</v>
      </c>
      <c r="D8586" t="inlineStr">
        <is>
          <t>ÖREBRO LÄN</t>
        </is>
      </c>
      <c r="E8586" t="inlineStr">
        <is>
          <t>HÄLLEFORS</t>
        </is>
      </c>
      <c r="F8586" t="inlineStr">
        <is>
          <t>Kyrkan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20950-2025</t>
        </is>
      </c>
      <c r="B8587" s="1" t="n">
        <v>45777</v>
      </c>
      <c r="C8587" s="1" t="n">
        <v>45801</v>
      </c>
      <c r="D8587" t="inlineStr">
        <is>
          <t>ÖREBRO LÄN</t>
        </is>
      </c>
      <c r="E8587" t="inlineStr">
        <is>
          <t>LINDESBERG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21105-2025</t>
        </is>
      </c>
      <c r="B8588" s="1" t="n">
        <v>45777</v>
      </c>
      <c r="C8588" s="1" t="n">
        <v>45801</v>
      </c>
      <c r="D8588" t="inlineStr">
        <is>
          <t>ÖREBRO LÄN</t>
        </is>
      </c>
      <c r="E8588" t="inlineStr">
        <is>
          <t>KARLSKOGA</t>
        </is>
      </c>
      <c r="F8588" t="inlineStr">
        <is>
          <t>Sveaskog</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21097-2025</t>
        </is>
      </c>
      <c r="B8589" s="1" t="n">
        <v>45777</v>
      </c>
      <c r="C8589" s="1" t="n">
        <v>45801</v>
      </c>
      <c r="D8589" t="inlineStr">
        <is>
          <t>ÖREBRO LÄN</t>
        </is>
      </c>
      <c r="E8589" t="inlineStr">
        <is>
          <t>ÖREBRO</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20944-2025</t>
        </is>
      </c>
      <c r="B8590" s="1" t="n">
        <v>45777</v>
      </c>
      <c r="C8590" s="1" t="n">
        <v>45801</v>
      </c>
      <c r="D8590" t="inlineStr">
        <is>
          <t>ÖREBRO LÄN</t>
        </is>
      </c>
      <c r="E8590" t="inlineStr">
        <is>
          <t>LINDESBERG</t>
        </is>
      </c>
      <c r="F8590" t="inlineStr">
        <is>
          <t>Sveaskog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45801</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45801</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45801</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45801</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21578-2025</t>
        </is>
      </c>
      <c r="B8595" s="1" t="n">
        <v>45782</v>
      </c>
      <c r="C8595" s="1" t="n">
        <v>45801</v>
      </c>
      <c r="D8595" t="inlineStr">
        <is>
          <t>ÖREBRO LÄN</t>
        </is>
      </c>
      <c r="E8595" t="inlineStr">
        <is>
          <t>ÖREBRO</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45801</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21812-2025</t>
        </is>
      </c>
      <c r="B8597" s="1" t="n">
        <v>45783</v>
      </c>
      <c r="C8597" s="1" t="n">
        <v>45801</v>
      </c>
      <c r="D8597" t="inlineStr">
        <is>
          <t>ÖREBRO LÄN</t>
        </is>
      </c>
      <c r="E8597" t="inlineStr">
        <is>
          <t>LINDESBERG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45801</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21845-2025</t>
        </is>
      </c>
      <c r="B8599" s="1" t="n">
        <v>45784</v>
      </c>
      <c r="C8599" s="1" t="n">
        <v>45801</v>
      </c>
      <c r="D8599" t="inlineStr">
        <is>
          <t>ÖREBRO LÄN</t>
        </is>
      </c>
      <c r="E8599" t="inlineStr">
        <is>
          <t>KARLSKOGA</t>
        </is>
      </c>
      <c r="F8599" t="inlineStr">
        <is>
          <t>Sveaskog</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21846-2025</t>
        </is>
      </c>
      <c r="B8600" s="1" t="n">
        <v>45784</v>
      </c>
      <c r="C8600" s="1" t="n">
        <v>45801</v>
      </c>
      <c r="D8600" t="inlineStr">
        <is>
          <t>ÖREBRO LÄN</t>
        </is>
      </c>
      <c r="E8600" t="inlineStr">
        <is>
          <t>NORA</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21853-2025</t>
        </is>
      </c>
      <c r="B8601" s="1" t="n">
        <v>45784</v>
      </c>
      <c r="C8601" s="1" t="n">
        <v>45801</v>
      </c>
      <c r="D8601" t="inlineStr">
        <is>
          <t>ÖREBRO LÄN</t>
        </is>
      </c>
      <c r="E8601" t="inlineStr">
        <is>
          <t>HÄLLEFORS</t>
        </is>
      </c>
      <c r="G8601" t="n">
        <v>23.4</v>
      </c>
      <c r="H8601" t="n">
        <v>0</v>
      </c>
      <c r="I8601" t="n">
        <v>0</v>
      </c>
      <c r="J8601" t="n">
        <v>0</v>
      </c>
      <c r="K8601" t="n">
        <v>0</v>
      </c>
      <c r="L8601" t="n">
        <v>0</v>
      </c>
      <c r="M8601" t="n">
        <v>0</v>
      </c>
      <c r="N8601" t="n">
        <v>0</v>
      </c>
      <c r="O8601" t="n">
        <v>0</v>
      </c>
      <c r="P8601" t="n">
        <v>0</v>
      </c>
      <c r="Q8601" t="n">
        <v>0</v>
      </c>
      <c r="R8601" s="2" t="inlineStr"/>
    </row>
    <row r="8602" ht="15" customHeight="1">
      <c r="A8602" t="inlineStr">
        <is>
          <t>A 21852-2025</t>
        </is>
      </c>
      <c r="B8602" s="1" t="n">
        <v>45784</v>
      </c>
      <c r="C8602" s="1" t="n">
        <v>45801</v>
      </c>
      <c r="D8602" t="inlineStr">
        <is>
          <t>ÖREBRO LÄN</t>
        </is>
      </c>
      <c r="E8602" t="inlineStr">
        <is>
          <t>HÄLLEFORS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45801</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22244-2025</t>
        </is>
      </c>
      <c r="B8604" s="1" t="n">
        <v>45785</v>
      </c>
      <c r="C8604" s="1" t="n">
        <v>45801</v>
      </c>
      <c r="D8604" t="inlineStr">
        <is>
          <t>ÖREBRO LÄN</t>
        </is>
      </c>
      <c r="E8604" t="inlineStr">
        <is>
          <t>KARLSKOGA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22078-2025</t>
        </is>
      </c>
      <c r="B8605" s="1" t="n">
        <v>45785</v>
      </c>
      <c r="C8605" s="1" t="n">
        <v>45801</v>
      </c>
      <c r="D8605" t="inlineStr">
        <is>
          <t>ÖREBRO LÄN</t>
        </is>
      </c>
      <c r="E8605" t="inlineStr">
        <is>
          <t>LINDESBERG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22104-2025</t>
        </is>
      </c>
      <c r="B8606" s="1" t="n">
        <v>45785</v>
      </c>
      <c r="C8606" s="1" t="n">
        <v>45801</v>
      </c>
      <c r="D8606" t="inlineStr">
        <is>
          <t>ÖREBRO LÄN</t>
        </is>
      </c>
      <c r="E8606" t="inlineStr">
        <is>
          <t>KARLSKOGA</t>
        </is>
      </c>
      <c r="F8606" t="inlineStr">
        <is>
          <t>Övriga Aktiebolag</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45801</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45801</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22382-2025</t>
        </is>
      </c>
      <c r="B8609" s="1" t="n">
        <v>45786</v>
      </c>
      <c r="C8609" s="1" t="n">
        <v>45801</v>
      </c>
      <c r="D8609" t="inlineStr">
        <is>
          <t>ÖREBRO LÄN</t>
        </is>
      </c>
      <c r="E8609" t="inlineStr">
        <is>
          <t>LAXÅ</t>
        </is>
      </c>
      <c r="F8609" t="inlineStr">
        <is>
          <t>Sveaskog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22381-2025</t>
        </is>
      </c>
      <c r="B8610" s="1" t="n">
        <v>45786</v>
      </c>
      <c r="C8610" s="1" t="n">
        <v>45801</v>
      </c>
      <c r="D8610" t="inlineStr">
        <is>
          <t>ÖREBRO LÄN</t>
        </is>
      </c>
      <c r="E8610" t="inlineStr">
        <is>
          <t>LAXÅ</t>
        </is>
      </c>
      <c r="F8610" t="inlineStr">
        <is>
          <t>Sveaskog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45801</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45801</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22805-2025</t>
        </is>
      </c>
      <c r="B8613" s="1" t="n">
        <v>45789</v>
      </c>
      <c r="C8613" s="1" t="n">
        <v>45801</v>
      </c>
      <c r="D8613" t="inlineStr">
        <is>
          <t>ÖREBRO LÄN</t>
        </is>
      </c>
      <c r="E8613" t="inlineStr">
        <is>
          <t>LEKEBERG</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45801</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22564-2025</t>
        </is>
      </c>
      <c r="B8615" s="1" t="n">
        <v>45789</v>
      </c>
      <c r="C8615" s="1" t="n">
        <v>45801</v>
      </c>
      <c r="D8615" t="inlineStr">
        <is>
          <t>ÖREBRO LÄN</t>
        </is>
      </c>
      <c r="E8615" t="inlineStr">
        <is>
          <t>LAXÅ</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22755-2025</t>
        </is>
      </c>
      <c r="B8616" s="1" t="n">
        <v>45789</v>
      </c>
      <c r="C8616" s="1" t="n">
        <v>45801</v>
      </c>
      <c r="D8616" t="inlineStr">
        <is>
          <t>ÖREBRO LÄN</t>
        </is>
      </c>
      <c r="E8616" t="inlineStr">
        <is>
          <t>ÖREBRO</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45801</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45801</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45801</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23221-2025</t>
        </is>
      </c>
      <c r="B8620" s="1" t="n">
        <v>45791</v>
      </c>
      <c r="C8620" s="1" t="n">
        <v>45801</v>
      </c>
      <c r="D8620" t="inlineStr">
        <is>
          <t>ÖREBRO LÄN</t>
        </is>
      </c>
      <c r="E8620" t="inlineStr">
        <is>
          <t>KUMLA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23225-2025</t>
        </is>
      </c>
      <c r="B8621" s="1" t="n">
        <v>45791</v>
      </c>
      <c r="C8621" s="1" t="n">
        <v>45801</v>
      </c>
      <c r="D8621" t="inlineStr">
        <is>
          <t>ÖREBRO LÄN</t>
        </is>
      </c>
      <c r="E8621" t="inlineStr">
        <is>
          <t>KUMLA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23233-2025</t>
        </is>
      </c>
      <c r="B8622" s="1" t="n">
        <v>45791</v>
      </c>
      <c r="C8622" s="1" t="n">
        <v>45801</v>
      </c>
      <c r="D8622" t="inlineStr">
        <is>
          <t>ÖREBRO LÄN</t>
        </is>
      </c>
      <c r="E8622" t="inlineStr">
        <is>
          <t>ASKERSUND</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23239-2025</t>
        </is>
      </c>
      <c r="B8623" s="1" t="n">
        <v>45791</v>
      </c>
      <c r="C8623" s="1" t="n">
        <v>45801</v>
      </c>
      <c r="D8623" t="inlineStr">
        <is>
          <t>ÖREBRO LÄN</t>
        </is>
      </c>
      <c r="E8623" t="inlineStr">
        <is>
          <t>LAXÅ</t>
        </is>
      </c>
      <c r="F8623" t="inlineStr">
        <is>
          <t>Sveaskog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23234-2025</t>
        </is>
      </c>
      <c r="B8624" s="1" t="n">
        <v>45791</v>
      </c>
      <c r="C8624" s="1" t="n">
        <v>45801</v>
      </c>
      <c r="D8624" t="inlineStr">
        <is>
          <t>ÖREBRO LÄN</t>
        </is>
      </c>
      <c r="E8624" t="inlineStr">
        <is>
          <t>LAXÅ</t>
        </is>
      </c>
      <c r="F8624" t="inlineStr">
        <is>
          <t>Sveaskog</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23224-2025</t>
        </is>
      </c>
      <c r="B8625" s="1" t="n">
        <v>45791</v>
      </c>
      <c r="C8625" s="1" t="n">
        <v>45801</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row r="8626" ht="15" customHeight="1">
      <c r="A8626" t="inlineStr">
        <is>
          <t>A 23245-2025</t>
        </is>
      </c>
      <c r="B8626" s="1" t="n">
        <v>45791</v>
      </c>
      <c r="C8626" s="1" t="n">
        <v>45801</v>
      </c>
      <c r="D8626" t="inlineStr">
        <is>
          <t>ÖREBRO LÄN</t>
        </is>
      </c>
      <c r="E8626" t="inlineStr">
        <is>
          <t>LINDESBERG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45801</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45801</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45801</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23717-2025</t>
        </is>
      </c>
      <c r="B8630" s="1" t="n">
        <v>45793</v>
      </c>
      <c r="C8630" s="1" t="n">
        <v>45801</v>
      </c>
      <c r="D8630" t="inlineStr">
        <is>
          <t>ÖREBRO LÄN</t>
        </is>
      </c>
      <c r="E8630" t="inlineStr">
        <is>
          <t>KARLSKOGA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45801</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45801</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45801</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45801</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23835-2025</t>
        </is>
      </c>
      <c r="B8635" s="1" t="n">
        <v>45793</v>
      </c>
      <c r="C8635" s="1" t="n">
        <v>45801</v>
      </c>
      <c r="D8635" t="inlineStr">
        <is>
          <t>ÖREBRO LÄN</t>
        </is>
      </c>
      <c r="E8635" t="inlineStr">
        <is>
          <t>LINDESBERG</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45801</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45801</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23934-2025</t>
        </is>
      </c>
      <c r="B8638" s="1" t="n">
        <v>45795</v>
      </c>
      <c r="C8638" s="1" t="n">
        <v>45801</v>
      </c>
      <c r="D8638" t="inlineStr">
        <is>
          <t>ÖREBRO LÄN</t>
        </is>
      </c>
      <c r="E8638" t="inlineStr">
        <is>
          <t>LINDESBERG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23932-2025</t>
        </is>
      </c>
      <c r="B8639" s="1" t="n">
        <v>45795</v>
      </c>
      <c r="C8639" s="1" t="n">
        <v>45801</v>
      </c>
      <c r="D8639" t="inlineStr">
        <is>
          <t>ÖREBRO LÄN</t>
        </is>
      </c>
      <c r="E8639" t="inlineStr">
        <is>
          <t>LINDESBERG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23933-2025</t>
        </is>
      </c>
      <c r="B8640" s="1" t="n">
        <v>45795</v>
      </c>
      <c r="C8640" s="1" t="n">
        <v>45801</v>
      </c>
      <c r="D8640" t="inlineStr">
        <is>
          <t>ÖREBRO LÄN</t>
        </is>
      </c>
      <c r="E8640" t="inlineStr">
        <is>
          <t>LINDESBERG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24017-2025</t>
        </is>
      </c>
      <c r="B8641" s="1" t="n">
        <v>45796</v>
      </c>
      <c r="C8641" s="1" t="n">
        <v>45801</v>
      </c>
      <c r="D8641" t="inlineStr">
        <is>
          <t>ÖREBRO LÄN</t>
        </is>
      </c>
      <c r="E8641" t="inlineStr">
        <is>
          <t>LINDESBERG</t>
        </is>
      </c>
      <c r="F8641" t="inlineStr">
        <is>
          <t>Sveaskog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24020-2025</t>
        </is>
      </c>
      <c r="B8642" s="1" t="n">
        <v>45796</v>
      </c>
      <c r="C8642" s="1" t="n">
        <v>45801</v>
      </c>
      <c r="D8642" t="inlineStr">
        <is>
          <t>ÖREBRO LÄN</t>
        </is>
      </c>
      <c r="E8642" t="inlineStr">
        <is>
          <t>LINDESBERG</t>
        </is>
      </c>
      <c r="F8642" t="inlineStr">
        <is>
          <t>Sveaskog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24192-2025</t>
        </is>
      </c>
      <c r="B8643" s="1" t="n">
        <v>45796</v>
      </c>
      <c r="C8643" s="1" t="n">
        <v>45801</v>
      </c>
      <c r="D8643" t="inlineStr">
        <is>
          <t>ÖREBRO LÄN</t>
        </is>
      </c>
      <c r="E8643" t="inlineStr">
        <is>
          <t>ÖREBRO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24055-2025</t>
        </is>
      </c>
      <c r="B8644" s="1" t="n">
        <v>45796</v>
      </c>
      <c r="C8644" s="1" t="n">
        <v>45801</v>
      </c>
      <c r="D8644" t="inlineStr">
        <is>
          <t>ÖREBRO LÄN</t>
        </is>
      </c>
      <c r="E8644" t="inlineStr">
        <is>
          <t>LEKEBERG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24099-2025</t>
        </is>
      </c>
      <c r="B8645" s="1" t="n">
        <v>45796</v>
      </c>
      <c r="C8645" s="1" t="n">
        <v>45801</v>
      </c>
      <c r="D8645" t="inlineStr">
        <is>
          <t>ÖREBRO LÄN</t>
        </is>
      </c>
      <c r="E8645" t="inlineStr">
        <is>
          <t>KARLSKOGA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24011-2025</t>
        </is>
      </c>
      <c r="B8646" s="1" t="n">
        <v>45796</v>
      </c>
      <c r="C8646" s="1" t="n">
        <v>45801</v>
      </c>
      <c r="D8646" t="inlineStr">
        <is>
          <t>ÖREBRO LÄN</t>
        </is>
      </c>
      <c r="E8646" t="inlineStr">
        <is>
          <t>LINDESBERG</t>
        </is>
      </c>
      <c r="F8646" t="inlineStr">
        <is>
          <t>Sveaskog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24107-2025</t>
        </is>
      </c>
      <c r="B8647" s="1" t="n">
        <v>45796</v>
      </c>
      <c r="C8647" s="1" t="n">
        <v>45801</v>
      </c>
      <c r="D8647" t="inlineStr">
        <is>
          <t>ÖREBRO LÄN</t>
        </is>
      </c>
      <c r="E8647" t="inlineStr">
        <is>
          <t>LINDESBERG</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45801</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45801</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45801</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24966-2025</t>
        </is>
      </c>
      <c r="B8651" s="1" t="n">
        <v>45799</v>
      </c>
      <c r="C8651" s="1" t="n">
        <v>45801</v>
      </c>
      <c r="D8651" t="inlineStr">
        <is>
          <t>ÖREBRO LÄN</t>
        </is>
      </c>
      <c r="E8651" t="inlineStr">
        <is>
          <t>HÄLLEFORS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24911-2025</t>
        </is>
      </c>
      <c r="B8652" s="1" t="n">
        <v>45799</v>
      </c>
      <c r="C8652" s="1" t="n">
        <v>45801</v>
      </c>
      <c r="D8652" t="inlineStr">
        <is>
          <t>ÖREBRO LÄN</t>
        </is>
      </c>
      <c r="E8652" t="inlineStr">
        <is>
          <t>LAXÅ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45801</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25172-2025</t>
        </is>
      </c>
      <c r="B8654" s="1" t="n">
        <v>45800</v>
      </c>
      <c r="C8654" s="1" t="n">
        <v>45801</v>
      </c>
      <c r="D8654" t="inlineStr">
        <is>
          <t>ÖREBRO LÄN</t>
        </is>
      </c>
      <c r="E8654" t="inlineStr">
        <is>
          <t>LAXÅ</t>
        </is>
      </c>
      <c r="F8654" t="inlineStr">
        <is>
          <t>Sveaskog</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25390-2025</t>
        </is>
      </c>
      <c r="B8655" s="1" t="n">
        <v>45800</v>
      </c>
      <c r="C8655" s="1" t="n">
        <v>45801</v>
      </c>
      <c r="D8655" t="inlineStr">
        <is>
          <t>ÖREBRO LÄN</t>
        </is>
      </c>
      <c r="E8655" t="inlineStr">
        <is>
          <t>LJUSNARSBERG</t>
        </is>
      </c>
      <c r="G8655" t="n">
        <v>4.5</v>
      </c>
      <c r="H8655" t="n">
        <v>0</v>
      </c>
      <c r="I8655" t="n">
        <v>0</v>
      </c>
      <c r="J8655" t="n">
        <v>0</v>
      </c>
      <c r="K8655" t="n">
        <v>0</v>
      </c>
      <c r="L8655" t="n">
        <v>0</v>
      </c>
      <c r="M8655" t="n">
        <v>0</v>
      </c>
      <c r="N8655" t="n">
        <v>0</v>
      </c>
      <c r="O8655" t="n">
        <v>0</v>
      </c>
      <c r="P8655" t="n">
        <v>0</v>
      </c>
      <c r="Q8655" t="n">
        <v>0</v>
      </c>
      <c r="R8655" s="2" t="inlineStr"/>
    </row>
    <row r="8656">
      <c r="A8656" t="inlineStr">
        <is>
          <t>A 25388-2025</t>
        </is>
      </c>
      <c r="B8656" s="1" t="n">
        <v>45800</v>
      </c>
      <c r="C8656" s="1" t="n">
        <v>45801</v>
      </c>
      <c r="D8656" t="inlineStr">
        <is>
          <t>ÖREBRO LÄN</t>
        </is>
      </c>
      <c r="E8656" t="inlineStr">
        <is>
          <t>LAXÅ</t>
        </is>
      </c>
      <c r="F8656" t="inlineStr">
        <is>
          <t>Sveaskog</t>
        </is>
      </c>
      <c r="G8656" t="n">
        <v>1.4</v>
      </c>
      <c r="H8656" t="n">
        <v>0</v>
      </c>
      <c r="I8656" t="n">
        <v>0</v>
      </c>
      <c r="J8656" t="n">
        <v>0</v>
      </c>
      <c r="K8656" t="n">
        <v>0</v>
      </c>
      <c r="L8656" t="n">
        <v>0</v>
      </c>
      <c r="M8656" t="n">
        <v>0</v>
      </c>
      <c r="N8656" t="n">
        <v>0</v>
      </c>
      <c r="O8656" t="n">
        <v>0</v>
      </c>
      <c r="P8656" t="n">
        <v>0</v>
      </c>
      <c r="Q8656" t="n">
        <v>0</v>
      </c>
      <c r="R8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2025-05-24T18:26:53Z</dcterms:created>
  <dcterms:modified xmlns:dcterms="http://purl.org/dc/terms/" xmlns:xsi="http://www.w3.org/2001/XMLSchema-instance" xsi:type="dcterms:W3CDTF">2025-05-24T18:27:01Z</dcterms:modified>
</cp:coreProperties>
</file>