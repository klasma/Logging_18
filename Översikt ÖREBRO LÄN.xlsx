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45797</v>
      </c>
      <c r="D4" t="inlineStr">
        <is>
          <t>ÖREBRO LÄN</t>
        </is>
      </c>
      <c r="E4" t="inlineStr">
        <is>
          <t>HALLSBERG</t>
        </is>
      </c>
      <c r="G4" t="n">
        <v>8.1</v>
      </c>
      <c r="H4" t="n">
        <v>23</v>
      </c>
      <c r="I4" t="n">
        <v>2</v>
      </c>
      <c r="J4" t="n">
        <v>18</v>
      </c>
      <c r="K4" t="n">
        <v>1</v>
      </c>
      <c r="L4" t="n">
        <v>0</v>
      </c>
      <c r="M4" t="n">
        <v>0</v>
      </c>
      <c r="N4" t="n">
        <v>0</v>
      </c>
      <c r="O4" t="n">
        <v>19</v>
      </c>
      <c r="P4" t="n">
        <v>1</v>
      </c>
      <c r="Q4" t="n">
        <v>30</v>
      </c>
      <c r="R4"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45797</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45797</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45797</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45797</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45797</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45797</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45797</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45797</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45797</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45797</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45797</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45797</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45797</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45797</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45797</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45797</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45797</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45797</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45797</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45797</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45797</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45797</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45797</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45797</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45797</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45797</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45797</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45797</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45797</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45797</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45797</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45797</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45797</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45797</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45797</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45797</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45797</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45797</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45797</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45797</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45797</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45797</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45797</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45797</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45797</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45797</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45797</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45797</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45797</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45797</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45797</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45797</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45797</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45797</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45797</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45797</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45797</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45797</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45797</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45797</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45797</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45797</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45797</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45797</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45797</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45797</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45797</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45797</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45797</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45797</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45797</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45797</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45797</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45797</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45797</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45797</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45797</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45797</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45797</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45797</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45797</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45797</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45797</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45797</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45797</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45797</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45797</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45797</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45797</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45797</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45797</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45797</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45797</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45797</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45797</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45797</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45797</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45797</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45797</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45797</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45797</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45797</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45797</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45797</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45797</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45797</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45797</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45797</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45797</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45797</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45797</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45797</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45797</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45797</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45797</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45797</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45797</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45797</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45797</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45797</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45797</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45797</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45797</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45797</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45797</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45797</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45797</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45797</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45797</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45797</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45797</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45797</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45797</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45797</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45797</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45797</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45797</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45797</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45797</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45797</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45797</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45797</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45797</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45797</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45797</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45797</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45797</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45797</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45797</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45797</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45797</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45797</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45797</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45797</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45797</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45797</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45797</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45797</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45797</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45797</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45797</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45797</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45797</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45797</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45797</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45797</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45797</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45797</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45797</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45797</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45797</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45797</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45797</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45797</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45797</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45797</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45797</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45797</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45797</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45797</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45797</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45797</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45797</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45797</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45797</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45797</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45797</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45797</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45797</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45797</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45797</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45797</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45797</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45797</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45797</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45797</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45797</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45797</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45797</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45797</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45797</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45797</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45797</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45797</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45797</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45797</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45797</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45797</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45797</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45797</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45797</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45797</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45797</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45797</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45797</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45797</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45797</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45797</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45797</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45797</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45797</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45797</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45797</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45797</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45797</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45797</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45797</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45797</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45797</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45797</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45797</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45797</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45797</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45797</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45797</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45797</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45797</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45797</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45797</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45797</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45797</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45797</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45797</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45797</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45797</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45797</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45797</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45797</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45797</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45797</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45797</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45797</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45797</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45797</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45797</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45797</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45797</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45797</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45797</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45797</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45797</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45797</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45797</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45797</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45797</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45797</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45797</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45797</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45797</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45797</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45797</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45797</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45797</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45797</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45797</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45797</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45797</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45797</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45797</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45797</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45797</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45797</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45797</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45797</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45797</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45797</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45797</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45797</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45797</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45797</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45797</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45797</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45797</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45797</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45797</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45797</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45797</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45797</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45797</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45797</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45797</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45797</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45797</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45797</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45797</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45797</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45797</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45797</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45797</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45797</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45797</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45797</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45797</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45797</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45797</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45797</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45797</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45797</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45797</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45797</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45797</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45797</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45797</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45797</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45797</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45797</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45797</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45797</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45797</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45797</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45797</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45797</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45797</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45797</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45797</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45797</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45797</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45797</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45797</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45797</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45797</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45797</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45797</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45797</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45797</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45797</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45797</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45797</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45797</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45797</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45797</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45797</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45797</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45797</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45797</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45797</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45797</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45797</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45797</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45797</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45797</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45797</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45797</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45797</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45797</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45797</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45797</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45797</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45797</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45797</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45797</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45797</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45797</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45797</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45797</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45797</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45797</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45797</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45797</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45797</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45797</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45797</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45797</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45797</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45797</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45797</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45797</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45797</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45797</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45797</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45797</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45797</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60162-2022</t>
        </is>
      </c>
      <c r="B411" s="1" t="n">
        <v>44909</v>
      </c>
      <c r="C411" s="1" t="n">
        <v>45797</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364-2023</t>
        </is>
      </c>
      <c r="B412" s="1" t="n">
        <v>44929</v>
      </c>
      <c r="C412" s="1" t="n">
        <v>45797</v>
      </c>
      <c r="D412" t="inlineStr">
        <is>
          <t>ÖREBRO LÄN</t>
        </is>
      </c>
      <c r="E412" t="inlineStr">
        <is>
          <t>HALLSBERG</t>
        </is>
      </c>
      <c r="F412" t="inlineStr">
        <is>
          <t>Sveaskog</t>
        </is>
      </c>
      <c r="G412" t="n">
        <v>2.2</v>
      </c>
      <c r="H412" t="n">
        <v>0</v>
      </c>
      <c r="I412" t="n">
        <v>0</v>
      </c>
      <c r="J412" t="n">
        <v>1</v>
      </c>
      <c r="K412" t="n">
        <v>0</v>
      </c>
      <c r="L412" t="n">
        <v>0</v>
      </c>
      <c r="M412" t="n">
        <v>0</v>
      </c>
      <c r="N412" t="n">
        <v>0</v>
      </c>
      <c r="O412" t="n">
        <v>1</v>
      </c>
      <c r="P412" t="n">
        <v>0</v>
      </c>
      <c r="Q412" t="n">
        <v>1</v>
      </c>
      <c r="R412" s="2" t="inlineStr">
        <is>
          <t>Guldsandbi</t>
        </is>
      </c>
      <c r="S412">
        <f>HYPERLINK("https://klasma.github.io/Logging_1861/artfynd/A 364-2023 artfynd.xlsx", "A 364-2023")</f>
        <v/>
      </c>
      <c r="T412">
        <f>HYPERLINK("https://klasma.github.io/Logging_1861/kartor/A 364-2023 karta.png", "A 364-2023")</f>
        <v/>
      </c>
      <c r="V412">
        <f>HYPERLINK("https://klasma.github.io/Logging_1861/klagomål/A 364-2023 FSC-klagomål.docx", "A 364-2023")</f>
        <v/>
      </c>
      <c r="W412">
        <f>HYPERLINK("https://klasma.github.io/Logging_1861/klagomålsmail/A 364-2023 FSC-klagomål mail.docx", "A 364-2023")</f>
        <v/>
      </c>
      <c r="X412">
        <f>HYPERLINK("https://klasma.github.io/Logging_1861/tillsyn/A 364-2023 tillsynsbegäran.docx", "A 364-2023")</f>
        <v/>
      </c>
      <c r="Y412">
        <f>HYPERLINK("https://klasma.github.io/Logging_1861/tillsynsmail/A 364-2023 tillsynsbegäran mail.docx", "A 364-2023")</f>
        <v/>
      </c>
    </row>
    <row r="413" ht="15" customHeight="1">
      <c r="A413" t="inlineStr">
        <is>
          <t>A 401-2023</t>
        </is>
      </c>
      <c r="B413" s="1" t="n">
        <v>44929</v>
      </c>
      <c r="C413" s="1" t="n">
        <v>45797</v>
      </c>
      <c r="D413" t="inlineStr">
        <is>
          <t>ÖREBRO LÄN</t>
        </is>
      </c>
      <c r="E413" t="inlineStr">
        <is>
          <t>ASKERSUND</t>
        </is>
      </c>
      <c r="F413" t="inlineStr">
        <is>
          <t>Sveaskog</t>
        </is>
      </c>
      <c r="G413" t="n">
        <v>3.6</v>
      </c>
      <c r="H413" t="n">
        <v>1</v>
      </c>
      <c r="I413" t="n">
        <v>0</v>
      </c>
      <c r="J413" t="n">
        <v>0</v>
      </c>
      <c r="K413" t="n">
        <v>0</v>
      </c>
      <c r="L413" t="n">
        <v>0</v>
      </c>
      <c r="M413" t="n">
        <v>0</v>
      </c>
      <c r="N413" t="n">
        <v>0</v>
      </c>
      <c r="O413" t="n">
        <v>0</v>
      </c>
      <c r="P413" t="n">
        <v>0</v>
      </c>
      <c r="Q413" t="n">
        <v>1</v>
      </c>
      <c r="R413" s="2" t="inlineStr">
        <is>
          <t>Mattlummer</t>
        </is>
      </c>
      <c r="S413">
        <f>HYPERLINK("https://klasma.github.io/Logging_1882/artfynd/A 401-2023 artfynd.xlsx", "A 401-2023")</f>
        <v/>
      </c>
      <c r="T413">
        <f>HYPERLINK("https://klasma.github.io/Logging_1882/kartor/A 401-2023 karta.png", "A 401-2023")</f>
        <v/>
      </c>
      <c r="V413">
        <f>HYPERLINK("https://klasma.github.io/Logging_1882/klagomål/A 401-2023 FSC-klagomål.docx", "A 401-2023")</f>
        <v/>
      </c>
      <c r="W413">
        <f>HYPERLINK("https://klasma.github.io/Logging_1882/klagomålsmail/A 401-2023 FSC-klagomål mail.docx", "A 401-2023")</f>
        <v/>
      </c>
      <c r="X413">
        <f>HYPERLINK("https://klasma.github.io/Logging_1882/tillsyn/A 401-2023 tillsynsbegäran.docx", "A 401-2023")</f>
        <v/>
      </c>
      <c r="Y413">
        <f>HYPERLINK("https://klasma.github.io/Logging_1882/tillsynsmail/A 401-2023 tillsynsbegäran mail.docx", "A 401-2023")</f>
        <v/>
      </c>
    </row>
    <row r="414" ht="15" customHeight="1">
      <c r="A414" t="inlineStr">
        <is>
          <t>A 515-2023</t>
        </is>
      </c>
      <c r="B414" s="1" t="n">
        <v>44930</v>
      </c>
      <c r="C414" s="1" t="n">
        <v>45797</v>
      </c>
      <c r="D414" t="inlineStr">
        <is>
          <t>ÖREBRO LÄN</t>
        </is>
      </c>
      <c r="E414" t="inlineStr">
        <is>
          <t>HALLSBERG</t>
        </is>
      </c>
      <c r="G414" t="n">
        <v>6.6</v>
      </c>
      <c r="H414" t="n">
        <v>0</v>
      </c>
      <c r="I414" t="n">
        <v>0</v>
      </c>
      <c r="J414" t="n">
        <v>0</v>
      </c>
      <c r="K414" t="n">
        <v>0</v>
      </c>
      <c r="L414" t="n">
        <v>1</v>
      </c>
      <c r="M414" t="n">
        <v>0</v>
      </c>
      <c r="N414" t="n">
        <v>0</v>
      </c>
      <c r="O414" t="n">
        <v>1</v>
      </c>
      <c r="P414" t="n">
        <v>1</v>
      </c>
      <c r="Q414" t="n">
        <v>1</v>
      </c>
      <c r="R414" s="2" t="inlineStr">
        <is>
          <t>Ask</t>
        </is>
      </c>
      <c r="S414">
        <f>HYPERLINK("https://klasma.github.io/Logging_1861/artfynd/A 515-2023 artfynd.xlsx", "A 515-2023")</f>
        <v/>
      </c>
      <c r="T414">
        <f>HYPERLINK("https://klasma.github.io/Logging_1861/kartor/A 515-2023 karta.png", "A 515-2023")</f>
        <v/>
      </c>
      <c r="V414">
        <f>HYPERLINK("https://klasma.github.io/Logging_1861/klagomål/A 515-2023 FSC-klagomål.docx", "A 515-2023")</f>
        <v/>
      </c>
      <c r="W414">
        <f>HYPERLINK("https://klasma.github.io/Logging_1861/klagomålsmail/A 515-2023 FSC-klagomål mail.docx", "A 515-2023")</f>
        <v/>
      </c>
      <c r="X414">
        <f>HYPERLINK("https://klasma.github.io/Logging_1861/tillsyn/A 515-2023 tillsynsbegäran.docx", "A 515-2023")</f>
        <v/>
      </c>
      <c r="Y414">
        <f>HYPERLINK("https://klasma.github.io/Logging_1861/tillsynsmail/A 515-2023 tillsynsbegäran mail.docx", "A 515-2023")</f>
        <v/>
      </c>
    </row>
    <row r="415" ht="15" customHeight="1">
      <c r="A415" t="inlineStr">
        <is>
          <t>A 1195-2023</t>
        </is>
      </c>
      <c r="B415" s="1" t="n">
        <v>44935</v>
      </c>
      <c r="C415" s="1" t="n">
        <v>45797</v>
      </c>
      <c r="D415" t="inlineStr">
        <is>
          <t>ÖREBRO LÄN</t>
        </is>
      </c>
      <c r="E415" t="inlineStr">
        <is>
          <t>HALLSBERG</t>
        </is>
      </c>
      <c r="G415" t="n">
        <v>11.2</v>
      </c>
      <c r="H415" t="n">
        <v>0</v>
      </c>
      <c r="I415" t="n">
        <v>1</v>
      </c>
      <c r="J415" t="n">
        <v>0</v>
      </c>
      <c r="K415" t="n">
        <v>0</v>
      </c>
      <c r="L415" t="n">
        <v>0</v>
      </c>
      <c r="M415" t="n">
        <v>0</v>
      </c>
      <c r="N415" t="n">
        <v>0</v>
      </c>
      <c r="O415" t="n">
        <v>0</v>
      </c>
      <c r="P415" t="n">
        <v>0</v>
      </c>
      <c r="Q415" t="n">
        <v>1</v>
      </c>
      <c r="R415" s="2" t="inlineStr">
        <is>
          <t>Hasselticka</t>
        </is>
      </c>
      <c r="S415">
        <f>HYPERLINK("https://klasma.github.io/Logging_1861/artfynd/A 1195-2023 artfynd.xlsx", "A 1195-2023")</f>
        <v/>
      </c>
      <c r="T415">
        <f>HYPERLINK("https://klasma.github.io/Logging_1861/kartor/A 1195-2023 karta.png", "A 1195-2023")</f>
        <v/>
      </c>
      <c r="V415">
        <f>HYPERLINK("https://klasma.github.io/Logging_1861/klagomål/A 1195-2023 FSC-klagomål.docx", "A 1195-2023")</f>
        <v/>
      </c>
      <c r="W415">
        <f>HYPERLINK("https://klasma.github.io/Logging_1861/klagomålsmail/A 1195-2023 FSC-klagomål mail.docx", "A 1195-2023")</f>
        <v/>
      </c>
      <c r="X415">
        <f>HYPERLINK("https://klasma.github.io/Logging_1861/tillsyn/A 1195-2023 tillsynsbegäran.docx", "A 1195-2023")</f>
        <v/>
      </c>
      <c r="Y415">
        <f>HYPERLINK("https://klasma.github.io/Logging_1861/tillsynsmail/A 1195-2023 tillsynsbegäran mail.docx", "A 1195-2023")</f>
        <v/>
      </c>
    </row>
    <row r="416" ht="15" customHeight="1">
      <c r="A416" t="inlineStr">
        <is>
          <t>A 1615-2023</t>
        </is>
      </c>
      <c r="B416" s="1" t="n">
        <v>44937</v>
      </c>
      <c r="C416" s="1" t="n">
        <v>45797</v>
      </c>
      <c r="D416" t="inlineStr">
        <is>
          <t>ÖREBRO LÄN</t>
        </is>
      </c>
      <c r="E416" t="inlineStr">
        <is>
          <t>HALLSBERG</t>
        </is>
      </c>
      <c r="F416" t="inlineStr">
        <is>
          <t>Allmännings- och besparingsskogar</t>
        </is>
      </c>
      <c r="G416" t="n">
        <v>5.4</v>
      </c>
      <c r="H416" t="n">
        <v>1</v>
      </c>
      <c r="I416" t="n">
        <v>0</v>
      </c>
      <c r="J416" t="n">
        <v>1</v>
      </c>
      <c r="K416" t="n">
        <v>0</v>
      </c>
      <c r="L416" t="n">
        <v>0</v>
      </c>
      <c r="M416" t="n">
        <v>0</v>
      </c>
      <c r="N416" t="n">
        <v>0</v>
      </c>
      <c r="O416" t="n">
        <v>1</v>
      </c>
      <c r="P416" t="n">
        <v>0</v>
      </c>
      <c r="Q416" t="n">
        <v>1</v>
      </c>
      <c r="R416" s="2" t="inlineStr">
        <is>
          <t>Talltita</t>
        </is>
      </c>
      <c r="S416">
        <f>HYPERLINK("https://klasma.github.io/Logging_1861/artfynd/A 1615-2023 artfynd.xlsx", "A 1615-2023")</f>
        <v/>
      </c>
      <c r="T416">
        <f>HYPERLINK("https://klasma.github.io/Logging_1861/kartor/A 1615-2023 karta.png", "A 1615-2023")</f>
        <v/>
      </c>
      <c r="V416">
        <f>HYPERLINK("https://klasma.github.io/Logging_1861/klagomål/A 1615-2023 FSC-klagomål.docx", "A 1615-2023")</f>
        <v/>
      </c>
      <c r="W416">
        <f>HYPERLINK("https://klasma.github.io/Logging_1861/klagomålsmail/A 1615-2023 FSC-klagomål mail.docx", "A 1615-2023")</f>
        <v/>
      </c>
      <c r="X416">
        <f>HYPERLINK("https://klasma.github.io/Logging_1861/tillsyn/A 1615-2023 tillsynsbegäran.docx", "A 1615-2023")</f>
        <v/>
      </c>
      <c r="Y416">
        <f>HYPERLINK("https://klasma.github.io/Logging_1861/tillsynsmail/A 1615-2023 tillsynsbegäran mail.docx", "A 1615-2023")</f>
        <v/>
      </c>
      <c r="Z416">
        <f>HYPERLINK("https://klasma.github.io/Logging_1861/fåglar/A 1615-2023 prioriterade fågelarter.docx", "A 1615-2023")</f>
        <v/>
      </c>
    </row>
    <row r="417" ht="15" customHeight="1">
      <c r="A417" t="inlineStr">
        <is>
          <t>A 2077-2023</t>
        </is>
      </c>
      <c r="B417" s="1" t="n">
        <v>44939</v>
      </c>
      <c r="C417" s="1" t="n">
        <v>45797</v>
      </c>
      <c r="D417" t="inlineStr">
        <is>
          <t>ÖREBRO LÄN</t>
        </is>
      </c>
      <c r="E417" t="inlineStr">
        <is>
          <t>ÖREBRO</t>
        </is>
      </c>
      <c r="G417" t="n">
        <v>1.4</v>
      </c>
      <c r="H417" t="n">
        <v>1</v>
      </c>
      <c r="I417" t="n">
        <v>0</v>
      </c>
      <c r="J417" t="n">
        <v>1</v>
      </c>
      <c r="K417" t="n">
        <v>0</v>
      </c>
      <c r="L417" t="n">
        <v>0</v>
      </c>
      <c r="M417" t="n">
        <v>0</v>
      </c>
      <c r="N417" t="n">
        <v>0</v>
      </c>
      <c r="O417" t="n">
        <v>1</v>
      </c>
      <c r="P417" t="n">
        <v>0</v>
      </c>
      <c r="Q417" t="n">
        <v>1</v>
      </c>
      <c r="R417" s="2" t="inlineStr">
        <is>
          <t>Rödvingetrast</t>
        </is>
      </c>
      <c r="S417">
        <f>HYPERLINK("https://klasma.github.io/Logging_1880/artfynd/A 2077-2023 artfynd.xlsx", "A 2077-2023")</f>
        <v/>
      </c>
      <c r="T417">
        <f>HYPERLINK("https://klasma.github.io/Logging_1880/kartor/A 2077-2023 karta.png", "A 2077-2023")</f>
        <v/>
      </c>
      <c r="V417">
        <f>HYPERLINK("https://klasma.github.io/Logging_1880/klagomål/A 2077-2023 FSC-klagomål.docx", "A 2077-2023")</f>
        <v/>
      </c>
      <c r="W417">
        <f>HYPERLINK("https://klasma.github.io/Logging_1880/klagomålsmail/A 2077-2023 FSC-klagomål mail.docx", "A 2077-2023")</f>
        <v/>
      </c>
      <c r="X417">
        <f>HYPERLINK("https://klasma.github.io/Logging_1880/tillsyn/A 2077-2023 tillsynsbegäran.docx", "A 2077-2023")</f>
        <v/>
      </c>
      <c r="Y417">
        <f>HYPERLINK("https://klasma.github.io/Logging_1880/tillsynsmail/A 2077-2023 tillsynsbegäran mail.docx", "A 2077-2023")</f>
        <v/>
      </c>
      <c r="Z417">
        <f>HYPERLINK("https://klasma.github.io/Logging_1880/fåglar/A 2077-2023 prioriterade fågelarter.docx", "A 2077-2023")</f>
        <v/>
      </c>
    </row>
    <row r="418" ht="15" customHeight="1">
      <c r="A418" t="inlineStr">
        <is>
          <t>A 3729-2023</t>
        </is>
      </c>
      <c r="B418" s="1" t="n">
        <v>44949</v>
      </c>
      <c r="C418" s="1" t="n">
        <v>45797</v>
      </c>
      <c r="D418" t="inlineStr">
        <is>
          <t>ÖREBRO LÄN</t>
        </is>
      </c>
      <c r="E418" t="inlineStr">
        <is>
          <t>LINDESBERG</t>
        </is>
      </c>
      <c r="G418" t="n">
        <v>4</v>
      </c>
      <c r="H418" t="n">
        <v>0</v>
      </c>
      <c r="I418" t="n">
        <v>0</v>
      </c>
      <c r="J418" t="n">
        <v>1</v>
      </c>
      <c r="K418" t="n">
        <v>0</v>
      </c>
      <c r="L418" t="n">
        <v>0</v>
      </c>
      <c r="M418" t="n">
        <v>0</v>
      </c>
      <c r="N418" t="n">
        <v>0</v>
      </c>
      <c r="O418" t="n">
        <v>1</v>
      </c>
      <c r="P418" t="n">
        <v>0</v>
      </c>
      <c r="Q418" t="n">
        <v>1</v>
      </c>
      <c r="R418" s="2" t="inlineStr">
        <is>
          <t>Motaggsvamp</t>
        </is>
      </c>
      <c r="S418">
        <f>HYPERLINK("https://klasma.github.io/Logging_1885/artfynd/A 3729-2023 artfynd.xlsx", "A 3729-2023")</f>
        <v/>
      </c>
      <c r="T418">
        <f>HYPERLINK("https://klasma.github.io/Logging_1885/kartor/A 3729-2023 karta.png", "A 3729-2023")</f>
        <v/>
      </c>
      <c r="V418">
        <f>HYPERLINK("https://klasma.github.io/Logging_1885/klagomål/A 3729-2023 FSC-klagomål.docx", "A 3729-2023")</f>
        <v/>
      </c>
      <c r="W418">
        <f>HYPERLINK("https://klasma.github.io/Logging_1885/klagomålsmail/A 3729-2023 FSC-klagomål mail.docx", "A 3729-2023")</f>
        <v/>
      </c>
      <c r="X418">
        <f>HYPERLINK("https://klasma.github.io/Logging_1885/tillsyn/A 3729-2023 tillsynsbegäran.docx", "A 3729-2023")</f>
        <v/>
      </c>
      <c r="Y418">
        <f>HYPERLINK("https://klasma.github.io/Logging_1885/tillsynsmail/A 3729-2023 tillsynsbegäran mail.docx", "A 3729-2023")</f>
        <v/>
      </c>
    </row>
    <row r="419" ht="15" customHeight="1">
      <c r="A419" t="inlineStr">
        <is>
          <t>A 4652-2023</t>
        </is>
      </c>
      <c r="B419" s="1" t="n">
        <v>44957</v>
      </c>
      <c r="C419" s="1" t="n">
        <v>45797</v>
      </c>
      <c r="D419" t="inlineStr">
        <is>
          <t>ÖREBRO LÄN</t>
        </is>
      </c>
      <c r="E419" t="inlineStr">
        <is>
          <t>HÄLLEFORS</t>
        </is>
      </c>
      <c r="G419" t="n">
        <v>2.5</v>
      </c>
      <c r="H419" t="n">
        <v>0</v>
      </c>
      <c r="I419" t="n">
        <v>0</v>
      </c>
      <c r="J419" t="n">
        <v>1</v>
      </c>
      <c r="K419" t="n">
        <v>0</v>
      </c>
      <c r="L419" t="n">
        <v>0</v>
      </c>
      <c r="M419" t="n">
        <v>0</v>
      </c>
      <c r="N419" t="n">
        <v>0</v>
      </c>
      <c r="O419" t="n">
        <v>1</v>
      </c>
      <c r="P419" t="n">
        <v>0</v>
      </c>
      <c r="Q419" t="n">
        <v>1</v>
      </c>
      <c r="R419" s="2" t="inlineStr">
        <is>
          <t>Vedtrappmossa</t>
        </is>
      </c>
      <c r="S419">
        <f>HYPERLINK("https://klasma.github.io/Logging_1863/artfynd/A 4652-2023 artfynd.xlsx", "A 4652-2023")</f>
        <v/>
      </c>
      <c r="T419">
        <f>HYPERLINK("https://klasma.github.io/Logging_1863/kartor/A 4652-2023 karta.png", "A 4652-2023")</f>
        <v/>
      </c>
      <c r="V419">
        <f>HYPERLINK("https://klasma.github.io/Logging_1863/klagomål/A 4652-2023 FSC-klagomål.docx", "A 4652-2023")</f>
        <v/>
      </c>
      <c r="W419">
        <f>HYPERLINK("https://klasma.github.io/Logging_1863/klagomålsmail/A 4652-2023 FSC-klagomål mail.docx", "A 4652-2023")</f>
        <v/>
      </c>
      <c r="X419">
        <f>HYPERLINK("https://klasma.github.io/Logging_1863/tillsyn/A 4652-2023 tillsynsbegäran.docx", "A 4652-2023")</f>
        <v/>
      </c>
      <c r="Y419">
        <f>HYPERLINK("https://klasma.github.io/Logging_1863/tillsynsmail/A 4652-2023 tillsynsbegäran mail.docx", "A 4652-2023")</f>
        <v/>
      </c>
    </row>
    <row r="420" ht="15" customHeight="1">
      <c r="A420" t="inlineStr">
        <is>
          <t>A 5097-2023</t>
        </is>
      </c>
      <c r="B420" s="1" t="n">
        <v>44958</v>
      </c>
      <c r="C420" s="1" t="n">
        <v>45797</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5230-2023</t>
        </is>
      </c>
      <c r="B421" s="1" t="n">
        <v>44959</v>
      </c>
      <c r="C421" s="1" t="n">
        <v>45797</v>
      </c>
      <c r="D421" t="inlineStr">
        <is>
          <t>ÖREBRO LÄN</t>
        </is>
      </c>
      <c r="E421" t="inlineStr">
        <is>
          <t>ASKERSUND</t>
        </is>
      </c>
      <c r="G421" t="n">
        <v>5.7</v>
      </c>
      <c r="H421" t="n">
        <v>0</v>
      </c>
      <c r="I421" t="n">
        <v>0</v>
      </c>
      <c r="J421" t="n">
        <v>1</v>
      </c>
      <c r="K421" t="n">
        <v>0</v>
      </c>
      <c r="L421" t="n">
        <v>0</v>
      </c>
      <c r="M421" t="n">
        <v>0</v>
      </c>
      <c r="N421" t="n">
        <v>0</v>
      </c>
      <c r="O421" t="n">
        <v>1</v>
      </c>
      <c r="P421" t="n">
        <v>0</v>
      </c>
      <c r="Q421" t="n">
        <v>1</v>
      </c>
      <c r="R421" s="2" t="inlineStr">
        <is>
          <t>Igelkott</t>
        </is>
      </c>
      <c r="S421">
        <f>HYPERLINK("https://klasma.github.io/Logging_1882/artfynd/A 5230-2023 artfynd.xlsx", "A 5230-2023")</f>
        <v/>
      </c>
      <c r="T421">
        <f>HYPERLINK("https://klasma.github.io/Logging_1882/kartor/A 5230-2023 karta.png", "A 5230-2023")</f>
        <v/>
      </c>
      <c r="V421">
        <f>HYPERLINK("https://klasma.github.io/Logging_1882/klagomål/A 5230-2023 FSC-klagomål.docx", "A 5230-2023")</f>
        <v/>
      </c>
      <c r="W421">
        <f>HYPERLINK("https://klasma.github.io/Logging_1882/klagomålsmail/A 5230-2023 FSC-klagomål mail.docx", "A 5230-2023")</f>
        <v/>
      </c>
      <c r="X421">
        <f>HYPERLINK("https://klasma.github.io/Logging_1882/tillsyn/A 5230-2023 tillsynsbegäran.docx", "A 5230-2023")</f>
        <v/>
      </c>
      <c r="Y421">
        <f>HYPERLINK("https://klasma.github.io/Logging_1882/tillsynsmail/A 5230-2023 tillsynsbegäran mail.docx", "A 5230-2023")</f>
        <v/>
      </c>
    </row>
    <row r="422" ht="15" customHeight="1">
      <c r="A422" t="inlineStr">
        <is>
          <t>A 5814-2023</t>
        </is>
      </c>
      <c r="B422" s="1" t="n">
        <v>44963</v>
      </c>
      <c r="C422" s="1" t="n">
        <v>45797</v>
      </c>
      <c r="D422" t="inlineStr">
        <is>
          <t>ÖREBRO LÄN</t>
        </is>
      </c>
      <c r="E422" t="inlineStr">
        <is>
          <t>KARLSKOGA</t>
        </is>
      </c>
      <c r="F422" t="inlineStr">
        <is>
          <t>Kyrkan</t>
        </is>
      </c>
      <c r="G422" t="n">
        <v>4.9</v>
      </c>
      <c r="H422" t="n">
        <v>0</v>
      </c>
      <c r="I422" t="n">
        <v>1</v>
      </c>
      <c r="J422" t="n">
        <v>0</v>
      </c>
      <c r="K422" t="n">
        <v>0</v>
      </c>
      <c r="L422" t="n">
        <v>0</v>
      </c>
      <c r="M422" t="n">
        <v>0</v>
      </c>
      <c r="N422" t="n">
        <v>0</v>
      </c>
      <c r="O422" t="n">
        <v>0</v>
      </c>
      <c r="P422" t="n">
        <v>0</v>
      </c>
      <c r="Q422" t="n">
        <v>1</v>
      </c>
      <c r="R422" s="2" t="inlineStr">
        <is>
          <t>Svart trolldruva</t>
        </is>
      </c>
      <c r="S422">
        <f>HYPERLINK("https://klasma.github.io/Logging_1883/artfynd/A 5814-2023 artfynd.xlsx", "A 5814-2023")</f>
        <v/>
      </c>
      <c r="T422">
        <f>HYPERLINK("https://klasma.github.io/Logging_1883/kartor/A 5814-2023 karta.png", "A 5814-2023")</f>
        <v/>
      </c>
      <c r="V422">
        <f>HYPERLINK("https://klasma.github.io/Logging_1883/klagomål/A 5814-2023 FSC-klagomål.docx", "A 5814-2023")</f>
        <v/>
      </c>
      <c r="W422">
        <f>HYPERLINK("https://klasma.github.io/Logging_1883/klagomålsmail/A 5814-2023 FSC-klagomål mail.docx", "A 5814-2023")</f>
        <v/>
      </c>
      <c r="X422">
        <f>HYPERLINK("https://klasma.github.io/Logging_1883/tillsyn/A 5814-2023 tillsynsbegäran.docx", "A 5814-2023")</f>
        <v/>
      </c>
      <c r="Y422">
        <f>HYPERLINK("https://klasma.github.io/Logging_1883/tillsynsmail/A 5814-2023 tillsynsbegäran mail.docx", "A 5814-2023")</f>
        <v/>
      </c>
    </row>
    <row r="423" ht="15" customHeight="1">
      <c r="A423" t="inlineStr">
        <is>
          <t>A 7384-2023</t>
        </is>
      </c>
      <c r="B423" s="1" t="n">
        <v>44966</v>
      </c>
      <c r="C423" s="1" t="n">
        <v>45797</v>
      </c>
      <c r="D423" t="inlineStr">
        <is>
          <t>ÖREBRO LÄN</t>
        </is>
      </c>
      <c r="E423" t="inlineStr">
        <is>
          <t>DEGERFORS</t>
        </is>
      </c>
      <c r="F423" t="inlineStr">
        <is>
          <t>Sveaskog</t>
        </is>
      </c>
      <c r="G423" t="n">
        <v>10.9</v>
      </c>
      <c r="H423" t="n">
        <v>0</v>
      </c>
      <c r="I423" t="n">
        <v>0</v>
      </c>
      <c r="J423" t="n">
        <v>1</v>
      </c>
      <c r="K423" t="n">
        <v>0</v>
      </c>
      <c r="L423" t="n">
        <v>0</v>
      </c>
      <c r="M423" t="n">
        <v>0</v>
      </c>
      <c r="N423" t="n">
        <v>0</v>
      </c>
      <c r="O423" t="n">
        <v>1</v>
      </c>
      <c r="P423" t="n">
        <v>0</v>
      </c>
      <c r="Q423" t="n">
        <v>1</v>
      </c>
      <c r="R423" s="2" t="inlineStr">
        <is>
          <t>Skogsklocka</t>
        </is>
      </c>
      <c r="S423">
        <f>HYPERLINK("https://klasma.github.io/Logging_1862/artfynd/A 7384-2023 artfynd.xlsx", "A 7384-2023")</f>
        <v/>
      </c>
      <c r="T423">
        <f>HYPERLINK("https://klasma.github.io/Logging_1862/kartor/A 7384-2023 karta.png", "A 7384-2023")</f>
        <v/>
      </c>
      <c r="V423">
        <f>HYPERLINK("https://klasma.github.io/Logging_1862/klagomål/A 7384-2023 FSC-klagomål.docx", "A 7384-2023")</f>
        <v/>
      </c>
      <c r="W423">
        <f>HYPERLINK("https://klasma.github.io/Logging_1862/klagomålsmail/A 7384-2023 FSC-klagomål mail.docx", "A 7384-2023")</f>
        <v/>
      </c>
      <c r="X423">
        <f>HYPERLINK("https://klasma.github.io/Logging_1862/tillsyn/A 7384-2023 tillsynsbegäran.docx", "A 7384-2023")</f>
        <v/>
      </c>
      <c r="Y423">
        <f>HYPERLINK("https://klasma.github.io/Logging_1862/tillsynsmail/A 7384-2023 tillsynsbegäran mail.docx", "A 7384-2023")</f>
        <v/>
      </c>
    </row>
    <row r="424" ht="15" customHeight="1">
      <c r="A424" t="inlineStr">
        <is>
          <t>A 7102-2023</t>
        </is>
      </c>
      <c r="B424" s="1" t="n">
        <v>44970</v>
      </c>
      <c r="C424" s="1" t="n">
        <v>45797</v>
      </c>
      <c r="D424" t="inlineStr">
        <is>
          <t>ÖREBRO LÄN</t>
        </is>
      </c>
      <c r="E424" t="inlineStr">
        <is>
          <t>KUMLA</t>
        </is>
      </c>
      <c r="G424" t="n">
        <v>0.8</v>
      </c>
      <c r="H424" t="n">
        <v>1</v>
      </c>
      <c r="I424" t="n">
        <v>0</v>
      </c>
      <c r="J424" t="n">
        <v>1</v>
      </c>
      <c r="K424" t="n">
        <v>0</v>
      </c>
      <c r="L424" t="n">
        <v>0</v>
      </c>
      <c r="M424" t="n">
        <v>0</v>
      </c>
      <c r="N424" t="n">
        <v>0</v>
      </c>
      <c r="O424" t="n">
        <v>1</v>
      </c>
      <c r="P424" t="n">
        <v>0</v>
      </c>
      <c r="Q424" t="n">
        <v>1</v>
      </c>
      <c r="R424" s="2" t="inlineStr">
        <is>
          <t>Grönsångare</t>
        </is>
      </c>
      <c r="S424">
        <f>HYPERLINK("https://klasma.github.io/Logging_1881/artfynd/A 7102-2023 artfynd.xlsx", "A 7102-2023")</f>
        <v/>
      </c>
      <c r="T424">
        <f>HYPERLINK("https://klasma.github.io/Logging_1881/kartor/A 7102-2023 karta.png", "A 7102-2023")</f>
        <v/>
      </c>
      <c r="V424">
        <f>HYPERLINK("https://klasma.github.io/Logging_1881/klagomål/A 7102-2023 FSC-klagomål.docx", "A 7102-2023")</f>
        <v/>
      </c>
      <c r="W424">
        <f>HYPERLINK("https://klasma.github.io/Logging_1881/klagomålsmail/A 7102-2023 FSC-klagomål mail.docx", "A 7102-2023")</f>
        <v/>
      </c>
      <c r="X424">
        <f>HYPERLINK("https://klasma.github.io/Logging_1881/tillsyn/A 7102-2023 tillsynsbegäran.docx", "A 7102-2023")</f>
        <v/>
      </c>
      <c r="Y424">
        <f>HYPERLINK("https://klasma.github.io/Logging_1881/tillsynsmail/A 7102-2023 tillsynsbegäran mail.docx", "A 7102-2023")</f>
        <v/>
      </c>
      <c r="Z424">
        <f>HYPERLINK("https://klasma.github.io/Logging_1881/fåglar/A 7102-2023 prioriterade fågelarter.docx", "A 7102-2023")</f>
        <v/>
      </c>
    </row>
    <row r="425" ht="15" customHeight="1">
      <c r="A425" t="inlineStr">
        <is>
          <t>A 7423-2023</t>
        </is>
      </c>
      <c r="B425" s="1" t="n">
        <v>44971</v>
      </c>
      <c r="C425" s="1" t="n">
        <v>45797</v>
      </c>
      <c r="D425" t="inlineStr">
        <is>
          <t>ÖREBRO LÄN</t>
        </is>
      </c>
      <c r="E425" t="inlineStr">
        <is>
          <t>LEKEBERG</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HYPERLINK("https://klasma.github.io/Logging_1814/artfynd/A 7423-2023 artfynd.xlsx", "A 7423-2023")</f>
        <v/>
      </c>
      <c r="T425">
        <f>HYPERLINK("https://klasma.github.io/Logging_1814/kartor/A 7423-2023 karta.png", "A 7423-2023")</f>
        <v/>
      </c>
      <c r="V425">
        <f>HYPERLINK("https://klasma.github.io/Logging_1814/klagomål/A 7423-2023 FSC-klagomål.docx", "A 7423-2023")</f>
        <v/>
      </c>
      <c r="W425">
        <f>HYPERLINK("https://klasma.github.io/Logging_1814/klagomålsmail/A 7423-2023 FSC-klagomål mail.docx", "A 7423-2023")</f>
        <v/>
      </c>
      <c r="X425">
        <f>HYPERLINK("https://klasma.github.io/Logging_1814/tillsyn/A 7423-2023 tillsynsbegäran.docx", "A 7423-2023")</f>
        <v/>
      </c>
      <c r="Y425">
        <f>HYPERLINK("https://klasma.github.io/Logging_1814/tillsynsmail/A 7423-2023 tillsynsbegäran mail.docx", "A 7423-2023")</f>
        <v/>
      </c>
    </row>
    <row r="426" ht="15" customHeight="1">
      <c r="A426" t="inlineStr">
        <is>
          <t>A 8341-2023</t>
        </is>
      </c>
      <c r="B426" s="1" t="n">
        <v>44976</v>
      </c>
      <c r="C426" s="1" t="n">
        <v>45797</v>
      </c>
      <c r="D426" t="inlineStr">
        <is>
          <t>ÖREBRO LÄN</t>
        </is>
      </c>
      <c r="E426" t="inlineStr">
        <is>
          <t>HALLSBERG</t>
        </is>
      </c>
      <c r="F426" t="inlineStr">
        <is>
          <t>Sveaskog</t>
        </is>
      </c>
      <c r="G426" t="n">
        <v>5</v>
      </c>
      <c r="H426" t="n">
        <v>0</v>
      </c>
      <c r="I426" t="n">
        <v>0</v>
      </c>
      <c r="J426" t="n">
        <v>1</v>
      </c>
      <c r="K426" t="n">
        <v>0</v>
      </c>
      <c r="L426" t="n">
        <v>0</v>
      </c>
      <c r="M426" t="n">
        <v>0</v>
      </c>
      <c r="N426" t="n">
        <v>0</v>
      </c>
      <c r="O426" t="n">
        <v>1</v>
      </c>
      <c r="P426" t="n">
        <v>0</v>
      </c>
      <c r="Q426" t="n">
        <v>1</v>
      </c>
      <c r="R426" s="2" t="inlineStr">
        <is>
          <t>Tallticka</t>
        </is>
      </c>
      <c r="S426">
        <f>HYPERLINK("https://klasma.github.io/Logging_1861/artfynd/A 8341-2023 artfynd.xlsx", "A 8341-2023")</f>
        <v/>
      </c>
      <c r="T426">
        <f>HYPERLINK("https://klasma.github.io/Logging_1861/kartor/A 8341-2023 karta.png", "A 8341-2023")</f>
        <v/>
      </c>
      <c r="V426">
        <f>HYPERLINK("https://klasma.github.io/Logging_1861/klagomål/A 8341-2023 FSC-klagomål.docx", "A 8341-2023")</f>
        <v/>
      </c>
      <c r="W426">
        <f>HYPERLINK("https://klasma.github.io/Logging_1861/klagomålsmail/A 8341-2023 FSC-klagomål mail.docx", "A 8341-2023")</f>
        <v/>
      </c>
      <c r="X426">
        <f>HYPERLINK("https://klasma.github.io/Logging_1861/tillsyn/A 8341-2023 tillsynsbegäran.docx", "A 8341-2023")</f>
        <v/>
      </c>
      <c r="Y426">
        <f>HYPERLINK("https://klasma.github.io/Logging_1861/tillsynsmail/A 8341-2023 tillsynsbegäran mail.docx", "A 8341-2023")</f>
        <v/>
      </c>
    </row>
    <row r="427" ht="15" customHeight="1">
      <c r="A427" t="inlineStr">
        <is>
          <t>A 8950-2023</t>
        </is>
      </c>
      <c r="B427" s="1" t="n">
        <v>44979</v>
      </c>
      <c r="C427" s="1" t="n">
        <v>45797</v>
      </c>
      <c r="D427" t="inlineStr">
        <is>
          <t>ÖREBRO LÄN</t>
        </is>
      </c>
      <c r="E427" t="inlineStr">
        <is>
          <t>LINDESBERG</t>
        </is>
      </c>
      <c r="G427" t="n">
        <v>27</v>
      </c>
      <c r="H427" t="n">
        <v>1</v>
      </c>
      <c r="I427" t="n">
        <v>0</v>
      </c>
      <c r="J427" t="n">
        <v>1</v>
      </c>
      <c r="K427" t="n">
        <v>0</v>
      </c>
      <c r="L427" t="n">
        <v>0</v>
      </c>
      <c r="M427" t="n">
        <v>0</v>
      </c>
      <c r="N427" t="n">
        <v>0</v>
      </c>
      <c r="O427" t="n">
        <v>1</v>
      </c>
      <c r="P427" t="n">
        <v>0</v>
      </c>
      <c r="Q427" t="n">
        <v>1</v>
      </c>
      <c r="R427" s="2" t="inlineStr">
        <is>
          <t>Tretåig hackspett</t>
        </is>
      </c>
      <c r="S427">
        <f>HYPERLINK("https://klasma.github.io/Logging_1885/artfynd/A 8950-2023 artfynd.xlsx", "A 8950-2023")</f>
        <v/>
      </c>
      <c r="T427">
        <f>HYPERLINK("https://klasma.github.io/Logging_1885/kartor/A 8950-2023 karta.png", "A 8950-2023")</f>
        <v/>
      </c>
      <c r="V427">
        <f>HYPERLINK("https://klasma.github.io/Logging_1885/klagomål/A 8950-2023 FSC-klagomål.docx", "A 8950-2023")</f>
        <v/>
      </c>
      <c r="W427">
        <f>HYPERLINK("https://klasma.github.io/Logging_1885/klagomålsmail/A 8950-2023 FSC-klagomål mail.docx", "A 8950-2023")</f>
        <v/>
      </c>
      <c r="X427">
        <f>HYPERLINK("https://klasma.github.io/Logging_1885/tillsyn/A 8950-2023 tillsynsbegäran.docx", "A 8950-2023")</f>
        <v/>
      </c>
      <c r="Y427">
        <f>HYPERLINK("https://klasma.github.io/Logging_1885/tillsynsmail/A 8950-2023 tillsynsbegäran mail.docx", "A 8950-2023")</f>
        <v/>
      </c>
      <c r="Z427">
        <f>HYPERLINK("https://klasma.github.io/Logging_1885/fåglar/A 8950-2023 prioriterade fågelarter.docx", "A 8950-2023")</f>
        <v/>
      </c>
    </row>
    <row r="428" ht="15" customHeight="1">
      <c r="A428" t="inlineStr">
        <is>
          <t>A 11498-2023</t>
        </is>
      </c>
      <c r="B428" s="1" t="n">
        <v>44993</v>
      </c>
      <c r="C428" s="1" t="n">
        <v>45797</v>
      </c>
      <c r="D428" t="inlineStr">
        <is>
          <t>ÖREBRO LÄN</t>
        </is>
      </c>
      <c r="E428" t="inlineStr">
        <is>
          <t>ASKERSUND</t>
        </is>
      </c>
      <c r="G428" t="n">
        <v>3.8</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11498-2023 artfynd.xlsx", "A 11498-2023")</f>
        <v/>
      </c>
      <c r="T428">
        <f>HYPERLINK("https://klasma.github.io/Logging_1882/kartor/A 11498-2023 karta.png", "A 11498-2023")</f>
        <v/>
      </c>
      <c r="V428">
        <f>HYPERLINK("https://klasma.github.io/Logging_1882/klagomål/A 11498-2023 FSC-klagomål.docx", "A 11498-2023")</f>
        <v/>
      </c>
      <c r="W428">
        <f>HYPERLINK("https://klasma.github.io/Logging_1882/klagomålsmail/A 11498-2023 FSC-klagomål mail.docx", "A 11498-2023")</f>
        <v/>
      </c>
      <c r="X428">
        <f>HYPERLINK("https://klasma.github.io/Logging_1882/tillsyn/A 11498-2023 tillsynsbegäran.docx", "A 11498-2023")</f>
        <v/>
      </c>
      <c r="Y428">
        <f>HYPERLINK("https://klasma.github.io/Logging_1882/tillsynsmail/A 11498-2023 tillsynsbegäran mail.docx", "A 11498-2023")</f>
        <v/>
      </c>
    </row>
    <row r="429" ht="15" customHeight="1">
      <c r="A429" t="inlineStr">
        <is>
          <t>A 11519-2023</t>
        </is>
      </c>
      <c r="B429" s="1" t="n">
        <v>44993</v>
      </c>
      <c r="C429" s="1" t="n">
        <v>45797</v>
      </c>
      <c r="D429" t="inlineStr">
        <is>
          <t>ÖREBRO LÄN</t>
        </is>
      </c>
      <c r="E429" t="inlineStr">
        <is>
          <t>ASKERSUND</t>
        </is>
      </c>
      <c r="G429" t="n">
        <v>2</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11519-2023 artfynd.xlsx", "A 11519-2023")</f>
        <v/>
      </c>
      <c r="T429">
        <f>HYPERLINK("https://klasma.github.io/Logging_1882/kartor/A 11519-2023 karta.png", "A 11519-2023")</f>
        <v/>
      </c>
      <c r="V429">
        <f>HYPERLINK("https://klasma.github.io/Logging_1882/klagomål/A 11519-2023 FSC-klagomål.docx", "A 11519-2023")</f>
        <v/>
      </c>
      <c r="W429">
        <f>HYPERLINK("https://klasma.github.io/Logging_1882/klagomålsmail/A 11519-2023 FSC-klagomål mail.docx", "A 11519-2023")</f>
        <v/>
      </c>
      <c r="X429">
        <f>HYPERLINK("https://klasma.github.io/Logging_1882/tillsyn/A 11519-2023 tillsynsbegäran.docx", "A 11519-2023")</f>
        <v/>
      </c>
      <c r="Y429">
        <f>HYPERLINK("https://klasma.github.io/Logging_1882/tillsynsmail/A 11519-2023 tillsynsbegäran mail.docx", "A 11519-2023")</f>
        <v/>
      </c>
    </row>
    <row r="430" ht="15" customHeight="1">
      <c r="A430" t="inlineStr">
        <is>
          <t>A 11528-2023</t>
        </is>
      </c>
      <c r="B430" s="1" t="n">
        <v>44993</v>
      </c>
      <c r="C430" s="1" t="n">
        <v>45797</v>
      </c>
      <c r="D430" t="inlineStr">
        <is>
          <t>ÖREBRO LÄN</t>
        </is>
      </c>
      <c r="E430" t="inlineStr">
        <is>
          <t>LEKEBERG</t>
        </is>
      </c>
      <c r="G430" t="n">
        <v>1.2</v>
      </c>
      <c r="H430" t="n">
        <v>0</v>
      </c>
      <c r="I430" t="n">
        <v>1</v>
      </c>
      <c r="J430" t="n">
        <v>0</v>
      </c>
      <c r="K430" t="n">
        <v>0</v>
      </c>
      <c r="L430" t="n">
        <v>0</v>
      </c>
      <c r="M430" t="n">
        <v>0</v>
      </c>
      <c r="N430" t="n">
        <v>0</v>
      </c>
      <c r="O430" t="n">
        <v>0</v>
      </c>
      <c r="P430" t="n">
        <v>0</v>
      </c>
      <c r="Q430" t="n">
        <v>1</v>
      </c>
      <c r="R430" s="2" t="inlineStr">
        <is>
          <t>Tibast</t>
        </is>
      </c>
      <c r="S430">
        <f>HYPERLINK("https://klasma.github.io/Logging_1814/artfynd/A 11528-2023 artfynd.xlsx", "A 11528-2023")</f>
        <v/>
      </c>
      <c r="T430">
        <f>HYPERLINK("https://klasma.github.io/Logging_1814/kartor/A 11528-2023 karta.png", "A 11528-2023")</f>
        <v/>
      </c>
      <c r="V430">
        <f>HYPERLINK("https://klasma.github.io/Logging_1814/klagomål/A 11528-2023 FSC-klagomål.docx", "A 11528-2023")</f>
        <v/>
      </c>
      <c r="W430">
        <f>HYPERLINK("https://klasma.github.io/Logging_1814/klagomålsmail/A 11528-2023 FSC-klagomål mail.docx", "A 11528-2023")</f>
        <v/>
      </c>
      <c r="X430">
        <f>HYPERLINK("https://klasma.github.io/Logging_1814/tillsyn/A 11528-2023 tillsynsbegäran.docx", "A 11528-2023")</f>
        <v/>
      </c>
      <c r="Y430">
        <f>HYPERLINK("https://klasma.github.io/Logging_1814/tillsynsmail/A 11528-2023 tillsynsbegäran mail.docx", "A 11528-2023")</f>
        <v/>
      </c>
    </row>
    <row r="431" ht="15" customHeight="1">
      <c r="A431" t="inlineStr">
        <is>
          <t>A 13183-2023</t>
        </is>
      </c>
      <c r="B431" s="1" t="n">
        <v>45002</v>
      </c>
      <c r="C431" s="1" t="n">
        <v>45797</v>
      </c>
      <c r="D431" t="inlineStr">
        <is>
          <t>ÖREBRO LÄN</t>
        </is>
      </c>
      <c r="E431" t="inlineStr">
        <is>
          <t>HALLSBERG</t>
        </is>
      </c>
      <c r="F431" t="inlineStr">
        <is>
          <t>Allmännings- och besparingsskogar</t>
        </is>
      </c>
      <c r="G431" t="n">
        <v>3.2</v>
      </c>
      <c r="H431" t="n">
        <v>0</v>
      </c>
      <c r="I431" t="n">
        <v>1</v>
      </c>
      <c r="J431" t="n">
        <v>0</v>
      </c>
      <c r="K431" t="n">
        <v>0</v>
      </c>
      <c r="L431" t="n">
        <v>0</v>
      </c>
      <c r="M431" t="n">
        <v>0</v>
      </c>
      <c r="N431" t="n">
        <v>0</v>
      </c>
      <c r="O431" t="n">
        <v>0</v>
      </c>
      <c r="P431" t="n">
        <v>0</v>
      </c>
      <c r="Q431" t="n">
        <v>1</v>
      </c>
      <c r="R431" s="2" t="inlineStr">
        <is>
          <t>Ögonpyrola</t>
        </is>
      </c>
      <c r="S431">
        <f>HYPERLINK("https://klasma.github.io/Logging_1861/artfynd/A 13183-2023 artfynd.xlsx", "A 13183-2023")</f>
        <v/>
      </c>
      <c r="T431">
        <f>HYPERLINK("https://klasma.github.io/Logging_1861/kartor/A 13183-2023 karta.png", "A 13183-2023")</f>
        <v/>
      </c>
      <c r="V431">
        <f>HYPERLINK("https://klasma.github.io/Logging_1861/klagomål/A 13183-2023 FSC-klagomål.docx", "A 13183-2023")</f>
        <v/>
      </c>
      <c r="W431">
        <f>HYPERLINK("https://klasma.github.io/Logging_1861/klagomålsmail/A 13183-2023 FSC-klagomål mail.docx", "A 13183-2023")</f>
        <v/>
      </c>
      <c r="X431">
        <f>HYPERLINK("https://klasma.github.io/Logging_1861/tillsyn/A 13183-2023 tillsynsbegäran.docx", "A 13183-2023")</f>
        <v/>
      </c>
      <c r="Y431">
        <f>HYPERLINK("https://klasma.github.io/Logging_1861/tillsynsmail/A 13183-2023 tillsynsbegäran mail.docx", "A 13183-2023")</f>
        <v/>
      </c>
    </row>
    <row r="432" ht="15" customHeight="1">
      <c r="A432" t="inlineStr">
        <is>
          <t>A 13233-2023</t>
        </is>
      </c>
      <c r="B432" s="1" t="n">
        <v>45002</v>
      </c>
      <c r="C432" s="1" t="n">
        <v>45797</v>
      </c>
      <c r="D432" t="inlineStr">
        <is>
          <t>ÖREBRO LÄN</t>
        </is>
      </c>
      <c r="E432" t="inlineStr">
        <is>
          <t>LJUSNARSBERG</t>
        </is>
      </c>
      <c r="G432" t="n">
        <v>6</v>
      </c>
      <c r="H432" t="n">
        <v>0</v>
      </c>
      <c r="I432" t="n">
        <v>0</v>
      </c>
      <c r="J432" t="n">
        <v>0</v>
      </c>
      <c r="K432" t="n">
        <v>1</v>
      </c>
      <c r="L432" t="n">
        <v>0</v>
      </c>
      <c r="M432" t="n">
        <v>0</v>
      </c>
      <c r="N432" t="n">
        <v>0</v>
      </c>
      <c r="O432" t="n">
        <v>1</v>
      </c>
      <c r="P432" t="n">
        <v>1</v>
      </c>
      <c r="Q432" t="n">
        <v>1</v>
      </c>
      <c r="R432" s="2" t="inlineStr">
        <is>
          <t>Tunnvingemätare</t>
        </is>
      </c>
      <c r="S432">
        <f>HYPERLINK("https://klasma.github.io/Logging_1864/artfynd/A 13233-2023 artfynd.xlsx", "A 13233-2023")</f>
        <v/>
      </c>
      <c r="T432">
        <f>HYPERLINK("https://klasma.github.io/Logging_1864/kartor/A 13233-2023 karta.png", "A 13233-2023")</f>
        <v/>
      </c>
      <c r="V432">
        <f>HYPERLINK("https://klasma.github.io/Logging_1864/klagomål/A 13233-2023 FSC-klagomål.docx", "A 13233-2023")</f>
        <v/>
      </c>
      <c r="W432">
        <f>HYPERLINK("https://klasma.github.io/Logging_1864/klagomålsmail/A 13233-2023 FSC-klagomål mail.docx", "A 13233-2023")</f>
        <v/>
      </c>
      <c r="X432">
        <f>HYPERLINK("https://klasma.github.io/Logging_1864/tillsyn/A 13233-2023 tillsynsbegäran.docx", "A 13233-2023")</f>
        <v/>
      </c>
      <c r="Y432">
        <f>HYPERLINK("https://klasma.github.io/Logging_1864/tillsynsmail/A 13233-2023 tillsynsbegäran mail.docx", "A 13233-2023")</f>
        <v/>
      </c>
    </row>
    <row r="433" ht="15" customHeight="1">
      <c r="A433" t="inlineStr">
        <is>
          <t>A 13844-2023</t>
        </is>
      </c>
      <c r="B433" s="1" t="n">
        <v>45007</v>
      </c>
      <c r="C433" s="1" t="n">
        <v>45797</v>
      </c>
      <c r="D433" t="inlineStr">
        <is>
          <t>ÖREBRO LÄN</t>
        </is>
      </c>
      <c r="E433" t="inlineStr">
        <is>
          <t>HALLSBERG</t>
        </is>
      </c>
      <c r="G433" t="n">
        <v>2.2</v>
      </c>
      <c r="H433" t="n">
        <v>1</v>
      </c>
      <c r="I433" t="n">
        <v>0</v>
      </c>
      <c r="J433" t="n">
        <v>0</v>
      </c>
      <c r="K433" t="n">
        <v>0</v>
      </c>
      <c r="L433" t="n">
        <v>0</v>
      </c>
      <c r="M433" t="n">
        <v>0</v>
      </c>
      <c r="N433" t="n">
        <v>0</v>
      </c>
      <c r="O433" t="n">
        <v>0</v>
      </c>
      <c r="P433" t="n">
        <v>0</v>
      </c>
      <c r="Q433" t="n">
        <v>1</v>
      </c>
      <c r="R433" s="2" t="inlineStr">
        <is>
          <t>Revlummer</t>
        </is>
      </c>
      <c r="S433">
        <f>HYPERLINK("https://klasma.github.io/Logging_1861/artfynd/A 13844-2023 artfynd.xlsx", "A 13844-2023")</f>
        <v/>
      </c>
      <c r="T433">
        <f>HYPERLINK("https://klasma.github.io/Logging_1861/kartor/A 13844-2023 karta.png", "A 13844-2023")</f>
        <v/>
      </c>
      <c r="V433">
        <f>HYPERLINK("https://klasma.github.io/Logging_1861/klagomål/A 13844-2023 FSC-klagomål.docx", "A 13844-2023")</f>
        <v/>
      </c>
      <c r="W433">
        <f>HYPERLINK("https://klasma.github.io/Logging_1861/klagomålsmail/A 13844-2023 FSC-klagomål mail.docx", "A 13844-2023")</f>
        <v/>
      </c>
      <c r="X433">
        <f>HYPERLINK("https://klasma.github.io/Logging_1861/tillsyn/A 13844-2023 tillsynsbegäran.docx", "A 13844-2023")</f>
        <v/>
      </c>
      <c r="Y433">
        <f>HYPERLINK("https://klasma.github.io/Logging_1861/tillsynsmail/A 13844-2023 tillsynsbegäran mail.docx", "A 13844-2023")</f>
        <v/>
      </c>
    </row>
    <row r="434" ht="15" customHeight="1">
      <c r="A434" t="inlineStr">
        <is>
          <t>A 14542-2023</t>
        </is>
      </c>
      <c r="B434" s="1" t="n">
        <v>45013</v>
      </c>
      <c r="C434" s="1" t="n">
        <v>45797</v>
      </c>
      <c r="D434" t="inlineStr">
        <is>
          <t>ÖREBRO LÄN</t>
        </is>
      </c>
      <c r="E434" t="inlineStr">
        <is>
          <t>HALLSBERG</t>
        </is>
      </c>
      <c r="F434" t="inlineStr">
        <is>
          <t>Allmännings- och besparingsskogar</t>
        </is>
      </c>
      <c r="G434" t="n">
        <v>20.7</v>
      </c>
      <c r="H434" t="n">
        <v>0</v>
      </c>
      <c r="I434" t="n">
        <v>1</v>
      </c>
      <c r="J434" t="n">
        <v>0</v>
      </c>
      <c r="K434" t="n">
        <v>0</v>
      </c>
      <c r="L434" t="n">
        <v>0</v>
      </c>
      <c r="M434" t="n">
        <v>0</v>
      </c>
      <c r="N434" t="n">
        <v>0</v>
      </c>
      <c r="O434" t="n">
        <v>0</v>
      </c>
      <c r="P434" t="n">
        <v>0</v>
      </c>
      <c r="Q434" t="n">
        <v>1</v>
      </c>
      <c r="R434" s="2" t="inlineStr">
        <is>
          <t>Dvärgtufs</t>
        </is>
      </c>
      <c r="S434">
        <f>HYPERLINK("https://klasma.github.io/Logging_1861/artfynd/A 14542-2023 artfynd.xlsx", "A 14542-2023")</f>
        <v/>
      </c>
      <c r="T434">
        <f>HYPERLINK("https://klasma.github.io/Logging_1861/kartor/A 14542-2023 karta.png", "A 14542-2023")</f>
        <v/>
      </c>
      <c r="V434">
        <f>HYPERLINK("https://klasma.github.io/Logging_1861/klagomål/A 14542-2023 FSC-klagomål.docx", "A 14542-2023")</f>
        <v/>
      </c>
      <c r="W434">
        <f>HYPERLINK("https://klasma.github.io/Logging_1861/klagomålsmail/A 14542-2023 FSC-klagomål mail.docx", "A 14542-2023")</f>
        <v/>
      </c>
      <c r="X434">
        <f>HYPERLINK("https://klasma.github.io/Logging_1861/tillsyn/A 14542-2023 tillsynsbegäran.docx", "A 14542-2023")</f>
        <v/>
      </c>
      <c r="Y434">
        <f>HYPERLINK("https://klasma.github.io/Logging_1861/tillsynsmail/A 14542-2023 tillsynsbegäran mail.docx", "A 14542-2023")</f>
        <v/>
      </c>
    </row>
    <row r="435" ht="15" customHeight="1">
      <c r="A435" t="inlineStr">
        <is>
          <t>A 14534-2023</t>
        </is>
      </c>
      <c r="B435" s="1" t="n">
        <v>45013</v>
      </c>
      <c r="C435" s="1" t="n">
        <v>45797</v>
      </c>
      <c r="D435" t="inlineStr">
        <is>
          <t>ÖREBRO LÄN</t>
        </is>
      </c>
      <c r="E435" t="inlineStr">
        <is>
          <t>HALLSBERG</t>
        </is>
      </c>
      <c r="G435" t="n">
        <v>7.1</v>
      </c>
      <c r="H435" t="n">
        <v>0</v>
      </c>
      <c r="I435" t="n">
        <v>1</v>
      </c>
      <c r="J435" t="n">
        <v>0</v>
      </c>
      <c r="K435" t="n">
        <v>0</v>
      </c>
      <c r="L435" t="n">
        <v>0</v>
      </c>
      <c r="M435" t="n">
        <v>0</v>
      </c>
      <c r="N435" t="n">
        <v>0</v>
      </c>
      <c r="O435" t="n">
        <v>0</v>
      </c>
      <c r="P435" t="n">
        <v>0</v>
      </c>
      <c r="Q435" t="n">
        <v>1</v>
      </c>
      <c r="R435" s="2" t="inlineStr">
        <is>
          <t>Dropptaggsvamp</t>
        </is>
      </c>
      <c r="S435">
        <f>HYPERLINK("https://klasma.github.io/Logging_1861/artfynd/A 14534-2023 artfynd.xlsx", "A 14534-2023")</f>
        <v/>
      </c>
      <c r="T435">
        <f>HYPERLINK("https://klasma.github.io/Logging_1861/kartor/A 14534-2023 karta.png", "A 14534-2023")</f>
        <v/>
      </c>
      <c r="V435">
        <f>HYPERLINK("https://klasma.github.io/Logging_1861/klagomål/A 14534-2023 FSC-klagomål.docx", "A 14534-2023")</f>
        <v/>
      </c>
      <c r="W435">
        <f>HYPERLINK("https://klasma.github.io/Logging_1861/klagomålsmail/A 14534-2023 FSC-klagomål mail.docx", "A 14534-2023")</f>
        <v/>
      </c>
      <c r="X435">
        <f>HYPERLINK("https://klasma.github.io/Logging_1861/tillsyn/A 14534-2023 tillsynsbegäran.docx", "A 14534-2023")</f>
        <v/>
      </c>
      <c r="Y435">
        <f>HYPERLINK("https://klasma.github.io/Logging_1861/tillsynsmail/A 14534-2023 tillsynsbegäran mail.docx", "A 14534-2023")</f>
        <v/>
      </c>
    </row>
    <row r="436" ht="15" customHeight="1">
      <c r="A436" t="inlineStr">
        <is>
          <t>A 15977-2023</t>
        </is>
      </c>
      <c r="B436" s="1" t="n">
        <v>45022</v>
      </c>
      <c r="C436" s="1" t="n">
        <v>45797</v>
      </c>
      <c r="D436" t="inlineStr">
        <is>
          <t>ÖREBRO LÄN</t>
        </is>
      </c>
      <c r="E436" t="inlineStr">
        <is>
          <t>HALLSBERG</t>
        </is>
      </c>
      <c r="G436" t="n">
        <v>4.9</v>
      </c>
      <c r="H436" t="n">
        <v>1</v>
      </c>
      <c r="I436" t="n">
        <v>0</v>
      </c>
      <c r="J436" t="n">
        <v>1</v>
      </c>
      <c r="K436" t="n">
        <v>0</v>
      </c>
      <c r="L436" t="n">
        <v>0</v>
      </c>
      <c r="M436" t="n">
        <v>0</v>
      </c>
      <c r="N436" t="n">
        <v>0</v>
      </c>
      <c r="O436" t="n">
        <v>1</v>
      </c>
      <c r="P436" t="n">
        <v>0</v>
      </c>
      <c r="Q436" t="n">
        <v>1</v>
      </c>
      <c r="R436" s="2" t="inlineStr">
        <is>
          <t>Entita</t>
        </is>
      </c>
      <c r="S436">
        <f>HYPERLINK("https://klasma.github.io/Logging_1861/artfynd/A 15977-2023 artfynd.xlsx", "A 15977-2023")</f>
        <v/>
      </c>
      <c r="T436">
        <f>HYPERLINK("https://klasma.github.io/Logging_1861/kartor/A 15977-2023 karta.png", "A 15977-2023")</f>
        <v/>
      </c>
      <c r="V436">
        <f>HYPERLINK("https://klasma.github.io/Logging_1861/klagomål/A 15977-2023 FSC-klagomål.docx", "A 15977-2023")</f>
        <v/>
      </c>
      <c r="W436">
        <f>HYPERLINK("https://klasma.github.io/Logging_1861/klagomålsmail/A 15977-2023 FSC-klagomål mail.docx", "A 15977-2023")</f>
        <v/>
      </c>
      <c r="X436">
        <f>HYPERLINK("https://klasma.github.io/Logging_1861/tillsyn/A 15977-2023 tillsynsbegäran.docx", "A 15977-2023")</f>
        <v/>
      </c>
      <c r="Y436">
        <f>HYPERLINK("https://klasma.github.io/Logging_1861/tillsynsmail/A 15977-2023 tillsynsbegäran mail.docx", "A 15977-2023")</f>
        <v/>
      </c>
      <c r="Z436">
        <f>HYPERLINK("https://klasma.github.io/Logging_1861/fåglar/A 15977-2023 prioriterade fågelarter.docx", "A 15977-2023")</f>
        <v/>
      </c>
    </row>
    <row r="437" ht="15" customHeight="1">
      <c r="A437" t="inlineStr">
        <is>
          <t>A 16677-2023</t>
        </is>
      </c>
      <c r="B437" s="1" t="n">
        <v>45030</v>
      </c>
      <c r="C437" s="1" t="n">
        <v>45797</v>
      </c>
      <c r="D437" t="inlineStr">
        <is>
          <t>ÖREBRO LÄN</t>
        </is>
      </c>
      <c r="E437" t="inlineStr">
        <is>
          <t>ASKERSUND</t>
        </is>
      </c>
      <c r="G437" t="n">
        <v>0.9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16677-2023 artfynd.xlsx", "A 16677-2023")</f>
        <v/>
      </c>
      <c r="T437">
        <f>HYPERLINK("https://klasma.github.io/Logging_1882/kartor/A 16677-2023 karta.png", "A 16677-2023")</f>
        <v/>
      </c>
      <c r="V437">
        <f>HYPERLINK("https://klasma.github.io/Logging_1882/klagomål/A 16677-2023 FSC-klagomål.docx", "A 16677-2023")</f>
        <v/>
      </c>
      <c r="W437">
        <f>HYPERLINK("https://klasma.github.io/Logging_1882/klagomålsmail/A 16677-2023 FSC-klagomål mail.docx", "A 16677-2023")</f>
        <v/>
      </c>
      <c r="X437">
        <f>HYPERLINK("https://klasma.github.io/Logging_1882/tillsyn/A 16677-2023 tillsynsbegäran.docx", "A 16677-2023")</f>
        <v/>
      </c>
      <c r="Y437">
        <f>HYPERLINK("https://klasma.github.io/Logging_1882/tillsynsmail/A 16677-2023 tillsynsbegäran mail.docx", "A 16677-2023")</f>
        <v/>
      </c>
    </row>
    <row r="438" ht="15" customHeight="1">
      <c r="A438" t="inlineStr">
        <is>
          <t>A 17018-2023</t>
        </is>
      </c>
      <c r="B438" s="1" t="n">
        <v>45034</v>
      </c>
      <c r="C438" s="1" t="n">
        <v>45797</v>
      </c>
      <c r="D438" t="inlineStr">
        <is>
          <t>ÖREBRO LÄN</t>
        </is>
      </c>
      <c r="E438" t="inlineStr">
        <is>
          <t>HALLSBERG</t>
        </is>
      </c>
      <c r="G438" t="n">
        <v>5.6</v>
      </c>
      <c r="H438" t="n">
        <v>1</v>
      </c>
      <c r="I438" t="n">
        <v>0</v>
      </c>
      <c r="J438" t="n">
        <v>0</v>
      </c>
      <c r="K438" t="n">
        <v>0</v>
      </c>
      <c r="L438" t="n">
        <v>0</v>
      </c>
      <c r="M438" t="n">
        <v>0</v>
      </c>
      <c r="N438" t="n">
        <v>0</v>
      </c>
      <c r="O438" t="n">
        <v>0</v>
      </c>
      <c r="P438" t="n">
        <v>0</v>
      </c>
      <c r="Q438" t="n">
        <v>1</v>
      </c>
      <c r="R438" s="2" t="inlineStr">
        <is>
          <t>Gullviva</t>
        </is>
      </c>
      <c r="S438">
        <f>HYPERLINK("https://klasma.github.io/Logging_1861/artfynd/A 17018-2023 artfynd.xlsx", "A 17018-2023")</f>
        <v/>
      </c>
      <c r="T438">
        <f>HYPERLINK("https://klasma.github.io/Logging_1861/kartor/A 17018-2023 karta.png", "A 17018-2023")</f>
        <v/>
      </c>
      <c r="V438">
        <f>HYPERLINK("https://klasma.github.io/Logging_1861/klagomål/A 17018-2023 FSC-klagomål.docx", "A 17018-2023")</f>
        <v/>
      </c>
      <c r="W438">
        <f>HYPERLINK("https://klasma.github.io/Logging_1861/klagomålsmail/A 17018-2023 FSC-klagomål mail.docx", "A 17018-2023")</f>
        <v/>
      </c>
      <c r="X438">
        <f>HYPERLINK("https://klasma.github.io/Logging_1861/tillsyn/A 17018-2023 tillsynsbegäran.docx", "A 17018-2023")</f>
        <v/>
      </c>
      <c r="Y438">
        <f>HYPERLINK("https://klasma.github.io/Logging_1861/tillsynsmail/A 17018-2023 tillsynsbegäran mail.docx", "A 17018-2023")</f>
        <v/>
      </c>
    </row>
    <row r="439" ht="15" customHeight="1">
      <c r="A439" t="inlineStr">
        <is>
          <t>A 19939-2023</t>
        </is>
      </c>
      <c r="B439" s="1" t="n">
        <v>45054</v>
      </c>
      <c r="C439" s="1" t="n">
        <v>45797</v>
      </c>
      <c r="D439" t="inlineStr">
        <is>
          <t>ÖREBRO LÄN</t>
        </is>
      </c>
      <c r="E439" t="inlineStr">
        <is>
          <t>ÖREBRO</t>
        </is>
      </c>
      <c r="G439" t="n">
        <v>5.4</v>
      </c>
      <c r="H439" t="n">
        <v>0</v>
      </c>
      <c r="I439" t="n">
        <v>1</v>
      </c>
      <c r="J439" t="n">
        <v>0</v>
      </c>
      <c r="K439" t="n">
        <v>0</v>
      </c>
      <c r="L439" t="n">
        <v>0</v>
      </c>
      <c r="M439" t="n">
        <v>0</v>
      </c>
      <c r="N439" t="n">
        <v>0</v>
      </c>
      <c r="O439" t="n">
        <v>0</v>
      </c>
      <c r="P439" t="n">
        <v>0</v>
      </c>
      <c r="Q439" t="n">
        <v>1</v>
      </c>
      <c r="R439" s="2" t="inlineStr">
        <is>
          <t>Kambräken</t>
        </is>
      </c>
      <c r="S439">
        <f>HYPERLINK("https://klasma.github.io/Logging_1880/artfynd/A 19939-2023 artfynd.xlsx", "A 19939-2023")</f>
        <v/>
      </c>
      <c r="T439">
        <f>HYPERLINK("https://klasma.github.io/Logging_1880/kartor/A 19939-2023 karta.png", "A 19939-2023")</f>
        <v/>
      </c>
      <c r="V439">
        <f>HYPERLINK("https://klasma.github.io/Logging_1880/klagomål/A 19939-2023 FSC-klagomål.docx", "A 19939-2023")</f>
        <v/>
      </c>
      <c r="W439">
        <f>HYPERLINK("https://klasma.github.io/Logging_1880/klagomålsmail/A 19939-2023 FSC-klagomål mail.docx", "A 19939-2023")</f>
        <v/>
      </c>
      <c r="X439">
        <f>HYPERLINK("https://klasma.github.io/Logging_1880/tillsyn/A 19939-2023 tillsynsbegäran.docx", "A 19939-2023")</f>
        <v/>
      </c>
      <c r="Y439">
        <f>HYPERLINK("https://klasma.github.io/Logging_1880/tillsynsmail/A 19939-2023 tillsynsbegäran mail.docx", "A 19939-2023")</f>
        <v/>
      </c>
    </row>
    <row r="440" ht="15" customHeight="1">
      <c r="A440" t="inlineStr">
        <is>
          <t>A 20032-2023</t>
        </is>
      </c>
      <c r="B440" s="1" t="n">
        <v>45054</v>
      </c>
      <c r="C440" s="1" t="n">
        <v>45797</v>
      </c>
      <c r="D440" t="inlineStr">
        <is>
          <t>ÖREBRO LÄN</t>
        </is>
      </c>
      <c r="E440" t="inlineStr">
        <is>
          <t>ÖREBRO</t>
        </is>
      </c>
      <c r="G440" t="n">
        <v>2.6</v>
      </c>
      <c r="H440" t="n">
        <v>1</v>
      </c>
      <c r="I440" t="n">
        <v>0</v>
      </c>
      <c r="J440" t="n">
        <v>0</v>
      </c>
      <c r="K440" t="n">
        <v>0</v>
      </c>
      <c r="L440" t="n">
        <v>0</v>
      </c>
      <c r="M440" t="n">
        <v>0</v>
      </c>
      <c r="N440" t="n">
        <v>0</v>
      </c>
      <c r="O440" t="n">
        <v>0</v>
      </c>
      <c r="P440" t="n">
        <v>0</v>
      </c>
      <c r="Q440" t="n">
        <v>1</v>
      </c>
      <c r="R440" s="2" t="inlineStr">
        <is>
          <t>Fiskgjuse</t>
        </is>
      </c>
      <c r="S440">
        <f>HYPERLINK("https://klasma.github.io/Logging_1880/artfynd/A 20032-2023 artfynd.xlsx", "A 20032-2023")</f>
        <v/>
      </c>
      <c r="T440">
        <f>HYPERLINK("https://klasma.github.io/Logging_1880/kartor/A 20032-2023 karta.png", "A 20032-2023")</f>
        <v/>
      </c>
      <c r="V440">
        <f>HYPERLINK("https://klasma.github.io/Logging_1880/klagomål/A 20032-2023 FSC-klagomål.docx", "A 20032-2023")</f>
        <v/>
      </c>
      <c r="W440">
        <f>HYPERLINK("https://klasma.github.io/Logging_1880/klagomålsmail/A 20032-2023 FSC-klagomål mail.docx", "A 20032-2023")</f>
        <v/>
      </c>
      <c r="X440">
        <f>HYPERLINK("https://klasma.github.io/Logging_1880/tillsyn/A 20032-2023 tillsynsbegäran.docx", "A 20032-2023")</f>
        <v/>
      </c>
      <c r="Y440">
        <f>HYPERLINK("https://klasma.github.io/Logging_1880/tillsynsmail/A 20032-2023 tillsynsbegäran mail.docx", "A 20032-2023")</f>
        <v/>
      </c>
      <c r="Z440">
        <f>HYPERLINK("https://klasma.github.io/Logging_1880/fåglar/A 20032-2023 prioriterade fågelarter.docx", "A 20032-2023")</f>
        <v/>
      </c>
    </row>
    <row r="441" ht="15" customHeight="1">
      <c r="A441" t="inlineStr">
        <is>
          <t>A 20247-2023</t>
        </is>
      </c>
      <c r="B441" s="1" t="n">
        <v>45055</v>
      </c>
      <c r="C441" s="1" t="n">
        <v>45797</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20385-2023</t>
        </is>
      </c>
      <c r="B442" s="1" t="n">
        <v>45056</v>
      </c>
      <c r="C442" s="1" t="n">
        <v>45797</v>
      </c>
      <c r="D442" t="inlineStr">
        <is>
          <t>ÖREBRO LÄN</t>
        </is>
      </c>
      <c r="E442" t="inlineStr">
        <is>
          <t>LINDESBERG</t>
        </is>
      </c>
      <c r="G442" t="n">
        <v>1.7</v>
      </c>
      <c r="H442" t="n">
        <v>0</v>
      </c>
      <c r="I442" t="n">
        <v>0</v>
      </c>
      <c r="J442" t="n">
        <v>1</v>
      </c>
      <c r="K442" t="n">
        <v>0</v>
      </c>
      <c r="L442" t="n">
        <v>0</v>
      </c>
      <c r="M442" t="n">
        <v>0</v>
      </c>
      <c r="N442" t="n">
        <v>0</v>
      </c>
      <c r="O442" t="n">
        <v>1</v>
      </c>
      <c r="P442" t="n">
        <v>0</v>
      </c>
      <c r="Q442" t="n">
        <v>1</v>
      </c>
      <c r="R442" s="2" t="inlineStr">
        <is>
          <t>Dofttaggsvamp</t>
        </is>
      </c>
      <c r="S442">
        <f>HYPERLINK("https://klasma.github.io/Logging_1885/artfynd/A 20385-2023 artfynd.xlsx", "A 20385-2023")</f>
        <v/>
      </c>
      <c r="T442">
        <f>HYPERLINK("https://klasma.github.io/Logging_1885/kartor/A 20385-2023 karta.png", "A 20385-2023")</f>
        <v/>
      </c>
      <c r="V442">
        <f>HYPERLINK("https://klasma.github.io/Logging_1885/klagomål/A 20385-2023 FSC-klagomål.docx", "A 20385-2023")</f>
        <v/>
      </c>
      <c r="W442">
        <f>HYPERLINK("https://klasma.github.io/Logging_1885/klagomålsmail/A 20385-2023 FSC-klagomål mail.docx", "A 20385-2023")</f>
        <v/>
      </c>
      <c r="X442">
        <f>HYPERLINK("https://klasma.github.io/Logging_1885/tillsyn/A 20385-2023 tillsynsbegäran.docx", "A 20385-2023")</f>
        <v/>
      </c>
      <c r="Y442">
        <f>HYPERLINK("https://klasma.github.io/Logging_1885/tillsynsmail/A 20385-2023 tillsynsbegäran mail.docx", "A 20385-2023")</f>
        <v/>
      </c>
    </row>
    <row r="443" ht="15" customHeight="1">
      <c r="A443" t="inlineStr">
        <is>
          <t>A 22442-2023</t>
        </is>
      </c>
      <c r="B443" s="1" t="n">
        <v>45070</v>
      </c>
      <c r="C443" s="1" t="n">
        <v>45797</v>
      </c>
      <c r="D443" t="inlineStr">
        <is>
          <t>ÖREBRO LÄN</t>
        </is>
      </c>
      <c r="E443" t="inlineStr">
        <is>
          <t>NORA</t>
        </is>
      </c>
      <c r="G443" t="n">
        <v>2.4</v>
      </c>
      <c r="H443" t="n">
        <v>0</v>
      </c>
      <c r="I443" t="n">
        <v>0</v>
      </c>
      <c r="J443" t="n">
        <v>0</v>
      </c>
      <c r="K443" t="n">
        <v>0</v>
      </c>
      <c r="L443" t="n">
        <v>1</v>
      </c>
      <c r="M443" t="n">
        <v>0</v>
      </c>
      <c r="N443" t="n">
        <v>0</v>
      </c>
      <c r="O443" t="n">
        <v>1</v>
      </c>
      <c r="P443" t="n">
        <v>1</v>
      </c>
      <c r="Q443" t="n">
        <v>1</v>
      </c>
      <c r="R443" s="2" t="inlineStr">
        <is>
          <t>Ask</t>
        </is>
      </c>
      <c r="S443">
        <f>HYPERLINK("https://klasma.github.io/Logging_1884/artfynd/A 22442-2023 artfynd.xlsx", "A 22442-2023")</f>
        <v/>
      </c>
      <c r="T443">
        <f>HYPERLINK("https://klasma.github.io/Logging_1884/kartor/A 22442-2023 karta.png", "A 22442-2023")</f>
        <v/>
      </c>
      <c r="V443">
        <f>HYPERLINK("https://klasma.github.io/Logging_1884/klagomål/A 22442-2023 FSC-klagomål.docx", "A 22442-2023")</f>
        <v/>
      </c>
      <c r="W443">
        <f>HYPERLINK("https://klasma.github.io/Logging_1884/klagomålsmail/A 22442-2023 FSC-klagomål mail.docx", "A 22442-2023")</f>
        <v/>
      </c>
      <c r="X443">
        <f>HYPERLINK("https://klasma.github.io/Logging_1884/tillsyn/A 22442-2023 tillsynsbegäran.docx", "A 22442-2023")</f>
        <v/>
      </c>
      <c r="Y443">
        <f>HYPERLINK("https://klasma.github.io/Logging_1884/tillsynsmail/A 22442-2023 tillsynsbegäran mail.docx", "A 22442-2023")</f>
        <v/>
      </c>
    </row>
    <row r="444" ht="15" customHeight="1">
      <c r="A444" t="inlineStr">
        <is>
          <t>A 22447-2023</t>
        </is>
      </c>
      <c r="B444" s="1" t="n">
        <v>45070</v>
      </c>
      <c r="C444" s="1" t="n">
        <v>45797</v>
      </c>
      <c r="D444" t="inlineStr">
        <is>
          <t>ÖREBRO LÄN</t>
        </is>
      </c>
      <c r="E444" t="inlineStr">
        <is>
          <t>NORA</t>
        </is>
      </c>
      <c r="G444" t="n">
        <v>5.4</v>
      </c>
      <c r="H444" t="n">
        <v>0</v>
      </c>
      <c r="I444" t="n">
        <v>0</v>
      </c>
      <c r="J444" t="n">
        <v>0</v>
      </c>
      <c r="K444" t="n">
        <v>0</v>
      </c>
      <c r="L444" t="n">
        <v>1</v>
      </c>
      <c r="M444" t="n">
        <v>0</v>
      </c>
      <c r="N444" t="n">
        <v>0</v>
      </c>
      <c r="O444" t="n">
        <v>1</v>
      </c>
      <c r="P444" t="n">
        <v>1</v>
      </c>
      <c r="Q444" t="n">
        <v>1</v>
      </c>
      <c r="R444" s="2" t="inlineStr">
        <is>
          <t>Ask</t>
        </is>
      </c>
      <c r="S444">
        <f>HYPERLINK("https://klasma.github.io/Logging_1884/artfynd/A 22447-2023 artfynd.xlsx", "A 22447-2023")</f>
        <v/>
      </c>
      <c r="T444">
        <f>HYPERLINK("https://klasma.github.io/Logging_1884/kartor/A 22447-2023 karta.png", "A 22447-2023")</f>
        <v/>
      </c>
      <c r="V444">
        <f>HYPERLINK("https://klasma.github.io/Logging_1884/klagomål/A 22447-2023 FSC-klagomål.docx", "A 22447-2023")</f>
        <v/>
      </c>
      <c r="W444">
        <f>HYPERLINK("https://klasma.github.io/Logging_1884/klagomålsmail/A 22447-2023 FSC-klagomål mail.docx", "A 22447-2023")</f>
        <v/>
      </c>
      <c r="X444">
        <f>HYPERLINK("https://klasma.github.io/Logging_1884/tillsyn/A 22447-2023 tillsynsbegäran.docx", "A 22447-2023")</f>
        <v/>
      </c>
      <c r="Y444">
        <f>HYPERLINK("https://klasma.github.io/Logging_1884/tillsynsmail/A 22447-2023 tillsynsbegäran mail.docx", "A 22447-2023")</f>
        <v/>
      </c>
    </row>
    <row r="445" ht="15" customHeight="1">
      <c r="A445" t="inlineStr">
        <is>
          <t>A 22848-2023</t>
        </is>
      </c>
      <c r="B445" s="1" t="n">
        <v>45072</v>
      </c>
      <c r="C445" s="1" t="n">
        <v>45797</v>
      </c>
      <c r="D445" t="inlineStr">
        <is>
          <t>ÖREBRO LÄN</t>
        </is>
      </c>
      <c r="E445" t="inlineStr">
        <is>
          <t>ÖREBRO</t>
        </is>
      </c>
      <c r="G445" t="n">
        <v>3.6</v>
      </c>
      <c r="H445" t="n">
        <v>0</v>
      </c>
      <c r="I445" t="n">
        <v>1</v>
      </c>
      <c r="J445" t="n">
        <v>0</v>
      </c>
      <c r="K445" t="n">
        <v>0</v>
      </c>
      <c r="L445" t="n">
        <v>0</v>
      </c>
      <c r="M445" t="n">
        <v>0</v>
      </c>
      <c r="N445" t="n">
        <v>0</v>
      </c>
      <c r="O445" t="n">
        <v>0</v>
      </c>
      <c r="P445" t="n">
        <v>0</v>
      </c>
      <c r="Q445" t="n">
        <v>1</v>
      </c>
      <c r="R445" s="2" t="inlineStr">
        <is>
          <t>Blomkålssvamp</t>
        </is>
      </c>
      <c r="S445">
        <f>HYPERLINK("https://klasma.github.io/Logging_1880/artfynd/A 22848-2023 artfynd.xlsx", "A 22848-2023")</f>
        <v/>
      </c>
      <c r="T445">
        <f>HYPERLINK("https://klasma.github.io/Logging_1880/kartor/A 22848-2023 karta.png", "A 22848-2023")</f>
        <v/>
      </c>
      <c r="V445">
        <f>HYPERLINK("https://klasma.github.io/Logging_1880/klagomål/A 22848-2023 FSC-klagomål.docx", "A 22848-2023")</f>
        <v/>
      </c>
      <c r="W445">
        <f>HYPERLINK("https://klasma.github.io/Logging_1880/klagomålsmail/A 22848-2023 FSC-klagomål mail.docx", "A 22848-2023")</f>
        <v/>
      </c>
      <c r="X445">
        <f>HYPERLINK("https://klasma.github.io/Logging_1880/tillsyn/A 22848-2023 tillsynsbegäran.docx", "A 22848-2023")</f>
        <v/>
      </c>
      <c r="Y445">
        <f>HYPERLINK("https://klasma.github.io/Logging_1880/tillsynsmail/A 22848-2023 tillsynsbegäran mail.docx", "A 22848-2023")</f>
        <v/>
      </c>
    </row>
    <row r="446" ht="15" customHeight="1">
      <c r="A446" t="inlineStr">
        <is>
          <t>A 23107-2023</t>
        </is>
      </c>
      <c r="B446" s="1" t="n">
        <v>45075</v>
      </c>
      <c r="C446" s="1" t="n">
        <v>45797</v>
      </c>
      <c r="D446" t="inlineStr">
        <is>
          <t>ÖREBRO LÄN</t>
        </is>
      </c>
      <c r="E446" t="inlineStr">
        <is>
          <t>LINDESBERG</t>
        </is>
      </c>
      <c r="F446" t="inlineStr">
        <is>
          <t>Sveaskog</t>
        </is>
      </c>
      <c r="G446" t="n">
        <v>1.8</v>
      </c>
      <c r="H446" t="n">
        <v>1</v>
      </c>
      <c r="I446" t="n">
        <v>0</v>
      </c>
      <c r="J446" t="n">
        <v>1</v>
      </c>
      <c r="K446" t="n">
        <v>0</v>
      </c>
      <c r="L446" t="n">
        <v>0</v>
      </c>
      <c r="M446" t="n">
        <v>0</v>
      </c>
      <c r="N446" t="n">
        <v>0</v>
      </c>
      <c r="O446" t="n">
        <v>1</v>
      </c>
      <c r="P446" t="n">
        <v>0</v>
      </c>
      <c r="Q446" t="n">
        <v>1</v>
      </c>
      <c r="R446" s="2" t="inlineStr">
        <is>
          <t>Grönsångare</t>
        </is>
      </c>
      <c r="S446">
        <f>HYPERLINK("https://klasma.github.io/Logging_1885/artfynd/A 23107-2023 artfynd.xlsx", "A 23107-2023")</f>
        <v/>
      </c>
      <c r="T446">
        <f>HYPERLINK("https://klasma.github.io/Logging_1885/kartor/A 23107-2023 karta.png", "A 23107-2023")</f>
        <v/>
      </c>
      <c r="V446">
        <f>HYPERLINK("https://klasma.github.io/Logging_1885/klagomål/A 23107-2023 FSC-klagomål.docx", "A 23107-2023")</f>
        <v/>
      </c>
      <c r="W446">
        <f>HYPERLINK("https://klasma.github.io/Logging_1885/klagomålsmail/A 23107-2023 FSC-klagomål mail.docx", "A 23107-2023")</f>
        <v/>
      </c>
      <c r="X446">
        <f>HYPERLINK("https://klasma.github.io/Logging_1885/tillsyn/A 23107-2023 tillsynsbegäran.docx", "A 23107-2023")</f>
        <v/>
      </c>
      <c r="Y446">
        <f>HYPERLINK("https://klasma.github.io/Logging_1885/tillsynsmail/A 23107-2023 tillsynsbegäran mail.docx", "A 23107-2023")</f>
        <v/>
      </c>
      <c r="Z446">
        <f>HYPERLINK("https://klasma.github.io/Logging_1885/fåglar/A 23107-2023 prioriterade fågelarter.docx", "A 23107-2023")</f>
        <v/>
      </c>
    </row>
    <row r="447" ht="15" customHeight="1">
      <c r="A447" t="inlineStr">
        <is>
          <t>A 23153-2023</t>
        </is>
      </c>
      <c r="B447" s="1" t="n">
        <v>45075</v>
      </c>
      <c r="C447" s="1" t="n">
        <v>45797</v>
      </c>
      <c r="D447" t="inlineStr">
        <is>
          <t>ÖREBRO LÄN</t>
        </is>
      </c>
      <c r="E447" t="inlineStr">
        <is>
          <t>LINDESBERG</t>
        </is>
      </c>
      <c r="F447" t="inlineStr">
        <is>
          <t>Sveaskog</t>
        </is>
      </c>
      <c r="G447" t="n">
        <v>3.1</v>
      </c>
      <c r="H447" t="n">
        <v>0</v>
      </c>
      <c r="I447" t="n">
        <v>0</v>
      </c>
      <c r="J447" t="n">
        <v>1</v>
      </c>
      <c r="K447" t="n">
        <v>0</v>
      </c>
      <c r="L447" t="n">
        <v>0</v>
      </c>
      <c r="M447" t="n">
        <v>0</v>
      </c>
      <c r="N447" t="n">
        <v>0</v>
      </c>
      <c r="O447" t="n">
        <v>1</v>
      </c>
      <c r="P447" t="n">
        <v>0</v>
      </c>
      <c r="Q447" t="n">
        <v>1</v>
      </c>
      <c r="R447" s="2" t="inlineStr">
        <is>
          <t>Skogsklocka</t>
        </is>
      </c>
      <c r="S447">
        <f>HYPERLINK("https://klasma.github.io/Logging_1885/artfynd/A 23153-2023 artfynd.xlsx", "A 23153-2023")</f>
        <v/>
      </c>
      <c r="T447">
        <f>HYPERLINK("https://klasma.github.io/Logging_1885/kartor/A 23153-2023 karta.png", "A 23153-2023")</f>
        <v/>
      </c>
      <c r="V447">
        <f>HYPERLINK("https://klasma.github.io/Logging_1885/klagomål/A 23153-2023 FSC-klagomål.docx", "A 23153-2023")</f>
        <v/>
      </c>
      <c r="W447">
        <f>HYPERLINK("https://klasma.github.io/Logging_1885/klagomålsmail/A 23153-2023 FSC-klagomål mail.docx", "A 23153-2023")</f>
        <v/>
      </c>
      <c r="X447">
        <f>HYPERLINK("https://klasma.github.io/Logging_1885/tillsyn/A 23153-2023 tillsynsbegäran.docx", "A 23153-2023")</f>
        <v/>
      </c>
      <c r="Y447">
        <f>HYPERLINK("https://klasma.github.io/Logging_1885/tillsynsmail/A 23153-2023 tillsynsbegäran mail.docx", "A 23153-2023")</f>
        <v/>
      </c>
    </row>
    <row r="448" ht="15" customHeight="1">
      <c r="A448" t="inlineStr">
        <is>
          <t>A 23874-2023</t>
        </is>
      </c>
      <c r="B448" s="1" t="n">
        <v>45078</v>
      </c>
      <c r="C448" s="1" t="n">
        <v>45797</v>
      </c>
      <c r="D448" t="inlineStr">
        <is>
          <t>ÖREBRO LÄN</t>
        </is>
      </c>
      <c r="E448" t="inlineStr">
        <is>
          <t>NORA</t>
        </is>
      </c>
      <c r="G448" t="n">
        <v>1.2</v>
      </c>
      <c r="H448" t="n">
        <v>0</v>
      </c>
      <c r="I448" t="n">
        <v>0</v>
      </c>
      <c r="J448" t="n">
        <v>1</v>
      </c>
      <c r="K448" t="n">
        <v>0</v>
      </c>
      <c r="L448" t="n">
        <v>0</v>
      </c>
      <c r="M448" t="n">
        <v>0</v>
      </c>
      <c r="N448" t="n">
        <v>0</v>
      </c>
      <c r="O448" t="n">
        <v>1</v>
      </c>
      <c r="P448" t="n">
        <v>0</v>
      </c>
      <c r="Q448" t="n">
        <v>1</v>
      </c>
      <c r="R448" s="2" t="inlineStr">
        <is>
          <t>Brunklöver</t>
        </is>
      </c>
      <c r="S448">
        <f>HYPERLINK("https://klasma.github.io/Logging_1884/artfynd/A 23874-2023 artfynd.xlsx", "A 23874-2023")</f>
        <v/>
      </c>
      <c r="T448">
        <f>HYPERLINK("https://klasma.github.io/Logging_1884/kartor/A 23874-2023 karta.png", "A 23874-2023")</f>
        <v/>
      </c>
      <c r="V448">
        <f>HYPERLINK("https://klasma.github.io/Logging_1884/klagomål/A 23874-2023 FSC-klagomål.docx", "A 23874-2023")</f>
        <v/>
      </c>
      <c r="W448">
        <f>HYPERLINK("https://klasma.github.io/Logging_1884/klagomålsmail/A 23874-2023 FSC-klagomål mail.docx", "A 23874-2023")</f>
        <v/>
      </c>
      <c r="X448">
        <f>HYPERLINK("https://klasma.github.io/Logging_1884/tillsyn/A 23874-2023 tillsynsbegäran.docx", "A 23874-2023")</f>
        <v/>
      </c>
      <c r="Y448">
        <f>HYPERLINK("https://klasma.github.io/Logging_1884/tillsynsmail/A 23874-2023 tillsynsbegäran mail.docx", "A 23874-2023")</f>
        <v/>
      </c>
    </row>
    <row r="449" ht="15" customHeight="1">
      <c r="A449" t="inlineStr">
        <is>
          <t>A 24357-2023</t>
        </is>
      </c>
      <c r="B449" s="1" t="n">
        <v>45082</v>
      </c>
      <c r="C449" s="1" t="n">
        <v>45797</v>
      </c>
      <c r="D449" t="inlineStr">
        <is>
          <t>ÖREBRO LÄN</t>
        </is>
      </c>
      <c r="E449" t="inlineStr">
        <is>
          <t>HÄLLEFORS</t>
        </is>
      </c>
      <c r="F449" t="inlineStr">
        <is>
          <t>Sveaskog</t>
        </is>
      </c>
      <c r="G449" t="n">
        <v>9</v>
      </c>
      <c r="H449" t="n">
        <v>1</v>
      </c>
      <c r="I449" t="n">
        <v>0</v>
      </c>
      <c r="J449" t="n">
        <v>0</v>
      </c>
      <c r="K449" t="n">
        <v>0</v>
      </c>
      <c r="L449" t="n">
        <v>0</v>
      </c>
      <c r="M449" t="n">
        <v>0</v>
      </c>
      <c r="N449" t="n">
        <v>0</v>
      </c>
      <c r="O449" t="n">
        <v>0</v>
      </c>
      <c r="P449" t="n">
        <v>0</v>
      </c>
      <c r="Q449" t="n">
        <v>1</v>
      </c>
      <c r="R449" s="2" t="inlineStr">
        <is>
          <t>Fläcknycklar</t>
        </is>
      </c>
      <c r="S449">
        <f>HYPERLINK("https://klasma.github.io/Logging_1863/artfynd/A 24357-2023 artfynd.xlsx", "A 24357-2023")</f>
        <v/>
      </c>
      <c r="T449">
        <f>HYPERLINK("https://klasma.github.io/Logging_1863/kartor/A 24357-2023 karta.png", "A 24357-2023")</f>
        <v/>
      </c>
      <c r="V449">
        <f>HYPERLINK("https://klasma.github.io/Logging_1863/klagomål/A 24357-2023 FSC-klagomål.docx", "A 24357-2023")</f>
        <v/>
      </c>
      <c r="W449">
        <f>HYPERLINK("https://klasma.github.io/Logging_1863/klagomålsmail/A 24357-2023 FSC-klagomål mail.docx", "A 24357-2023")</f>
        <v/>
      </c>
      <c r="X449">
        <f>HYPERLINK("https://klasma.github.io/Logging_1863/tillsyn/A 24357-2023 tillsynsbegäran.docx", "A 24357-2023")</f>
        <v/>
      </c>
      <c r="Y449">
        <f>HYPERLINK("https://klasma.github.io/Logging_1863/tillsynsmail/A 24357-2023 tillsynsbegäran mail.docx", "A 24357-2023")</f>
        <v/>
      </c>
    </row>
    <row r="450" ht="15" customHeight="1">
      <c r="A450" t="inlineStr">
        <is>
          <t>A 24355-2023</t>
        </is>
      </c>
      <c r="B450" s="1" t="n">
        <v>45082</v>
      </c>
      <c r="C450" s="1" t="n">
        <v>45797</v>
      </c>
      <c r="D450" t="inlineStr">
        <is>
          <t>ÖREBRO LÄN</t>
        </is>
      </c>
      <c r="E450" t="inlineStr">
        <is>
          <t>NORA</t>
        </is>
      </c>
      <c r="F450" t="inlineStr">
        <is>
          <t>Sveaskog</t>
        </is>
      </c>
      <c r="G450" t="n">
        <v>4.7</v>
      </c>
      <c r="H450" t="n">
        <v>0</v>
      </c>
      <c r="I450" t="n">
        <v>0</v>
      </c>
      <c r="J450" t="n">
        <v>1</v>
      </c>
      <c r="K450" t="n">
        <v>0</v>
      </c>
      <c r="L450" t="n">
        <v>0</v>
      </c>
      <c r="M450" t="n">
        <v>0</v>
      </c>
      <c r="N450" t="n">
        <v>0</v>
      </c>
      <c r="O450" t="n">
        <v>1</v>
      </c>
      <c r="P450" t="n">
        <v>0</v>
      </c>
      <c r="Q450" t="n">
        <v>1</v>
      </c>
      <c r="R450" s="2" t="inlineStr">
        <is>
          <t>Tallticka</t>
        </is>
      </c>
      <c r="S450">
        <f>HYPERLINK("https://klasma.github.io/Logging_1884/artfynd/A 24355-2023 artfynd.xlsx", "A 24355-2023")</f>
        <v/>
      </c>
      <c r="T450">
        <f>HYPERLINK("https://klasma.github.io/Logging_1884/kartor/A 24355-2023 karta.png", "A 24355-2023")</f>
        <v/>
      </c>
      <c r="U450">
        <f>HYPERLINK("https://klasma.github.io/Logging_1884/knärot/A 24355-2023 karta knärot.png", "A 24355-2023")</f>
        <v/>
      </c>
      <c r="V450">
        <f>HYPERLINK("https://klasma.github.io/Logging_1884/klagomål/A 24355-2023 FSC-klagomål.docx", "A 24355-2023")</f>
        <v/>
      </c>
      <c r="W450">
        <f>HYPERLINK("https://klasma.github.io/Logging_1884/klagomålsmail/A 24355-2023 FSC-klagomål mail.docx", "A 24355-2023")</f>
        <v/>
      </c>
      <c r="X450">
        <f>HYPERLINK("https://klasma.github.io/Logging_1884/tillsyn/A 24355-2023 tillsynsbegäran.docx", "A 24355-2023")</f>
        <v/>
      </c>
      <c r="Y450">
        <f>HYPERLINK("https://klasma.github.io/Logging_1884/tillsynsmail/A 24355-2023 tillsynsbegäran mail.docx", "A 24355-2023")</f>
        <v/>
      </c>
    </row>
    <row r="451" ht="15" customHeight="1">
      <c r="A451" t="inlineStr">
        <is>
          <t>A 24356-2023</t>
        </is>
      </c>
      <c r="B451" s="1" t="n">
        <v>45082</v>
      </c>
      <c r="C451" s="1" t="n">
        <v>45797</v>
      </c>
      <c r="D451" t="inlineStr">
        <is>
          <t>ÖREBRO LÄN</t>
        </is>
      </c>
      <c r="E451" t="inlineStr">
        <is>
          <t>NORA</t>
        </is>
      </c>
      <c r="F451" t="inlineStr">
        <is>
          <t>Sveaskog</t>
        </is>
      </c>
      <c r="G451" t="n">
        <v>15.3</v>
      </c>
      <c r="H451" t="n">
        <v>1</v>
      </c>
      <c r="I451" t="n">
        <v>0</v>
      </c>
      <c r="J451" t="n">
        <v>0</v>
      </c>
      <c r="K451" t="n">
        <v>1</v>
      </c>
      <c r="L451" t="n">
        <v>0</v>
      </c>
      <c r="M451" t="n">
        <v>0</v>
      </c>
      <c r="N451" t="n">
        <v>0</v>
      </c>
      <c r="O451" t="n">
        <v>1</v>
      </c>
      <c r="P451" t="n">
        <v>1</v>
      </c>
      <c r="Q451" t="n">
        <v>1</v>
      </c>
      <c r="R451" s="2" t="inlineStr">
        <is>
          <t>Knärot</t>
        </is>
      </c>
      <c r="S451">
        <f>HYPERLINK("https://klasma.github.io/Logging_1884/artfynd/A 24356-2023 artfynd.xlsx", "A 24356-2023")</f>
        <v/>
      </c>
      <c r="T451">
        <f>HYPERLINK("https://klasma.github.io/Logging_1884/kartor/A 24356-2023 karta.png", "A 24356-2023")</f>
        <v/>
      </c>
      <c r="U451">
        <f>HYPERLINK("https://klasma.github.io/Logging_1884/knärot/A 24356-2023 karta knärot.png", "A 24356-2023")</f>
        <v/>
      </c>
      <c r="V451">
        <f>HYPERLINK("https://klasma.github.io/Logging_1884/klagomål/A 24356-2023 FSC-klagomål.docx", "A 24356-2023")</f>
        <v/>
      </c>
      <c r="W451">
        <f>HYPERLINK("https://klasma.github.io/Logging_1884/klagomålsmail/A 24356-2023 FSC-klagomål mail.docx", "A 24356-2023")</f>
        <v/>
      </c>
      <c r="X451">
        <f>HYPERLINK("https://klasma.github.io/Logging_1884/tillsyn/A 24356-2023 tillsynsbegäran.docx", "A 24356-2023")</f>
        <v/>
      </c>
      <c r="Y451">
        <f>HYPERLINK("https://klasma.github.io/Logging_1884/tillsynsmail/A 24356-2023 tillsynsbegäran mail.docx", "A 24356-2023")</f>
        <v/>
      </c>
    </row>
    <row r="452" ht="15" customHeight="1">
      <c r="A452" t="inlineStr">
        <is>
          <t>A 27073-2023</t>
        </is>
      </c>
      <c r="B452" s="1" t="n">
        <v>45096</v>
      </c>
      <c r="C452" s="1" t="n">
        <v>45797</v>
      </c>
      <c r="D452" t="inlineStr">
        <is>
          <t>ÖREBRO LÄN</t>
        </is>
      </c>
      <c r="E452" t="inlineStr">
        <is>
          <t>HALLSBERG</t>
        </is>
      </c>
      <c r="G452" t="n">
        <v>0.8</v>
      </c>
      <c r="H452" t="n">
        <v>0</v>
      </c>
      <c r="I452" t="n">
        <v>0</v>
      </c>
      <c r="J452" t="n">
        <v>1</v>
      </c>
      <c r="K452" t="n">
        <v>0</v>
      </c>
      <c r="L452" t="n">
        <v>0</v>
      </c>
      <c r="M452" t="n">
        <v>0</v>
      </c>
      <c r="N452" t="n">
        <v>0</v>
      </c>
      <c r="O452" t="n">
        <v>1</v>
      </c>
      <c r="P452" t="n">
        <v>0</v>
      </c>
      <c r="Q452" t="n">
        <v>1</v>
      </c>
      <c r="R452" s="2" t="inlineStr">
        <is>
          <t>Ullticka</t>
        </is>
      </c>
      <c r="S452">
        <f>HYPERLINK("https://klasma.github.io/Logging_1861/artfynd/A 27073-2023 artfynd.xlsx", "A 27073-2023")</f>
        <v/>
      </c>
      <c r="T452">
        <f>HYPERLINK("https://klasma.github.io/Logging_1861/kartor/A 27073-2023 karta.png", "A 27073-2023")</f>
        <v/>
      </c>
      <c r="V452">
        <f>HYPERLINK("https://klasma.github.io/Logging_1861/klagomål/A 27073-2023 FSC-klagomål.docx", "A 27073-2023")</f>
        <v/>
      </c>
      <c r="W452">
        <f>HYPERLINK("https://klasma.github.io/Logging_1861/klagomålsmail/A 27073-2023 FSC-klagomål mail.docx", "A 27073-2023")</f>
        <v/>
      </c>
      <c r="X452">
        <f>HYPERLINK("https://klasma.github.io/Logging_1861/tillsyn/A 27073-2023 tillsynsbegäran.docx", "A 27073-2023")</f>
        <v/>
      </c>
      <c r="Y452">
        <f>HYPERLINK("https://klasma.github.io/Logging_1861/tillsynsmail/A 27073-2023 tillsynsbegäran mail.docx", "A 27073-2023")</f>
        <v/>
      </c>
    </row>
    <row r="453" ht="15" customHeight="1">
      <c r="A453" t="inlineStr">
        <is>
          <t>A 27088-2023</t>
        </is>
      </c>
      <c r="B453" s="1" t="n">
        <v>45096</v>
      </c>
      <c r="C453" s="1" t="n">
        <v>45797</v>
      </c>
      <c r="D453" t="inlineStr">
        <is>
          <t>ÖREBRO LÄN</t>
        </is>
      </c>
      <c r="E453" t="inlineStr">
        <is>
          <t>DEGERFORS</t>
        </is>
      </c>
      <c r="F453" t="inlineStr">
        <is>
          <t>Sveaskog</t>
        </is>
      </c>
      <c r="G453" t="n">
        <v>2.6</v>
      </c>
      <c r="H453" t="n">
        <v>0</v>
      </c>
      <c r="I453" t="n">
        <v>1</v>
      </c>
      <c r="J453" t="n">
        <v>0</v>
      </c>
      <c r="K453" t="n">
        <v>0</v>
      </c>
      <c r="L453" t="n">
        <v>0</v>
      </c>
      <c r="M453" t="n">
        <v>0</v>
      </c>
      <c r="N453" t="n">
        <v>0</v>
      </c>
      <c r="O453" t="n">
        <v>0</v>
      </c>
      <c r="P453" t="n">
        <v>0</v>
      </c>
      <c r="Q453" t="n">
        <v>1</v>
      </c>
      <c r="R453" s="2" t="inlineStr">
        <is>
          <t>Stubbspretmossa</t>
        </is>
      </c>
      <c r="S453">
        <f>HYPERLINK("https://klasma.github.io/Logging_1862/artfynd/A 27088-2023 artfynd.xlsx", "A 27088-2023")</f>
        <v/>
      </c>
      <c r="T453">
        <f>HYPERLINK("https://klasma.github.io/Logging_1862/kartor/A 27088-2023 karta.png", "A 27088-2023")</f>
        <v/>
      </c>
      <c r="V453">
        <f>HYPERLINK("https://klasma.github.io/Logging_1862/klagomål/A 27088-2023 FSC-klagomål.docx", "A 27088-2023")</f>
        <v/>
      </c>
      <c r="W453">
        <f>HYPERLINK("https://klasma.github.io/Logging_1862/klagomålsmail/A 27088-2023 FSC-klagomål mail.docx", "A 27088-2023")</f>
        <v/>
      </c>
      <c r="X453">
        <f>HYPERLINK("https://klasma.github.io/Logging_1862/tillsyn/A 27088-2023 tillsynsbegäran.docx", "A 27088-2023")</f>
        <v/>
      </c>
      <c r="Y453">
        <f>HYPERLINK("https://klasma.github.io/Logging_1862/tillsynsmail/A 27088-2023 tillsynsbegäran mail.docx", "A 27088-2023")</f>
        <v/>
      </c>
    </row>
    <row r="454" ht="15" customHeight="1">
      <c r="A454" t="inlineStr">
        <is>
          <t>A 27093-2023</t>
        </is>
      </c>
      <c r="B454" s="1" t="n">
        <v>45096</v>
      </c>
      <c r="C454" s="1" t="n">
        <v>45797</v>
      </c>
      <c r="D454" t="inlineStr">
        <is>
          <t>ÖREBRO LÄN</t>
        </is>
      </c>
      <c r="E454" t="inlineStr">
        <is>
          <t>DEGERFORS</t>
        </is>
      </c>
      <c r="F454" t="inlineStr">
        <is>
          <t>Sveaskog</t>
        </is>
      </c>
      <c r="G454" t="n">
        <v>5.9</v>
      </c>
      <c r="H454" t="n">
        <v>1</v>
      </c>
      <c r="I454" t="n">
        <v>0</v>
      </c>
      <c r="J454" t="n">
        <v>0</v>
      </c>
      <c r="K454" t="n">
        <v>0</v>
      </c>
      <c r="L454" t="n">
        <v>0</v>
      </c>
      <c r="M454" t="n">
        <v>0</v>
      </c>
      <c r="N454" t="n">
        <v>0</v>
      </c>
      <c r="O454" t="n">
        <v>0</v>
      </c>
      <c r="P454" t="n">
        <v>0</v>
      </c>
      <c r="Q454" t="n">
        <v>1</v>
      </c>
      <c r="R454" s="2" t="inlineStr">
        <is>
          <t>Tjäder</t>
        </is>
      </c>
      <c r="S454">
        <f>HYPERLINK("https://klasma.github.io/Logging_1862/artfynd/A 27093-2023 artfynd.xlsx", "A 27093-2023")</f>
        <v/>
      </c>
      <c r="T454">
        <f>HYPERLINK("https://klasma.github.io/Logging_1862/kartor/A 27093-2023 karta.png", "A 27093-2023")</f>
        <v/>
      </c>
      <c r="V454">
        <f>HYPERLINK("https://klasma.github.io/Logging_1862/klagomål/A 27093-2023 FSC-klagomål.docx", "A 27093-2023")</f>
        <v/>
      </c>
      <c r="W454">
        <f>HYPERLINK("https://klasma.github.io/Logging_1862/klagomålsmail/A 27093-2023 FSC-klagomål mail.docx", "A 27093-2023")</f>
        <v/>
      </c>
      <c r="X454">
        <f>HYPERLINK("https://klasma.github.io/Logging_1862/tillsyn/A 27093-2023 tillsynsbegäran.docx", "A 27093-2023")</f>
        <v/>
      </c>
      <c r="Y454">
        <f>HYPERLINK("https://klasma.github.io/Logging_1862/tillsynsmail/A 27093-2023 tillsynsbegäran mail.docx", "A 27093-2023")</f>
        <v/>
      </c>
      <c r="Z454">
        <f>HYPERLINK("https://klasma.github.io/Logging_1862/fåglar/A 27093-2023 prioriterade fågelarter.docx", "A 27093-2023")</f>
        <v/>
      </c>
    </row>
    <row r="455" ht="15" customHeight="1">
      <c r="A455" t="inlineStr">
        <is>
          <t>A 28782-2023</t>
        </is>
      </c>
      <c r="B455" s="1" t="n">
        <v>45104</v>
      </c>
      <c r="C455" s="1" t="n">
        <v>45797</v>
      </c>
      <c r="D455" t="inlineStr">
        <is>
          <t>ÖREBRO LÄN</t>
        </is>
      </c>
      <c r="E455" t="inlineStr">
        <is>
          <t>LINDESBERG</t>
        </is>
      </c>
      <c r="F455" t="inlineStr">
        <is>
          <t>Sveaskog</t>
        </is>
      </c>
      <c r="G455" t="n">
        <v>9.699999999999999</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28782-2023 artfynd.xlsx", "A 28782-2023")</f>
        <v/>
      </c>
      <c r="T455">
        <f>HYPERLINK("https://klasma.github.io/Logging_1885/kartor/A 28782-2023 karta.png", "A 28782-2023")</f>
        <v/>
      </c>
      <c r="V455">
        <f>HYPERLINK("https://klasma.github.io/Logging_1885/klagomål/A 28782-2023 FSC-klagomål.docx", "A 28782-2023")</f>
        <v/>
      </c>
      <c r="W455">
        <f>HYPERLINK("https://klasma.github.io/Logging_1885/klagomålsmail/A 28782-2023 FSC-klagomål mail.docx", "A 28782-2023")</f>
        <v/>
      </c>
      <c r="X455">
        <f>HYPERLINK("https://klasma.github.io/Logging_1885/tillsyn/A 28782-2023 tillsynsbegäran.docx", "A 28782-2023")</f>
        <v/>
      </c>
      <c r="Y455">
        <f>HYPERLINK("https://klasma.github.io/Logging_1885/tillsynsmail/A 28782-2023 tillsynsbegäran mail.docx", "A 28782-2023")</f>
        <v/>
      </c>
    </row>
    <row r="456" ht="15" customHeight="1">
      <c r="A456" t="inlineStr">
        <is>
          <t>A 28786-2023</t>
        </is>
      </c>
      <c r="B456" s="1" t="n">
        <v>45104</v>
      </c>
      <c r="C456" s="1" t="n">
        <v>45797</v>
      </c>
      <c r="D456" t="inlineStr">
        <is>
          <t>ÖREBRO LÄN</t>
        </is>
      </c>
      <c r="E456" t="inlineStr">
        <is>
          <t>ASKERSUND</t>
        </is>
      </c>
      <c r="G456" t="n">
        <v>9.800000000000001</v>
      </c>
      <c r="H456" t="n">
        <v>0</v>
      </c>
      <c r="I456" t="n">
        <v>1</v>
      </c>
      <c r="J456" t="n">
        <v>0</v>
      </c>
      <c r="K456" t="n">
        <v>0</v>
      </c>
      <c r="L456" t="n">
        <v>0</v>
      </c>
      <c r="M456" t="n">
        <v>0</v>
      </c>
      <c r="N456" t="n">
        <v>0</v>
      </c>
      <c r="O456" t="n">
        <v>0</v>
      </c>
      <c r="P456" t="n">
        <v>0</v>
      </c>
      <c r="Q456" t="n">
        <v>1</v>
      </c>
      <c r="R456" s="2" t="inlineStr">
        <is>
          <t>Vedticka</t>
        </is>
      </c>
      <c r="S456">
        <f>HYPERLINK("https://klasma.github.io/Logging_1882/artfynd/A 28786-2023 artfynd.xlsx", "A 28786-2023")</f>
        <v/>
      </c>
      <c r="T456">
        <f>HYPERLINK("https://klasma.github.io/Logging_1882/kartor/A 28786-2023 karta.png", "A 28786-2023")</f>
        <v/>
      </c>
      <c r="V456">
        <f>HYPERLINK("https://klasma.github.io/Logging_1882/klagomål/A 28786-2023 FSC-klagomål.docx", "A 28786-2023")</f>
        <v/>
      </c>
      <c r="W456">
        <f>HYPERLINK("https://klasma.github.io/Logging_1882/klagomålsmail/A 28786-2023 FSC-klagomål mail.docx", "A 28786-2023")</f>
        <v/>
      </c>
      <c r="X456">
        <f>HYPERLINK("https://klasma.github.io/Logging_1882/tillsyn/A 28786-2023 tillsynsbegäran.docx", "A 28786-2023")</f>
        <v/>
      </c>
      <c r="Y456">
        <f>HYPERLINK("https://klasma.github.io/Logging_1882/tillsynsmail/A 28786-2023 tillsynsbegäran mail.docx", "A 28786-2023")</f>
        <v/>
      </c>
    </row>
    <row r="457" ht="15" customHeight="1">
      <c r="A457" t="inlineStr">
        <is>
          <t>A 28922-2023</t>
        </is>
      </c>
      <c r="B457" s="1" t="n">
        <v>45104</v>
      </c>
      <c r="C457" s="1" t="n">
        <v>45797</v>
      </c>
      <c r="D457" t="inlineStr">
        <is>
          <t>ÖREBRO LÄN</t>
        </is>
      </c>
      <c r="E457" t="inlineStr">
        <is>
          <t>LINDESBERG</t>
        </is>
      </c>
      <c r="F457" t="inlineStr">
        <is>
          <t>Sveaskog</t>
        </is>
      </c>
      <c r="G457" t="n">
        <v>2.3</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28922-2023 artfynd.xlsx", "A 28922-2023")</f>
        <v/>
      </c>
      <c r="T457">
        <f>HYPERLINK("https://klasma.github.io/Logging_1885/kartor/A 28922-2023 karta.png", "A 28922-2023")</f>
        <v/>
      </c>
      <c r="V457">
        <f>HYPERLINK("https://klasma.github.io/Logging_1885/klagomål/A 28922-2023 FSC-klagomål.docx", "A 28922-2023")</f>
        <v/>
      </c>
      <c r="W457">
        <f>HYPERLINK("https://klasma.github.io/Logging_1885/klagomålsmail/A 28922-2023 FSC-klagomål mail.docx", "A 28922-2023")</f>
        <v/>
      </c>
      <c r="X457">
        <f>HYPERLINK("https://klasma.github.io/Logging_1885/tillsyn/A 28922-2023 tillsynsbegäran.docx", "A 28922-2023")</f>
        <v/>
      </c>
      <c r="Y457">
        <f>HYPERLINK("https://klasma.github.io/Logging_1885/tillsynsmail/A 28922-2023 tillsynsbegäran mail.docx", "A 28922-2023")</f>
        <v/>
      </c>
    </row>
    <row r="458" ht="15" customHeight="1">
      <c r="A458" t="inlineStr">
        <is>
          <t>A 28787-2023</t>
        </is>
      </c>
      <c r="B458" s="1" t="n">
        <v>45104</v>
      </c>
      <c r="C458" s="1" t="n">
        <v>45797</v>
      </c>
      <c r="D458" t="inlineStr">
        <is>
          <t>ÖREBRO LÄN</t>
        </is>
      </c>
      <c r="E458" t="inlineStr">
        <is>
          <t>LINDESBERG</t>
        </is>
      </c>
      <c r="F458" t="inlineStr">
        <is>
          <t>Sveaskog</t>
        </is>
      </c>
      <c r="G458" t="n">
        <v>0.5</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28787-2023 artfynd.xlsx", "A 28787-2023")</f>
        <v/>
      </c>
      <c r="T458">
        <f>HYPERLINK("https://klasma.github.io/Logging_1885/kartor/A 28787-2023 karta.png", "A 28787-2023")</f>
        <v/>
      </c>
      <c r="V458">
        <f>HYPERLINK("https://klasma.github.io/Logging_1885/klagomål/A 28787-2023 FSC-klagomål.docx", "A 28787-2023")</f>
        <v/>
      </c>
      <c r="W458">
        <f>HYPERLINK("https://klasma.github.io/Logging_1885/klagomålsmail/A 28787-2023 FSC-klagomål mail.docx", "A 28787-2023")</f>
        <v/>
      </c>
      <c r="X458">
        <f>HYPERLINK("https://klasma.github.io/Logging_1885/tillsyn/A 28787-2023 tillsynsbegäran.docx", "A 28787-2023")</f>
        <v/>
      </c>
      <c r="Y458">
        <f>HYPERLINK("https://klasma.github.io/Logging_1885/tillsynsmail/A 28787-2023 tillsynsbegäran mail.docx", "A 28787-2023")</f>
        <v/>
      </c>
    </row>
    <row r="459" ht="15" customHeight="1">
      <c r="A459" t="inlineStr">
        <is>
          <t>A 29576-2023</t>
        </is>
      </c>
      <c r="B459" s="1" t="n">
        <v>45106</v>
      </c>
      <c r="C459" s="1" t="n">
        <v>45797</v>
      </c>
      <c r="D459" t="inlineStr">
        <is>
          <t>ÖREBRO LÄN</t>
        </is>
      </c>
      <c r="E459" t="inlineStr">
        <is>
          <t>ASKERSUND</t>
        </is>
      </c>
      <c r="G459" t="n">
        <v>2.3</v>
      </c>
      <c r="H459" t="n">
        <v>0</v>
      </c>
      <c r="I459" t="n">
        <v>1</v>
      </c>
      <c r="J459" t="n">
        <v>0</v>
      </c>
      <c r="K459" t="n">
        <v>0</v>
      </c>
      <c r="L459" t="n">
        <v>0</v>
      </c>
      <c r="M459" t="n">
        <v>0</v>
      </c>
      <c r="N459" t="n">
        <v>0</v>
      </c>
      <c r="O459" t="n">
        <v>0</v>
      </c>
      <c r="P459" t="n">
        <v>0</v>
      </c>
      <c r="Q459" t="n">
        <v>1</v>
      </c>
      <c r="R459" s="2" t="inlineStr">
        <is>
          <t>Kornknutmossa</t>
        </is>
      </c>
      <c r="S459">
        <f>HYPERLINK("https://klasma.github.io/Logging_1882/artfynd/A 29576-2023 artfynd.xlsx", "A 29576-2023")</f>
        <v/>
      </c>
      <c r="T459">
        <f>HYPERLINK("https://klasma.github.io/Logging_1882/kartor/A 29576-2023 karta.png", "A 29576-2023")</f>
        <v/>
      </c>
      <c r="V459">
        <f>HYPERLINK("https://klasma.github.io/Logging_1882/klagomål/A 29576-2023 FSC-klagomål.docx", "A 29576-2023")</f>
        <v/>
      </c>
      <c r="W459">
        <f>HYPERLINK("https://klasma.github.io/Logging_1882/klagomålsmail/A 29576-2023 FSC-klagomål mail.docx", "A 29576-2023")</f>
        <v/>
      </c>
      <c r="X459">
        <f>HYPERLINK("https://klasma.github.io/Logging_1882/tillsyn/A 29576-2023 tillsynsbegäran.docx", "A 29576-2023")</f>
        <v/>
      </c>
      <c r="Y459">
        <f>HYPERLINK("https://klasma.github.io/Logging_1882/tillsynsmail/A 29576-2023 tillsynsbegäran mail.docx", "A 29576-2023")</f>
        <v/>
      </c>
    </row>
    <row r="460" ht="15" customHeight="1">
      <c r="A460" t="inlineStr">
        <is>
          <t>A 30446-2023</t>
        </is>
      </c>
      <c r="B460" s="1" t="n">
        <v>45111</v>
      </c>
      <c r="C460" s="1" t="n">
        <v>45797</v>
      </c>
      <c r="D460" t="inlineStr">
        <is>
          <t>ÖREBRO LÄN</t>
        </is>
      </c>
      <c r="E460" t="inlineStr">
        <is>
          <t>ASKERSUND</t>
        </is>
      </c>
      <c r="F460" t="inlineStr">
        <is>
          <t>Sveaskog</t>
        </is>
      </c>
      <c r="G460" t="n">
        <v>2.4</v>
      </c>
      <c r="H460" t="n">
        <v>0</v>
      </c>
      <c r="I460" t="n">
        <v>0</v>
      </c>
      <c r="J460" t="n">
        <v>1</v>
      </c>
      <c r="K460" t="n">
        <v>0</v>
      </c>
      <c r="L460" t="n">
        <v>0</v>
      </c>
      <c r="M460" t="n">
        <v>0</v>
      </c>
      <c r="N460" t="n">
        <v>0</v>
      </c>
      <c r="O460" t="n">
        <v>1</v>
      </c>
      <c r="P460" t="n">
        <v>0</v>
      </c>
      <c r="Q460" t="n">
        <v>1</v>
      </c>
      <c r="R460" s="2" t="inlineStr">
        <is>
          <t>Svinrot</t>
        </is>
      </c>
      <c r="S460">
        <f>HYPERLINK("https://klasma.github.io/Logging_1882/artfynd/A 30446-2023 artfynd.xlsx", "A 30446-2023")</f>
        <v/>
      </c>
      <c r="T460">
        <f>HYPERLINK("https://klasma.github.io/Logging_1882/kartor/A 30446-2023 karta.png", "A 30446-2023")</f>
        <v/>
      </c>
      <c r="V460">
        <f>HYPERLINK("https://klasma.github.io/Logging_1882/klagomål/A 30446-2023 FSC-klagomål.docx", "A 30446-2023")</f>
        <v/>
      </c>
      <c r="W460">
        <f>HYPERLINK("https://klasma.github.io/Logging_1882/klagomålsmail/A 30446-2023 FSC-klagomål mail.docx", "A 30446-2023")</f>
        <v/>
      </c>
      <c r="X460">
        <f>HYPERLINK("https://klasma.github.io/Logging_1882/tillsyn/A 30446-2023 tillsynsbegäran.docx", "A 30446-2023")</f>
        <v/>
      </c>
      <c r="Y460">
        <f>HYPERLINK("https://klasma.github.io/Logging_1882/tillsynsmail/A 30446-2023 tillsynsbegäran mail.docx", "A 30446-2023")</f>
        <v/>
      </c>
    </row>
    <row r="461" ht="15" customHeight="1">
      <c r="A461" t="inlineStr">
        <is>
          <t>A 30708-2023</t>
        </is>
      </c>
      <c r="B461" s="1" t="n">
        <v>45112</v>
      </c>
      <c r="C461" s="1" t="n">
        <v>45797</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Sångsvan</t>
        </is>
      </c>
      <c r="S461">
        <f>HYPERLINK("https://klasma.github.io/Logging_1880/artfynd/A 30708-2023 artfynd.xlsx", "A 30708-2023")</f>
        <v/>
      </c>
      <c r="T461">
        <f>HYPERLINK("https://klasma.github.io/Logging_1880/kartor/A 30708-2023 karta.png", "A 30708-2023")</f>
        <v/>
      </c>
      <c r="V461">
        <f>HYPERLINK("https://klasma.github.io/Logging_1880/klagomål/A 30708-2023 FSC-klagomål.docx", "A 30708-2023")</f>
        <v/>
      </c>
      <c r="W461">
        <f>HYPERLINK("https://klasma.github.io/Logging_1880/klagomålsmail/A 30708-2023 FSC-klagomål mail.docx", "A 30708-2023")</f>
        <v/>
      </c>
      <c r="X461">
        <f>HYPERLINK("https://klasma.github.io/Logging_1880/tillsyn/A 30708-2023 tillsynsbegäran.docx", "A 30708-2023")</f>
        <v/>
      </c>
      <c r="Y461">
        <f>HYPERLINK("https://klasma.github.io/Logging_1880/tillsynsmail/A 30708-2023 tillsynsbegäran mail.docx", "A 30708-2023")</f>
        <v/>
      </c>
      <c r="Z461">
        <f>HYPERLINK("https://klasma.github.io/Logging_1880/fåglar/A 30708-2023 prioriterade fågelarter.docx", "A 30708-2023")</f>
        <v/>
      </c>
    </row>
    <row r="462" ht="15" customHeight="1">
      <c r="A462" t="inlineStr">
        <is>
          <t>A 30725-2023</t>
        </is>
      </c>
      <c r="B462" s="1" t="n">
        <v>45112</v>
      </c>
      <c r="C462" s="1" t="n">
        <v>45797</v>
      </c>
      <c r="D462" t="inlineStr">
        <is>
          <t>ÖREBRO LÄN</t>
        </is>
      </c>
      <c r="E462" t="inlineStr">
        <is>
          <t>ÖREBRO</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HYPERLINK("https://klasma.github.io/Logging_1880/artfynd/A 30725-2023 artfynd.xlsx", "A 30725-2023")</f>
        <v/>
      </c>
      <c r="T462">
        <f>HYPERLINK("https://klasma.github.io/Logging_1880/kartor/A 30725-2023 karta.png", "A 30725-2023")</f>
        <v/>
      </c>
      <c r="V462">
        <f>HYPERLINK("https://klasma.github.io/Logging_1880/klagomål/A 30725-2023 FSC-klagomål.docx", "A 30725-2023")</f>
        <v/>
      </c>
      <c r="W462">
        <f>HYPERLINK("https://klasma.github.io/Logging_1880/klagomålsmail/A 30725-2023 FSC-klagomål mail.docx", "A 30725-2023")</f>
        <v/>
      </c>
      <c r="X462">
        <f>HYPERLINK("https://klasma.github.io/Logging_1880/tillsyn/A 30725-2023 tillsynsbegäran.docx", "A 30725-2023")</f>
        <v/>
      </c>
      <c r="Y462">
        <f>HYPERLINK("https://klasma.github.io/Logging_1880/tillsynsmail/A 30725-2023 tillsynsbegäran mail.docx", "A 30725-2023")</f>
        <v/>
      </c>
      <c r="Z462">
        <f>HYPERLINK("https://klasma.github.io/Logging_1880/fåglar/A 30725-2023 prioriterade fågelarter.docx", "A 30725-2023")</f>
        <v/>
      </c>
    </row>
    <row r="463" ht="15" customHeight="1">
      <c r="A463" t="inlineStr">
        <is>
          <t>A 31512-2023</t>
        </is>
      </c>
      <c r="B463" s="1" t="n">
        <v>45115</v>
      </c>
      <c r="C463" s="1" t="n">
        <v>45797</v>
      </c>
      <c r="D463" t="inlineStr">
        <is>
          <t>ÖREBRO LÄN</t>
        </is>
      </c>
      <c r="E463" t="inlineStr">
        <is>
          <t>ASKERSUND</t>
        </is>
      </c>
      <c r="F463" t="inlineStr">
        <is>
          <t>Sveaskog</t>
        </is>
      </c>
      <c r="G463" t="n">
        <v>1.1</v>
      </c>
      <c r="H463" t="n">
        <v>1</v>
      </c>
      <c r="I463" t="n">
        <v>0</v>
      </c>
      <c r="J463" t="n">
        <v>1</v>
      </c>
      <c r="K463" t="n">
        <v>0</v>
      </c>
      <c r="L463" t="n">
        <v>0</v>
      </c>
      <c r="M463" t="n">
        <v>0</v>
      </c>
      <c r="N463" t="n">
        <v>0</v>
      </c>
      <c r="O463" t="n">
        <v>1</v>
      </c>
      <c r="P463" t="n">
        <v>0</v>
      </c>
      <c r="Q463" t="n">
        <v>1</v>
      </c>
      <c r="R463" s="2" t="inlineStr">
        <is>
          <t>Talltita</t>
        </is>
      </c>
      <c r="S463">
        <f>HYPERLINK("https://klasma.github.io/Logging_1882/artfynd/A 31512-2023 artfynd.xlsx", "A 31512-2023")</f>
        <v/>
      </c>
      <c r="T463">
        <f>HYPERLINK("https://klasma.github.io/Logging_1882/kartor/A 31512-2023 karta.png", "A 31512-2023")</f>
        <v/>
      </c>
      <c r="V463">
        <f>HYPERLINK("https://klasma.github.io/Logging_1882/klagomål/A 31512-2023 FSC-klagomål.docx", "A 31512-2023")</f>
        <v/>
      </c>
      <c r="W463">
        <f>HYPERLINK("https://klasma.github.io/Logging_1882/klagomålsmail/A 31512-2023 FSC-klagomål mail.docx", "A 31512-2023")</f>
        <v/>
      </c>
      <c r="X463">
        <f>HYPERLINK("https://klasma.github.io/Logging_1882/tillsyn/A 31512-2023 tillsynsbegäran.docx", "A 31512-2023")</f>
        <v/>
      </c>
      <c r="Y463">
        <f>HYPERLINK("https://klasma.github.io/Logging_1882/tillsynsmail/A 31512-2023 tillsynsbegäran mail.docx", "A 31512-2023")</f>
        <v/>
      </c>
      <c r="Z463">
        <f>HYPERLINK("https://klasma.github.io/Logging_1882/fåglar/A 31512-2023 prioriterade fågelarter.docx", "A 31512-2023")</f>
        <v/>
      </c>
    </row>
    <row r="464" ht="15" customHeight="1">
      <c r="A464" t="inlineStr">
        <is>
          <t>A 31645-2023</t>
        </is>
      </c>
      <c r="B464" s="1" t="n">
        <v>45117</v>
      </c>
      <c r="C464" s="1" t="n">
        <v>45797</v>
      </c>
      <c r="D464" t="inlineStr">
        <is>
          <t>ÖREBRO LÄN</t>
        </is>
      </c>
      <c r="E464" t="inlineStr">
        <is>
          <t>LEKEBERG</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HYPERLINK("https://klasma.github.io/Logging_1814/artfynd/A 31645-2023 artfynd.xlsx", "A 31645-2023")</f>
        <v/>
      </c>
      <c r="T464">
        <f>HYPERLINK("https://klasma.github.io/Logging_1814/kartor/A 31645-2023 karta.png", "A 31645-2023")</f>
        <v/>
      </c>
      <c r="V464">
        <f>HYPERLINK("https://klasma.github.io/Logging_1814/klagomål/A 31645-2023 FSC-klagomål.docx", "A 31645-2023")</f>
        <v/>
      </c>
      <c r="W464">
        <f>HYPERLINK("https://klasma.github.io/Logging_1814/klagomålsmail/A 31645-2023 FSC-klagomål mail.docx", "A 31645-2023")</f>
        <v/>
      </c>
      <c r="X464">
        <f>HYPERLINK("https://klasma.github.io/Logging_1814/tillsyn/A 31645-2023 tillsynsbegäran.docx", "A 31645-2023")</f>
        <v/>
      </c>
      <c r="Y464">
        <f>HYPERLINK("https://klasma.github.io/Logging_1814/tillsynsmail/A 31645-2023 tillsynsbegäran mail.docx", "A 31645-2023")</f>
        <v/>
      </c>
    </row>
    <row r="465" ht="15" customHeight="1">
      <c r="A465" t="inlineStr">
        <is>
          <t>A 32105-2023</t>
        </is>
      </c>
      <c r="B465" s="1" t="n">
        <v>45119</v>
      </c>
      <c r="C465" s="1" t="n">
        <v>45797</v>
      </c>
      <c r="D465" t="inlineStr">
        <is>
          <t>ÖREBRO LÄN</t>
        </is>
      </c>
      <c r="E465" t="inlineStr">
        <is>
          <t>ÖREBRO</t>
        </is>
      </c>
      <c r="G465" t="n">
        <v>1.3</v>
      </c>
      <c r="H465" t="n">
        <v>1</v>
      </c>
      <c r="I465" t="n">
        <v>0</v>
      </c>
      <c r="J465" t="n">
        <v>1</v>
      </c>
      <c r="K465" t="n">
        <v>0</v>
      </c>
      <c r="L465" t="n">
        <v>0</v>
      </c>
      <c r="M465" t="n">
        <v>0</v>
      </c>
      <c r="N465" t="n">
        <v>0</v>
      </c>
      <c r="O465" t="n">
        <v>1</v>
      </c>
      <c r="P465" t="n">
        <v>0</v>
      </c>
      <c r="Q465" t="n">
        <v>1</v>
      </c>
      <c r="R465" s="2" t="inlineStr">
        <is>
          <t>Rödvingetrast</t>
        </is>
      </c>
      <c r="S465">
        <f>HYPERLINK("https://klasma.github.io/Logging_1880/artfynd/A 32105-2023 artfynd.xlsx", "A 32105-2023")</f>
        <v/>
      </c>
      <c r="T465">
        <f>HYPERLINK("https://klasma.github.io/Logging_1880/kartor/A 32105-2023 karta.png", "A 32105-2023")</f>
        <v/>
      </c>
      <c r="V465">
        <f>HYPERLINK("https://klasma.github.io/Logging_1880/klagomål/A 32105-2023 FSC-klagomål.docx", "A 32105-2023")</f>
        <v/>
      </c>
      <c r="W465">
        <f>HYPERLINK("https://klasma.github.io/Logging_1880/klagomålsmail/A 32105-2023 FSC-klagomål mail.docx", "A 32105-2023")</f>
        <v/>
      </c>
      <c r="X465">
        <f>HYPERLINK("https://klasma.github.io/Logging_1880/tillsyn/A 32105-2023 tillsynsbegäran.docx", "A 32105-2023")</f>
        <v/>
      </c>
      <c r="Y465">
        <f>HYPERLINK("https://klasma.github.io/Logging_1880/tillsynsmail/A 32105-2023 tillsynsbegäran mail.docx", "A 32105-2023")</f>
        <v/>
      </c>
      <c r="Z465">
        <f>HYPERLINK("https://klasma.github.io/Logging_1880/fåglar/A 32105-2023 prioriterade fågelarter.docx", "A 32105-2023")</f>
        <v/>
      </c>
    </row>
    <row r="466" ht="15" customHeight="1">
      <c r="A466" t="inlineStr">
        <is>
          <t>A 34042-2023</t>
        </is>
      </c>
      <c r="B466" s="1" t="n">
        <v>45125</v>
      </c>
      <c r="C466" s="1" t="n">
        <v>45797</v>
      </c>
      <c r="D466" t="inlineStr">
        <is>
          <t>ÖREBRO LÄN</t>
        </is>
      </c>
      <c r="E466" t="inlineStr">
        <is>
          <t>LJUSNARSBERG</t>
        </is>
      </c>
      <c r="G466" t="n">
        <v>4.6</v>
      </c>
      <c r="H466" t="n">
        <v>0</v>
      </c>
      <c r="I466" t="n">
        <v>0</v>
      </c>
      <c r="J466" t="n">
        <v>1</v>
      </c>
      <c r="K466" t="n">
        <v>0</v>
      </c>
      <c r="L466" t="n">
        <v>0</v>
      </c>
      <c r="M466" t="n">
        <v>0</v>
      </c>
      <c r="N466" t="n">
        <v>0</v>
      </c>
      <c r="O466" t="n">
        <v>1</v>
      </c>
      <c r="P466" t="n">
        <v>0</v>
      </c>
      <c r="Q466" t="n">
        <v>1</v>
      </c>
      <c r="R466" s="2" t="inlineStr">
        <is>
          <t>Garnlav</t>
        </is>
      </c>
      <c r="S466">
        <f>HYPERLINK("https://klasma.github.io/Logging_1864/artfynd/A 34042-2023 artfynd.xlsx", "A 34042-2023")</f>
        <v/>
      </c>
      <c r="T466">
        <f>HYPERLINK("https://klasma.github.io/Logging_1864/kartor/A 34042-2023 karta.png", "A 34042-2023")</f>
        <v/>
      </c>
      <c r="V466">
        <f>HYPERLINK("https://klasma.github.io/Logging_1864/klagomål/A 34042-2023 FSC-klagomål.docx", "A 34042-2023")</f>
        <v/>
      </c>
      <c r="W466">
        <f>HYPERLINK("https://klasma.github.io/Logging_1864/klagomålsmail/A 34042-2023 FSC-klagomål mail.docx", "A 34042-2023")</f>
        <v/>
      </c>
      <c r="X466">
        <f>HYPERLINK("https://klasma.github.io/Logging_1864/tillsyn/A 34042-2023 tillsynsbegäran.docx", "A 34042-2023")</f>
        <v/>
      </c>
      <c r="Y466">
        <f>HYPERLINK("https://klasma.github.io/Logging_1864/tillsynsmail/A 34042-2023 tillsynsbegäran mail.docx", "A 34042-2023")</f>
        <v/>
      </c>
    </row>
    <row r="467" ht="15" customHeight="1">
      <c r="A467" t="inlineStr">
        <is>
          <t>A 33101-2023</t>
        </is>
      </c>
      <c r="B467" s="1" t="n">
        <v>45126</v>
      </c>
      <c r="C467" s="1" t="n">
        <v>45797</v>
      </c>
      <c r="D467" t="inlineStr">
        <is>
          <t>ÖREBRO LÄN</t>
        </is>
      </c>
      <c r="E467" t="inlineStr">
        <is>
          <t>HALLSBERG</t>
        </is>
      </c>
      <c r="F467" t="inlineStr">
        <is>
          <t>Sveaskog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HYPERLINK("https://klasma.github.io/Logging_1861/artfynd/A 33101-2023 artfynd.xlsx", "A 33101-2023")</f>
        <v/>
      </c>
      <c r="T467">
        <f>HYPERLINK("https://klasma.github.io/Logging_1861/kartor/A 33101-2023 karta.png", "A 33101-2023")</f>
        <v/>
      </c>
      <c r="V467">
        <f>HYPERLINK("https://klasma.github.io/Logging_1861/klagomål/A 33101-2023 FSC-klagomål.docx", "A 33101-2023")</f>
        <v/>
      </c>
      <c r="W467">
        <f>HYPERLINK("https://klasma.github.io/Logging_1861/klagomålsmail/A 33101-2023 FSC-klagomål mail.docx", "A 33101-2023")</f>
        <v/>
      </c>
      <c r="X467">
        <f>HYPERLINK("https://klasma.github.io/Logging_1861/tillsyn/A 33101-2023 tillsynsbegäran.docx", "A 33101-2023")</f>
        <v/>
      </c>
      <c r="Y467">
        <f>HYPERLINK("https://klasma.github.io/Logging_1861/tillsynsmail/A 33101-2023 tillsynsbegäran mail.docx", "A 33101-2023")</f>
        <v/>
      </c>
    </row>
    <row r="468" ht="15" customHeight="1">
      <c r="A468" t="inlineStr">
        <is>
          <t>A 34239-2023</t>
        </is>
      </c>
      <c r="B468" s="1" t="n">
        <v>45138</v>
      </c>
      <c r="C468" s="1" t="n">
        <v>45797</v>
      </c>
      <c r="D468" t="inlineStr">
        <is>
          <t>ÖREBRO LÄN</t>
        </is>
      </c>
      <c r="E468" t="inlineStr">
        <is>
          <t>LINDESBERG</t>
        </is>
      </c>
      <c r="F468" t="inlineStr">
        <is>
          <t>Sveaskog</t>
        </is>
      </c>
      <c r="G468" t="n">
        <v>6</v>
      </c>
      <c r="H468" t="n">
        <v>1</v>
      </c>
      <c r="I468" t="n">
        <v>1</v>
      </c>
      <c r="J468" t="n">
        <v>0</v>
      </c>
      <c r="K468" t="n">
        <v>0</v>
      </c>
      <c r="L468" t="n">
        <v>0</v>
      </c>
      <c r="M468" t="n">
        <v>0</v>
      </c>
      <c r="N468" t="n">
        <v>0</v>
      </c>
      <c r="O468" t="n">
        <v>0</v>
      </c>
      <c r="P468" t="n">
        <v>0</v>
      </c>
      <c r="Q468" t="n">
        <v>1</v>
      </c>
      <c r="R468" s="2" t="inlineStr">
        <is>
          <t>Plattlummer</t>
        </is>
      </c>
      <c r="S468">
        <f>HYPERLINK("https://klasma.github.io/Logging_1885/artfynd/A 34239-2023 artfynd.xlsx", "A 34239-2023")</f>
        <v/>
      </c>
      <c r="T468">
        <f>HYPERLINK("https://klasma.github.io/Logging_1885/kartor/A 34239-2023 karta.png", "A 34239-2023")</f>
        <v/>
      </c>
      <c r="V468">
        <f>HYPERLINK("https://klasma.github.io/Logging_1885/klagomål/A 34239-2023 FSC-klagomål.docx", "A 34239-2023")</f>
        <v/>
      </c>
      <c r="W468">
        <f>HYPERLINK("https://klasma.github.io/Logging_1885/klagomålsmail/A 34239-2023 FSC-klagomål mail.docx", "A 34239-2023")</f>
        <v/>
      </c>
      <c r="X468">
        <f>HYPERLINK("https://klasma.github.io/Logging_1885/tillsyn/A 34239-2023 tillsynsbegäran.docx", "A 34239-2023")</f>
        <v/>
      </c>
      <c r="Y468">
        <f>HYPERLINK("https://klasma.github.io/Logging_1885/tillsynsmail/A 34239-2023 tillsynsbegäran mail.docx", "A 34239-2023")</f>
        <v/>
      </c>
    </row>
    <row r="469" ht="15" customHeight="1">
      <c r="A469" t="inlineStr">
        <is>
          <t>A 35540-2023</t>
        </is>
      </c>
      <c r="B469" s="1" t="n">
        <v>45147</v>
      </c>
      <c r="C469" s="1" t="n">
        <v>45797</v>
      </c>
      <c r="D469" t="inlineStr">
        <is>
          <t>ÖREBRO LÄN</t>
        </is>
      </c>
      <c r="E469" t="inlineStr">
        <is>
          <t>LAXÅ</t>
        </is>
      </c>
      <c r="G469" t="n">
        <v>6.4</v>
      </c>
      <c r="H469" t="n">
        <v>0</v>
      </c>
      <c r="I469" t="n">
        <v>1</v>
      </c>
      <c r="J469" t="n">
        <v>0</v>
      </c>
      <c r="K469" t="n">
        <v>0</v>
      </c>
      <c r="L469" t="n">
        <v>0</v>
      </c>
      <c r="M469" t="n">
        <v>0</v>
      </c>
      <c r="N469" t="n">
        <v>0</v>
      </c>
      <c r="O469" t="n">
        <v>0</v>
      </c>
      <c r="P469" t="n">
        <v>0</v>
      </c>
      <c r="Q469" t="n">
        <v>1</v>
      </c>
      <c r="R469" s="2" t="inlineStr">
        <is>
          <t>Vedticka</t>
        </is>
      </c>
      <c r="S469">
        <f>HYPERLINK("https://klasma.github.io/Logging_1860/artfynd/A 35540-2023 artfynd.xlsx", "A 35540-2023")</f>
        <v/>
      </c>
      <c r="T469">
        <f>HYPERLINK("https://klasma.github.io/Logging_1860/kartor/A 35540-2023 karta.png", "A 35540-2023")</f>
        <v/>
      </c>
      <c r="V469">
        <f>HYPERLINK("https://klasma.github.io/Logging_1860/klagomål/A 35540-2023 FSC-klagomål.docx", "A 35540-2023")</f>
        <v/>
      </c>
      <c r="W469">
        <f>HYPERLINK("https://klasma.github.io/Logging_1860/klagomålsmail/A 35540-2023 FSC-klagomål mail.docx", "A 35540-2023")</f>
        <v/>
      </c>
      <c r="X469">
        <f>HYPERLINK("https://klasma.github.io/Logging_1860/tillsyn/A 35540-2023 tillsynsbegäran.docx", "A 35540-2023")</f>
        <v/>
      </c>
      <c r="Y469">
        <f>HYPERLINK("https://klasma.github.io/Logging_1860/tillsynsmail/A 35540-2023 tillsynsbegäran mail.docx", "A 35540-2023")</f>
        <v/>
      </c>
    </row>
    <row r="470" ht="15" customHeight="1">
      <c r="A470" t="inlineStr">
        <is>
          <t>A 36147-2023</t>
        </is>
      </c>
      <c r="B470" s="1" t="n">
        <v>45149</v>
      </c>
      <c r="C470" s="1" t="n">
        <v>45797</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Skogshare</t>
        </is>
      </c>
      <c r="S470">
        <f>HYPERLINK("https://klasma.github.io/Logging_1885/artfynd/A 36147-2023 artfynd.xlsx", "A 36147-2023")</f>
        <v/>
      </c>
      <c r="T470">
        <f>HYPERLINK("https://klasma.github.io/Logging_1885/kartor/A 36147-2023 karta.png", "A 36147-2023")</f>
        <v/>
      </c>
      <c r="V470">
        <f>HYPERLINK("https://klasma.github.io/Logging_1885/klagomål/A 36147-2023 FSC-klagomål.docx", "A 36147-2023")</f>
        <v/>
      </c>
      <c r="W470">
        <f>HYPERLINK("https://klasma.github.io/Logging_1885/klagomålsmail/A 36147-2023 FSC-klagomål mail.docx", "A 36147-2023")</f>
        <v/>
      </c>
      <c r="X470">
        <f>HYPERLINK("https://klasma.github.io/Logging_1885/tillsyn/A 36147-2023 tillsynsbegäran.docx", "A 36147-2023")</f>
        <v/>
      </c>
      <c r="Y470">
        <f>HYPERLINK("https://klasma.github.io/Logging_1885/tillsynsmail/A 36147-2023 tillsynsbegäran mail.docx", "A 36147-2023")</f>
        <v/>
      </c>
    </row>
    <row r="471" ht="15" customHeight="1">
      <c r="A471" t="inlineStr">
        <is>
          <t>A 37915-2023</t>
        </is>
      </c>
      <c r="B471" s="1" t="n">
        <v>45160</v>
      </c>
      <c r="C471" s="1" t="n">
        <v>45797</v>
      </c>
      <c r="D471" t="inlineStr">
        <is>
          <t>ÖREBRO LÄN</t>
        </is>
      </c>
      <c r="E471" t="inlineStr">
        <is>
          <t>LINDESBERG</t>
        </is>
      </c>
      <c r="F471" t="inlineStr">
        <is>
          <t>Kommuner</t>
        </is>
      </c>
      <c r="G471" t="n">
        <v>1.2</v>
      </c>
      <c r="H471" t="n">
        <v>0</v>
      </c>
      <c r="I471" t="n">
        <v>0</v>
      </c>
      <c r="J471" t="n">
        <v>1</v>
      </c>
      <c r="K471" t="n">
        <v>0</v>
      </c>
      <c r="L471" t="n">
        <v>0</v>
      </c>
      <c r="M471" t="n">
        <v>0</v>
      </c>
      <c r="N471" t="n">
        <v>0</v>
      </c>
      <c r="O471" t="n">
        <v>1</v>
      </c>
      <c r="P471" t="n">
        <v>0</v>
      </c>
      <c r="Q471" t="n">
        <v>1</v>
      </c>
      <c r="R471" s="2" t="inlineStr">
        <is>
          <t>Skogsklocka</t>
        </is>
      </c>
      <c r="S471">
        <f>HYPERLINK("https://klasma.github.io/Logging_1885/artfynd/A 37915-2023 artfynd.xlsx", "A 37915-2023")</f>
        <v/>
      </c>
      <c r="T471">
        <f>HYPERLINK("https://klasma.github.io/Logging_1885/kartor/A 37915-2023 karta.png", "A 37915-2023")</f>
        <v/>
      </c>
      <c r="V471">
        <f>HYPERLINK("https://klasma.github.io/Logging_1885/klagomål/A 37915-2023 FSC-klagomål.docx", "A 37915-2023")</f>
        <v/>
      </c>
      <c r="W471">
        <f>HYPERLINK("https://klasma.github.io/Logging_1885/klagomålsmail/A 37915-2023 FSC-klagomål mail.docx", "A 37915-2023")</f>
        <v/>
      </c>
      <c r="X471">
        <f>HYPERLINK("https://klasma.github.io/Logging_1885/tillsyn/A 37915-2023 tillsynsbegäran.docx", "A 37915-2023")</f>
        <v/>
      </c>
      <c r="Y471">
        <f>HYPERLINK("https://klasma.github.io/Logging_1885/tillsynsmail/A 37915-2023 tillsynsbegäran mail.docx", "A 37915-2023")</f>
        <v/>
      </c>
    </row>
    <row r="472" ht="15" customHeight="1">
      <c r="A472" t="inlineStr">
        <is>
          <t>A 40966-2023</t>
        </is>
      </c>
      <c r="B472" s="1" t="n">
        <v>45169</v>
      </c>
      <c r="C472" s="1" t="n">
        <v>45797</v>
      </c>
      <c r="D472" t="inlineStr">
        <is>
          <t>ÖREBRO LÄN</t>
        </is>
      </c>
      <c r="E472" t="inlineStr">
        <is>
          <t>LINDESBERG</t>
        </is>
      </c>
      <c r="G472" t="n">
        <v>10.4</v>
      </c>
      <c r="H472" t="n">
        <v>0</v>
      </c>
      <c r="I472" t="n">
        <v>1</v>
      </c>
      <c r="J472" t="n">
        <v>0</v>
      </c>
      <c r="K472" t="n">
        <v>0</v>
      </c>
      <c r="L472" t="n">
        <v>0</v>
      </c>
      <c r="M472" t="n">
        <v>0</v>
      </c>
      <c r="N472" t="n">
        <v>0</v>
      </c>
      <c r="O472" t="n">
        <v>0</v>
      </c>
      <c r="P472" t="n">
        <v>0</v>
      </c>
      <c r="Q472" t="n">
        <v>1</v>
      </c>
      <c r="R472" s="2" t="inlineStr">
        <is>
          <t>Stuplav</t>
        </is>
      </c>
      <c r="S472">
        <f>HYPERLINK("https://klasma.github.io/Logging_1885/artfynd/A 40966-2023 artfynd.xlsx", "A 40966-2023")</f>
        <v/>
      </c>
      <c r="T472">
        <f>HYPERLINK("https://klasma.github.io/Logging_1885/kartor/A 40966-2023 karta.png", "A 40966-2023")</f>
        <v/>
      </c>
      <c r="V472">
        <f>HYPERLINK("https://klasma.github.io/Logging_1885/klagomål/A 40966-2023 FSC-klagomål.docx", "A 40966-2023")</f>
        <v/>
      </c>
      <c r="W472">
        <f>HYPERLINK("https://klasma.github.io/Logging_1885/klagomålsmail/A 40966-2023 FSC-klagomål mail.docx", "A 40966-2023")</f>
        <v/>
      </c>
      <c r="X472">
        <f>HYPERLINK("https://klasma.github.io/Logging_1885/tillsyn/A 40966-2023 tillsynsbegäran.docx", "A 40966-2023")</f>
        <v/>
      </c>
      <c r="Y472">
        <f>HYPERLINK("https://klasma.github.io/Logging_1885/tillsynsmail/A 40966-2023 tillsynsbegäran mail.docx", "A 40966-2023")</f>
        <v/>
      </c>
    </row>
    <row r="473" ht="15" customHeight="1">
      <c r="A473" t="inlineStr">
        <is>
          <t>A 40812-2023</t>
        </is>
      </c>
      <c r="B473" s="1" t="n">
        <v>45171</v>
      </c>
      <c r="C473" s="1" t="n">
        <v>45797</v>
      </c>
      <c r="D473" t="inlineStr">
        <is>
          <t>ÖREBRO LÄN</t>
        </is>
      </c>
      <c r="E473" t="inlineStr">
        <is>
          <t>LJUSNARSBERG</t>
        </is>
      </c>
      <c r="G473" t="n">
        <v>3.1</v>
      </c>
      <c r="H473" t="n">
        <v>1</v>
      </c>
      <c r="I473" t="n">
        <v>0</v>
      </c>
      <c r="J473" t="n">
        <v>1</v>
      </c>
      <c r="K473" t="n">
        <v>0</v>
      </c>
      <c r="L473" t="n">
        <v>0</v>
      </c>
      <c r="M473" t="n">
        <v>0</v>
      </c>
      <c r="N473" t="n">
        <v>0</v>
      </c>
      <c r="O473" t="n">
        <v>1</v>
      </c>
      <c r="P473" t="n">
        <v>0</v>
      </c>
      <c r="Q473" t="n">
        <v>1</v>
      </c>
      <c r="R473" s="2" t="inlineStr">
        <is>
          <t>Talltita</t>
        </is>
      </c>
      <c r="S473">
        <f>HYPERLINK("https://klasma.github.io/Logging_1864/artfynd/A 40812-2023 artfynd.xlsx", "A 40812-2023")</f>
        <v/>
      </c>
      <c r="T473">
        <f>HYPERLINK("https://klasma.github.io/Logging_1864/kartor/A 40812-2023 karta.png", "A 40812-2023")</f>
        <v/>
      </c>
      <c r="V473">
        <f>HYPERLINK("https://klasma.github.io/Logging_1864/klagomål/A 40812-2023 FSC-klagomål.docx", "A 40812-2023")</f>
        <v/>
      </c>
      <c r="W473">
        <f>HYPERLINK("https://klasma.github.io/Logging_1864/klagomålsmail/A 40812-2023 FSC-klagomål mail.docx", "A 40812-2023")</f>
        <v/>
      </c>
      <c r="X473">
        <f>HYPERLINK("https://klasma.github.io/Logging_1864/tillsyn/A 40812-2023 tillsynsbegäran.docx", "A 40812-2023")</f>
        <v/>
      </c>
      <c r="Y473">
        <f>HYPERLINK("https://klasma.github.io/Logging_1864/tillsynsmail/A 40812-2023 tillsynsbegäran mail.docx", "A 40812-2023")</f>
        <v/>
      </c>
      <c r="Z473">
        <f>HYPERLINK("https://klasma.github.io/Logging_1864/fåglar/A 40812-2023 prioriterade fågelarter.docx", "A 40812-2023")</f>
        <v/>
      </c>
    </row>
    <row r="474" ht="15" customHeight="1">
      <c r="A474" t="inlineStr">
        <is>
          <t>A 41520-2023</t>
        </is>
      </c>
      <c r="B474" s="1" t="n">
        <v>45175</v>
      </c>
      <c r="C474" s="1" t="n">
        <v>45797</v>
      </c>
      <c r="D474" t="inlineStr">
        <is>
          <t>ÖREBRO LÄN</t>
        </is>
      </c>
      <c r="E474" t="inlineStr">
        <is>
          <t>DEGERFORS</t>
        </is>
      </c>
      <c r="F474" t="inlineStr">
        <is>
          <t>Sveaskog</t>
        </is>
      </c>
      <c r="G474" t="n">
        <v>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41520-2023 artfynd.xlsx", "A 41520-2023")</f>
        <v/>
      </c>
      <c r="T474">
        <f>HYPERLINK("https://klasma.github.io/Logging_1862/kartor/A 41520-2023 karta.png", "A 41520-2023")</f>
        <v/>
      </c>
      <c r="V474">
        <f>HYPERLINK("https://klasma.github.io/Logging_1862/klagomål/A 41520-2023 FSC-klagomål.docx", "A 41520-2023")</f>
        <v/>
      </c>
      <c r="W474">
        <f>HYPERLINK("https://klasma.github.io/Logging_1862/klagomålsmail/A 41520-2023 FSC-klagomål mail.docx", "A 41520-2023")</f>
        <v/>
      </c>
      <c r="X474">
        <f>HYPERLINK("https://klasma.github.io/Logging_1862/tillsyn/A 41520-2023 tillsynsbegäran.docx", "A 41520-2023")</f>
        <v/>
      </c>
      <c r="Y474">
        <f>HYPERLINK("https://klasma.github.io/Logging_1862/tillsynsmail/A 41520-2023 tillsynsbegäran mail.docx", "A 41520-2023")</f>
        <v/>
      </c>
      <c r="Z474">
        <f>HYPERLINK("https://klasma.github.io/Logging_1862/fåglar/A 41520-2023 prioriterade fågelarter.docx", "A 41520-2023")</f>
        <v/>
      </c>
    </row>
    <row r="475" ht="15" customHeight="1">
      <c r="A475" t="inlineStr">
        <is>
          <t>A 41519-2023</t>
        </is>
      </c>
      <c r="B475" s="1" t="n">
        <v>45175</v>
      </c>
      <c r="C475" s="1" t="n">
        <v>45797</v>
      </c>
      <c r="D475" t="inlineStr">
        <is>
          <t>ÖREBRO LÄN</t>
        </is>
      </c>
      <c r="E475" t="inlineStr">
        <is>
          <t>DEGERFORS</t>
        </is>
      </c>
      <c r="F475" t="inlineStr">
        <is>
          <t>Sveaskog</t>
        </is>
      </c>
      <c r="G475" t="n">
        <v>3.3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41519-2023 artfynd.xlsx", "A 41519-2023")</f>
        <v/>
      </c>
      <c r="T475">
        <f>HYPERLINK("https://klasma.github.io/Logging_1862/kartor/A 41519-2023 karta.png", "A 41519-2023")</f>
        <v/>
      </c>
      <c r="V475">
        <f>HYPERLINK("https://klasma.github.io/Logging_1862/klagomål/A 41519-2023 FSC-klagomål.docx", "A 41519-2023")</f>
        <v/>
      </c>
      <c r="W475">
        <f>HYPERLINK("https://klasma.github.io/Logging_1862/klagomålsmail/A 41519-2023 FSC-klagomål mail.docx", "A 41519-2023")</f>
        <v/>
      </c>
      <c r="X475">
        <f>HYPERLINK("https://klasma.github.io/Logging_1862/tillsyn/A 41519-2023 tillsynsbegäran.docx", "A 41519-2023")</f>
        <v/>
      </c>
      <c r="Y475">
        <f>HYPERLINK("https://klasma.github.io/Logging_1862/tillsynsmail/A 41519-2023 tillsynsbegäran mail.docx", "A 41519-2023")</f>
        <v/>
      </c>
      <c r="Z475">
        <f>HYPERLINK("https://klasma.github.io/Logging_1862/fåglar/A 41519-2023 prioriterade fågelarter.docx", "A 41519-2023")</f>
        <v/>
      </c>
    </row>
    <row r="476" ht="15" customHeight="1">
      <c r="A476" t="inlineStr">
        <is>
          <t>A 41834-2023</t>
        </is>
      </c>
      <c r="B476" s="1" t="n">
        <v>45176</v>
      </c>
      <c r="C476" s="1" t="n">
        <v>45797</v>
      </c>
      <c r="D476" t="inlineStr">
        <is>
          <t>ÖREBRO LÄN</t>
        </is>
      </c>
      <c r="E476" t="inlineStr">
        <is>
          <t>HÄLLEFORS</t>
        </is>
      </c>
      <c r="F476" t="inlineStr">
        <is>
          <t>Bergvik skog väst AB</t>
        </is>
      </c>
      <c r="G476" t="n">
        <v>3.4</v>
      </c>
      <c r="H476" t="n">
        <v>1</v>
      </c>
      <c r="I476" t="n">
        <v>1</v>
      </c>
      <c r="J476" t="n">
        <v>0</v>
      </c>
      <c r="K476" t="n">
        <v>0</v>
      </c>
      <c r="L476" t="n">
        <v>0</v>
      </c>
      <c r="M476" t="n">
        <v>0</v>
      </c>
      <c r="N476" t="n">
        <v>0</v>
      </c>
      <c r="O476" t="n">
        <v>0</v>
      </c>
      <c r="P476" t="n">
        <v>0</v>
      </c>
      <c r="Q476" t="n">
        <v>1</v>
      </c>
      <c r="R476" s="2" t="inlineStr">
        <is>
          <t>Plattlummer</t>
        </is>
      </c>
      <c r="S476">
        <f>HYPERLINK("https://klasma.github.io/Logging_1863/artfynd/A 41834-2023 artfynd.xlsx", "A 41834-2023")</f>
        <v/>
      </c>
      <c r="T476">
        <f>HYPERLINK("https://klasma.github.io/Logging_1863/kartor/A 41834-2023 karta.png", "A 41834-2023")</f>
        <v/>
      </c>
      <c r="V476">
        <f>HYPERLINK("https://klasma.github.io/Logging_1863/klagomål/A 41834-2023 FSC-klagomål.docx", "A 41834-2023")</f>
        <v/>
      </c>
      <c r="W476">
        <f>HYPERLINK("https://klasma.github.io/Logging_1863/klagomålsmail/A 41834-2023 FSC-klagomål mail.docx", "A 41834-2023")</f>
        <v/>
      </c>
      <c r="X476">
        <f>HYPERLINK("https://klasma.github.io/Logging_1863/tillsyn/A 41834-2023 tillsynsbegäran.docx", "A 41834-2023")</f>
        <v/>
      </c>
      <c r="Y476">
        <f>HYPERLINK("https://klasma.github.io/Logging_1863/tillsynsmail/A 41834-2023 tillsynsbegäran mail.docx", "A 41834-2023")</f>
        <v/>
      </c>
    </row>
    <row r="477" ht="15" customHeight="1">
      <c r="A477" t="inlineStr">
        <is>
          <t>A 44159-2023</t>
        </is>
      </c>
      <c r="B477" s="1" t="n">
        <v>45188</v>
      </c>
      <c r="C477" s="1" t="n">
        <v>45797</v>
      </c>
      <c r="D477" t="inlineStr">
        <is>
          <t>ÖREBRO LÄN</t>
        </is>
      </c>
      <c r="E477" t="inlineStr">
        <is>
          <t>ASKERSUND</t>
        </is>
      </c>
      <c r="F477" t="inlineStr">
        <is>
          <t>Sveaskog</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HYPERLINK("https://klasma.github.io/Logging_1882/artfynd/A 44159-2023 artfynd.xlsx", "A 44159-2023")</f>
        <v/>
      </c>
      <c r="T477">
        <f>HYPERLINK("https://klasma.github.io/Logging_1882/kartor/A 44159-2023 karta.png", "A 44159-2023")</f>
        <v/>
      </c>
      <c r="U477">
        <f>HYPERLINK("https://klasma.github.io/Logging_1882/knärot/A 44159-2023 karta knärot.png", "A 44159-2023")</f>
        <v/>
      </c>
      <c r="V477">
        <f>HYPERLINK("https://klasma.github.io/Logging_1882/klagomål/A 44159-2023 FSC-klagomål.docx", "A 44159-2023")</f>
        <v/>
      </c>
      <c r="W477">
        <f>HYPERLINK("https://klasma.github.io/Logging_1882/klagomålsmail/A 44159-2023 FSC-klagomål mail.docx", "A 44159-2023")</f>
        <v/>
      </c>
      <c r="X477">
        <f>HYPERLINK("https://klasma.github.io/Logging_1882/tillsyn/A 44159-2023 tillsynsbegäran.docx", "A 44159-2023")</f>
        <v/>
      </c>
      <c r="Y477">
        <f>HYPERLINK("https://klasma.github.io/Logging_1882/tillsynsmail/A 44159-2023 tillsynsbegäran mail.docx", "A 44159-2023")</f>
        <v/>
      </c>
    </row>
    <row r="478" ht="15" customHeight="1">
      <c r="A478" t="inlineStr">
        <is>
          <t>A 44858-2023</t>
        </is>
      </c>
      <c r="B478" s="1" t="n">
        <v>45190</v>
      </c>
      <c r="C478" s="1" t="n">
        <v>45797</v>
      </c>
      <c r="D478" t="inlineStr">
        <is>
          <t>ÖREBRO LÄN</t>
        </is>
      </c>
      <c r="E478" t="inlineStr">
        <is>
          <t>DEGERFORS</t>
        </is>
      </c>
      <c r="F478" t="inlineStr">
        <is>
          <t>Sveaskog</t>
        </is>
      </c>
      <c r="G478" t="n">
        <v>14.6</v>
      </c>
      <c r="H478" t="n">
        <v>1</v>
      </c>
      <c r="I478" t="n">
        <v>0</v>
      </c>
      <c r="J478" t="n">
        <v>0</v>
      </c>
      <c r="K478" t="n">
        <v>0</v>
      </c>
      <c r="L478" t="n">
        <v>0</v>
      </c>
      <c r="M478" t="n">
        <v>0</v>
      </c>
      <c r="N478" t="n">
        <v>0</v>
      </c>
      <c r="O478" t="n">
        <v>0</v>
      </c>
      <c r="P478" t="n">
        <v>0</v>
      </c>
      <c r="Q478" t="n">
        <v>1</v>
      </c>
      <c r="R478" s="2" t="inlineStr">
        <is>
          <t>Tjäder</t>
        </is>
      </c>
      <c r="S478">
        <f>HYPERLINK("https://klasma.github.io/Logging_1862/artfynd/A 44858-2023 artfynd.xlsx", "A 44858-2023")</f>
        <v/>
      </c>
      <c r="T478">
        <f>HYPERLINK("https://klasma.github.io/Logging_1862/kartor/A 44858-2023 karta.png", "A 44858-2023")</f>
        <v/>
      </c>
      <c r="V478">
        <f>HYPERLINK("https://klasma.github.io/Logging_1862/klagomål/A 44858-2023 FSC-klagomål.docx", "A 44858-2023")</f>
        <v/>
      </c>
      <c r="W478">
        <f>HYPERLINK("https://klasma.github.io/Logging_1862/klagomålsmail/A 44858-2023 FSC-klagomål mail.docx", "A 44858-2023")</f>
        <v/>
      </c>
      <c r="X478">
        <f>HYPERLINK("https://klasma.github.io/Logging_1862/tillsyn/A 44858-2023 tillsynsbegäran.docx", "A 44858-2023")</f>
        <v/>
      </c>
      <c r="Y478">
        <f>HYPERLINK("https://klasma.github.io/Logging_1862/tillsynsmail/A 44858-2023 tillsynsbegäran mail.docx", "A 44858-2023")</f>
        <v/>
      </c>
      <c r="Z478">
        <f>HYPERLINK("https://klasma.github.io/Logging_1862/fåglar/A 44858-2023 prioriterade fågelarter.docx", "A 44858-2023")</f>
        <v/>
      </c>
    </row>
    <row r="479" ht="15" customHeight="1">
      <c r="A479" t="inlineStr">
        <is>
          <t>A 44862-2023</t>
        </is>
      </c>
      <c r="B479" s="1" t="n">
        <v>45190</v>
      </c>
      <c r="C479" s="1" t="n">
        <v>45797</v>
      </c>
      <c r="D479" t="inlineStr">
        <is>
          <t>ÖREBRO LÄN</t>
        </is>
      </c>
      <c r="E479" t="inlineStr">
        <is>
          <t>DEGERFORS</t>
        </is>
      </c>
      <c r="F479" t="inlineStr">
        <is>
          <t>Sveaskog</t>
        </is>
      </c>
      <c r="G479" t="n">
        <v>2.5</v>
      </c>
      <c r="H479" t="n">
        <v>1</v>
      </c>
      <c r="I479" t="n">
        <v>0</v>
      </c>
      <c r="J479" t="n">
        <v>0</v>
      </c>
      <c r="K479" t="n">
        <v>0</v>
      </c>
      <c r="L479" t="n">
        <v>0</v>
      </c>
      <c r="M479" t="n">
        <v>0</v>
      </c>
      <c r="N479" t="n">
        <v>0</v>
      </c>
      <c r="O479" t="n">
        <v>0</v>
      </c>
      <c r="P479" t="n">
        <v>0</v>
      </c>
      <c r="Q479" t="n">
        <v>1</v>
      </c>
      <c r="R479" s="2" t="inlineStr">
        <is>
          <t>Vanlig padda</t>
        </is>
      </c>
      <c r="S479">
        <f>HYPERLINK("https://klasma.github.io/Logging_1862/artfynd/A 44862-2023 artfynd.xlsx", "A 44862-2023")</f>
        <v/>
      </c>
      <c r="T479">
        <f>HYPERLINK("https://klasma.github.io/Logging_1862/kartor/A 44862-2023 karta.png", "A 44862-2023")</f>
        <v/>
      </c>
      <c r="V479">
        <f>HYPERLINK("https://klasma.github.io/Logging_1862/klagomål/A 44862-2023 FSC-klagomål.docx", "A 44862-2023")</f>
        <v/>
      </c>
      <c r="W479">
        <f>HYPERLINK("https://klasma.github.io/Logging_1862/klagomålsmail/A 44862-2023 FSC-klagomål mail.docx", "A 44862-2023")</f>
        <v/>
      </c>
      <c r="X479">
        <f>HYPERLINK("https://klasma.github.io/Logging_1862/tillsyn/A 44862-2023 tillsynsbegäran.docx", "A 44862-2023")</f>
        <v/>
      </c>
      <c r="Y479">
        <f>HYPERLINK("https://klasma.github.io/Logging_1862/tillsynsmail/A 44862-2023 tillsynsbegäran mail.docx", "A 44862-2023")</f>
        <v/>
      </c>
    </row>
    <row r="480" ht="15" customHeight="1">
      <c r="A480" t="inlineStr">
        <is>
          <t>A 48284-2023</t>
        </is>
      </c>
      <c r="B480" s="1" t="n">
        <v>45205</v>
      </c>
      <c r="C480" s="1" t="n">
        <v>45797</v>
      </c>
      <c r="D480" t="inlineStr">
        <is>
          <t>ÖREBRO LÄN</t>
        </is>
      </c>
      <c r="E480" t="inlineStr">
        <is>
          <t>DEGERFORS</t>
        </is>
      </c>
      <c r="F480" t="inlineStr">
        <is>
          <t>Sveaskog</t>
        </is>
      </c>
      <c r="G480" t="n">
        <v>6.7</v>
      </c>
      <c r="H480" t="n">
        <v>1</v>
      </c>
      <c r="I480" t="n">
        <v>0</v>
      </c>
      <c r="J480" t="n">
        <v>1</v>
      </c>
      <c r="K480" t="n">
        <v>0</v>
      </c>
      <c r="L480" t="n">
        <v>0</v>
      </c>
      <c r="M480" t="n">
        <v>0</v>
      </c>
      <c r="N480" t="n">
        <v>0</v>
      </c>
      <c r="O480" t="n">
        <v>1</v>
      </c>
      <c r="P480" t="n">
        <v>0</v>
      </c>
      <c r="Q480" t="n">
        <v>1</v>
      </c>
      <c r="R480" s="2" t="inlineStr">
        <is>
          <t>Tretåig hackspett</t>
        </is>
      </c>
      <c r="S480">
        <f>HYPERLINK("https://klasma.github.io/Logging_1862/artfynd/A 48284-2023 artfynd.xlsx", "A 48284-2023")</f>
        <v/>
      </c>
      <c r="T480">
        <f>HYPERLINK("https://klasma.github.io/Logging_1862/kartor/A 48284-2023 karta.png", "A 48284-2023")</f>
        <v/>
      </c>
      <c r="V480">
        <f>HYPERLINK("https://klasma.github.io/Logging_1862/klagomål/A 48284-2023 FSC-klagomål.docx", "A 48284-2023")</f>
        <v/>
      </c>
      <c r="W480">
        <f>HYPERLINK("https://klasma.github.io/Logging_1862/klagomålsmail/A 48284-2023 FSC-klagomål mail.docx", "A 48284-2023")</f>
        <v/>
      </c>
      <c r="X480">
        <f>HYPERLINK("https://klasma.github.io/Logging_1862/tillsyn/A 48284-2023 tillsynsbegäran.docx", "A 48284-2023")</f>
        <v/>
      </c>
      <c r="Y480">
        <f>HYPERLINK("https://klasma.github.io/Logging_1862/tillsynsmail/A 48284-2023 tillsynsbegäran mail.docx", "A 48284-2023")</f>
        <v/>
      </c>
      <c r="Z480">
        <f>HYPERLINK("https://klasma.github.io/Logging_1862/fåglar/A 48284-2023 prioriterade fågelarter.docx", "A 48284-2023")</f>
        <v/>
      </c>
    </row>
    <row r="481" ht="15" customHeight="1">
      <c r="A481" t="inlineStr">
        <is>
          <t>A 50961-2023</t>
        </is>
      </c>
      <c r="B481" s="1" t="n">
        <v>45218</v>
      </c>
      <c r="C481" s="1" t="n">
        <v>45797</v>
      </c>
      <c r="D481" t="inlineStr">
        <is>
          <t>ÖREBRO LÄN</t>
        </is>
      </c>
      <c r="E481" t="inlineStr">
        <is>
          <t>LINDESBERG</t>
        </is>
      </c>
      <c r="F481" t="inlineStr">
        <is>
          <t>Sveaskog</t>
        </is>
      </c>
      <c r="G481" t="n">
        <v>6.3</v>
      </c>
      <c r="H481" t="n">
        <v>0</v>
      </c>
      <c r="I481" t="n">
        <v>1</v>
      </c>
      <c r="J481" t="n">
        <v>0</v>
      </c>
      <c r="K481" t="n">
        <v>0</v>
      </c>
      <c r="L481" t="n">
        <v>0</v>
      </c>
      <c r="M481" t="n">
        <v>0</v>
      </c>
      <c r="N481" t="n">
        <v>0</v>
      </c>
      <c r="O481" t="n">
        <v>0</v>
      </c>
      <c r="P481" t="n">
        <v>0</v>
      </c>
      <c r="Q481" t="n">
        <v>1</v>
      </c>
      <c r="R481" s="2" t="inlineStr">
        <is>
          <t>Gulnål</t>
        </is>
      </c>
      <c r="S481">
        <f>HYPERLINK("https://klasma.github.io/Logging_1885/artfynd/A 50961-2023 artfynd.xlsx", "A 50961-2023")</f>
        <v/>
      </c>
      <c r="T481">
        <f>HYPERLINK("https://klasma.github.io/Logging_1885/kartor/A 50961-2023 karta.png", "A 50961-2023")</f>
        <v/>
      </c>
      <c r="V481">
        <f>HYPERLINK("https://klasma.github.io/Logging_1885/klagomål/A 50961-2023 FSC-klagomål.docx", "A 50961-2023")</f>
        <v/>
      </c>
      <c r="W481">
        <f>HYPERLINK("https://klasma.github.io/Logging_1885/klagomålsmail/A 50961-2023 FSC-klagomål mail.docx", "A 50961-2023")</f>
        <v/>
      </c>
      <c r="X481">
        <f>HYPERLINK("https://klasma.github.io/Logging_1885/tillsyn/A 50961-2023 tillsynsbegäran.docx", "A 50961-2023")</f>
        <v/>
      </c>
      <c r="Y481">
        <f>HYPERLINK("https://klasma.github.io/Logging_1885/tillsynsmail/A 50961-2023 tillsynsbegäran mail.docx", "A 50961-2023")</f>
        <v/>
      </c>
    </row>
    <row r="482" ht="15" customHeight="1">
      <c r="A482" t="inlineStr">
        <is>
          <t>A 50968-2023</t>
        </is>
      </c>
      <c r="B482" s="1" t="n">
        <v>45218</v>
      </c>
      <c r="C482" s="1" t="n">
        <v>45797</v>
      </c>
      <c r="D482" t="inlineStr">
        <is>
          <t>ÖREBRO LÄN</t>
        </is>
      </c>
      <c r="E482" t="inlineStr">
        <is>
          <t>LINDESBERG</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HYPERLINK("https://klasma.github.io/Logging_1885/artfynd/A 50968-2023 artfynd.xlsx", "A 50968-2023")</f>
        <v/>
      </c>
      <c r="T482">
        <f>HYPERLINK("https://klasma.github.io/Logging_1885/kartor/A 50968-2023 karta.png", "A 50968-2023")</f>
        <v/>
      </c>
      <c r="V482">
        <f>HYPERLINK("https://klasma.github.io/Logging_1885/klagomål/A 50968-2023 FSC-klagomål.docx", "A 50968-2023")</f>
        <v/>
      </c>
      <c r="W482">
        <f>HYPERLINK("https://klasma.github.io/Logging_1885/klagomålsmail/A 50968-2023 FSC-klagomål mail.docx", "A 50968-2023")</f>
        <v/>
      </c>
      <c r="X482">
        <f>HYPERLINK("https://klasma.github.io/Logging_1885/tillsyn/A 50968-2023 tillsynsbegäran.docx", "A 50968-2023")</f>
        <v/>
      </c>
      <c r="Y482">
        <f>HYPERLINK("https://klasma.github.io/Logging_1885/tillsynsmail/A 50968-2023 tillsynsbegäran mail.docx", "A 50968-2023")</f>
        <v/>
      </c>
    </row>
    <row r="483" ht="15" customHeight="1">
      <c r="A483" t="inlineStr">
        <is>
          <t>A 52639-2023</t>
        </is>
      </c>
      <c r="B483" s="1" t="n">
        <v>45219</v>
      </c>
      <c r="C483" s="1" t="n">
        <v>45797</v>
      </c>
      <c r="D483" t="inlineStr">
        <is>
          <t>ÖREBRO LÄN</t>
        </is>
      </c>
      <c r="E483" t="inlineStr">
        <is>
          <t>NORA</t>
        </is>
      </c>
      <c r="F483" t="inlineStr">
        <is>
          <t>Kommuner</t>
        </is>
      </c>
      <c r="G483" t="n">
        <v>7.3</v>
      </c>
      <c r="H483" t="n">
        <v>1</v>
      </c>
      <c r="I483" t="n">
        <v>0</v>
      </c>
      <c r="J483" t="n">
        <v>1</v>
      </c>
      <c r="K483" t="n">
        <v>0</v>
      </c>
      <c r="L483" t="n">
        <v>0</v>
      </c>
      <c r="M483" t="n">
        <v>0</v>
      </c>
      <c r="N483" t="n">
        <v>0</v>
      </c>
      <c r="O483" t="n">
        <v>1</v>
      </c>
      <c r="P483" t="n">
        <v>0</v>
      </c>
      <c r="Q483" t="n">
        <v>1</v>
      </c>
      <c r="R483" s="2" t="inlineStr">
        <is>
          <t>Grönsångare</t>
        </is>
      </c>
      <c r="S483">
        <f>HYPERLINK("https://klasma.github.io/Logging_1884/artfynd/A 52639-2023 artfynd.xlsx", "A 52639-2023")</f>
        <v/>
      </c>
      <c r="T483">
        <f>HYPERLINK("https://klasma.github.io/Logging_1884/kartor/A 52639-2023 karta.png", "A 52639-2023")</f>
        <v/>
      </c>
      <c r="V483">
        <f>HYPERLINK("https://klasma.github.io/Logging_1884/klagomål/A 52639-2023 FSC-klagomål.docx", "A 52639-2023")</f>
        <v/>
      </c>
      <c r="W483">
        <f>HYPERLINK("https://klasma.github.io/Logging_1884/klagomålsmail/A 52639-2023 FSC-klagomål mail.docx", "A 52639-2023")</f>
        <v/>
      </c>
      <c r="X483">
        <f>HYPERLINK("https://klasma.github.io/Logging_1884/tillsyn/A 52639-2023 tillsynsbegäran.docx", "A 52639-2023")</f>
        <v/>
      </c>
      <c r="Y483">
        <f>HYPERLINK("https://klasma.github.io/Logging_1884/tillsynsmail/A 52639-2023 tillsynsbegäran mail.docx", "A 52639-2023")</f>
        <v/>
      </c>
      <c r="Z483">
        <f>HYPERLINK("https://klasma.github.io/Logging_1884/fåglar/A 52639-2023 prioriterade fågelarter.docx", "A 52639-2023")</f>
        <v/>
      </c>
    </row>
    <row r="484" ht="15" customHeight="1">
      <c r="A484" t="inlineStr">
        <is>
          <t>A 51630-2023</t>
        </is>
      </c>
      <c r="B484" s="1" t="n">
        <v>45222</v>
      </c>
      <c r="C484" s="1" t="n">
        <v>45797</v>
      </c>
      <c r="D484" t="inlineStr">
        <is>
          <t>ÖREBRO LÄN</t>
        </is>
      </c>
      <c r="E484" t="inlineStr">
        <is>
          <t>DEGERFORS</t>
        </is>
      </c>
      <c r="F484" t="inlineStr">
        <is>
          <t>Sveaskog</t>
        </is>
      </c>
      <c r="G484" t="n">
        <v>4.5</v>
      </c>
      <c r="H484" t="n">
        <v>1</v>
      </c>
      <c r="I484" t="n">
        <v>0</v>
      </c>
      <c r="J484" t="n">
        <v>0</v>
      </c>
      <c r="K484" t="n">
        <v>0</v>
      </c>
      <c r="L484" t="n">
        <v>0</v>
      </c>
      <c r="M484" t="n">
        <v>0</v>
      </c>
      <c r="N484" t="n">
        <v>0</v>
      </c>
      <c r="O484" t="n">
        <v>0</v>
      </c>
      <c r="P484" t="n">
        <v>0</v>
      </c>
      <c r="Q484" t="n">
        <v>1</v>
      </c>
      <c r="R484" s="2" t="inlineStr">
        <is>
          <t>Sångsvan</t>
        </is>
      </c>
      <c r="S484">
        <f>HYPERLINK("https://klasma.github.io/Logging_1862/artfynd/A 51630-2023 artfynd.xlsx", "A 51630-2023")</f>
        <v/>
      </c>
      <c r="T484">
        <f>HYPERLINK("https://klasma.github.io/Logging_1862/kartor/A 51630-2023 karta.png", "A 51630-2023")</f>
        <v/>
      </c>
      <c r="V484">
        <f>HYPERLINK("https://klasma.github.io/Logging_1862/klagomål/A 51630-2023 FSC-klagomål.docx", "A 51630-2023")</f>
        <v/>
      </c>
      <c r="W484">
        <f>HYPERLINK("https://klasma.github.io/Logging_1862/klagomålsmail/A 51630-2023 FSC-klagomål mail.docx", "A 51630-2023")</f>
        <v/>
      </c>
      <c r="X484">
        <f>HYPERLINK("https://klasma.github.io/Logging_1862/tillsyn/A 51630-2023 tillsynsbegäran.docx", "A 51630-2023")</f>
        <v/>
      </c>
      <c r="Y484">
        <f>HYPERLINK("https://klasma.github.io/Logging_1862/tillsynsmail/A 51630-2023 tillsynsbegäran mail.docx", "A 51630-2023")</f>
        <v/>
      </c>
      <c r="Z484">
        <f>HYPERLINK("https://klasma.github.io/Logging_1862/fåglar/A 51630-2023 prioriterade fågelarter.docx", "A 51630-2023")</f>
        <v/>
      </c>
    </row>
    <row r="485" ht="15" customHeight="1">
      <c r="A485" t="inlineStr">
        <is>
          <t>A 52112-2023</t>
        </is>
      </c>
      <c r="B485" s="1" t="n">
        <v>45223</v>
      </c>
      <c r="C485" s="1" t="n">
        <v>45797</v>
      </c>
      <c r="D485" t="inlineStr">
        <is>
          <t>ÖREBRO LÄN</t>
        </is>
      </c>
      <c r="E485" t="inlineStr">
        <is>
          <t>NORA</t>
        </is>
      </c>
      <c r="G485" t="n">
        <v>3.7</v>
      </c>
      <c r="H485" t="n">
        <v>0</v>
      </c>
      <c r="I485" t="n">
        <v>1</v>
      </c>
      <c r="J485" t="n">
        <v>0</v>
      </c>
      <c r="K485" t="n">
        <v>0</v>
      </c>
      <c r="L485" t="n">
        <v>0</v>
      </c>
      <c r="M485" t="n">
        <v>0</v>
      </c>
      <c r="N485" t="n">
        <v>0</v>
      </c>
      <c r="O485" t="n">
        <v>0</v>
      </c>
      <c r="P485" t="n">
        <v>0</v>
      </c>
      <c r="Q485" t="n">
        <v>1</v>
      </c>
      <c r="R485" s="2" t="inlineStr">
        <is>
          <t>Korthornad vedstekel</t>
        </is>
      </c>
      <c r="S485">
        <f>HYPERLINK("https://klasma.github.io/Logging_1884/artfynd/A 52112-2023 artfynd.xlsx", "A 52112-2023")</f>
        <v/>
      </c>
      <c r="T485">
        <f>HYPERLINK("https://klasma.github.io/Logging_1884/kartor/A 52112-2023 karta.png", "A 52112-2023")</f>
        <v/>
      </c>
      <c r="V485">
        <f>HYPERLINK("https://klasma.github.io/Logging_1884/klagomål/A 52112-2023 FSC-klagomål.docx", "A 52112-2023")</f>
        <v/>
      </c>
      <c r="W485">
        <f>HYPERLINK("https://klasma.github.io/Logging_1884/klagomålsmail/A 52112-2023 FSC-klagomål mail.docx", "A 52112-2023")</f>
        <v/>
      </c>
      <c r="X485">
        <f>HYPERLINK("https://klasma.github.io/Logging_1884/tillsyn/A 52112-2023 tillsynsbegäran.docx", "A 52112-2023")</f>
        <v/>
      </c>
      <c r="Y485">
        <f>HYPERLINK("https://klasma.github.io/Logging_1884/tillsynsmail/A 52112-2023 tillsynsbegäran mail.docx", "A 52112-2023")</f>
        <v/>
      </c>
    </row>
    <row r="486" ht="15" customHeight="1">
      <c r="A486" t="inlineStr">
        <is>
          <t>A 53895-2023</t>
        </is>
      </c>
      <c r="B486" s="1" t="n">
        <v>45224</v>
      </c>
      <c r="C486" s="1" t="n">
        <v>45797</v>
      </c>
      <c r="D486" t="inlineStr">
        <is>
          <t>ÖREBRO LÄN</t>
        </is>
      </c>
      <c r="E486" t="inlineStr">
        <is>
          <t>DEGERFORS</t>
        </is>
      </c>
      <c r="G486" t="n">
        <v>2.1</v>
      </c>
      <c r="H486" t="n">
        <v>1</v>
      </c>
      <c r="I486" t="n">
        <v>0</v>
      </c>
      <c r="J486" t="n">
        <v>0</v>
      </c>
      <c r="K486" t="n">
        <v>0</v>
      </c>
      <c r="L486" t="n">
        <v>0</v>
      </c>
      <c r="M486" t="n">
        <v>0</v>
      </c>
      <c r="N486" t="n">
        <v>0</v>
      </c>
      <c r="O486" t="n">
        <v>0</v>
      </c>
      <c r="P486" t="n">
        <v>0</v>
      </c>
      <c r="Q486" t="n">
        <v>1</v>
      </c>
      <c r="R486" s="2" t="inlineStr">
        <is>
          <t>Blåsippa</t>
        </is>
      </c>
      <c r="S486">
        <f>HYPERLINK("https://klasma.github.io/Logging_1862/artfynd/A 53895-2023 artfynd.xlsx", "A 53895-2023")</f>
        <v/>
      </c>
      <c r="T486">
        <f>HYPERLINK("https://klasma.github.io/Logging_1862/kartor/A 53895-2023 karta.png", "A 53895-2023")</f>
        <v/>
      </c>
      <c r="V486">
        <f>HYPERLINK("https://klasma.github.io/Logging_1862/klagomål/A 53895-2023 FSC-klagomål.docx", "A 53895-2023")</f>
        <v/>
      </c>
      <c r="W486">
        <f>HYPERLINK("https://klasma.github.io/Logging_1862/klagomålsmail/A 53895-2023 FSC-klagomål mail.docx", "A 53895-2023")</f>
        <v/>
      </c>
      <c r="X486">
        <f>HYPERLINK("https://klasma.github.io/Logging_1862/tillsyn/A 53895-2023 tillsynsbegäran.docx", "A 53895-2023")</f>
        <v/>
      </c>
      <c r="Y486">
        <f>HYPERLINK("https://klasma.github.io/Logging_1862/tillsynsmail/A 53895-2023 tillsynsbegäran mail.docx", "A 53895-2023")</f>
        <v/>
      </c>
    </row>
    <row r="487" ht="15" customHeight="1">
      <c r="A487" t="inlineStr">
        <is>
          <t>A 53364-2023</t>
        </is>
      </c>
      <c r="B487" s="1" t="n">
        <v>45229</v>
      </c>
      <c r="C487" s="1" t="n">
        <v>45797</v>
      </c>
      <c r="D487" t="inlineStr">
        <is>
          <t>ÖREBRO LÄN</t>
        </is>
      </c>
      <c r="E487" t="inlineStr">
        <is>
          <t>ASKERSUND</t>
        </is>
      </c>
      <c r="G487" t="n">
        <v>2.2</v>
      </c>
      <c r="H487" t="n">
        <v>0</v>
      </c>
      <c r="I487" t="n">
        <v>0</v>
      </c>
      <c r="J487" t="n">
        <v>1</v>
      </c>
      <c r="K487" t="n">
        <v>0</v>
      </c>
      <c r="L487" t="n">
        <v>0</v>
      </c>
      <c r="M487" t="n">
        <v>0</v>
      </c>
      <c r="N487" t="n">
        <v>0</v>
      </c>
      <c r="O487" t="n">
        <v>1</v>
      </c>
      <c r="P487" t="n">
        <v>0</v>
      </c>
      <c r="Q487" t="n">
        <v>1</v>
      </c>
      <c r="R487" s="2" t="inlineStr">
        <is>
          <t>Mindre blåvinge</t>
        </is>
      </c>
      <c r="S487">
        <f>HYPERLINK("https://klasma.github.io/Logging_1882/artfynd/A 53364-2023 artfynd.xlsx", "A 53364-2023")</f>
        <v/>
      </c>
      <c r="T487">
        <f>HYPERLINK("https://klasma.github.io/Logging_1882/kartor/A 53364-2023 karta.png", "A 53364-2023")</f>
        <v/>
      </c>
      <c r="V487">
        <f>HYPERLINK("https://klasma.github.io/Logging_1882/klagomål/A 53364-2023 FSC-klagomål.docx", "A 53364-2023")</f>
        <v/>
      </c>
      <c r="W487">
        <f>HYPERLINK("https://klasma.github.io/Logging_1882/klagomålsmail/A 53364-2023 FSC-klagomål mail.docx", "A 53364-2023")</f>
        <v/>
      </c>
      <c r="X487">
        <f>HYPERLINK("https://klasma.github.io/Logging_1882/tillsyn/A 53364-2023 tillsynsbegäran.docx", "A 53364-2023")</f>
        <v/>
      </c>
      <c r="Y487">
        <f>HYPERLINK("https://klasma.github.io/Logging_1882/tillsynsmail/A 53364-2023 tillsynsbegäran mail.docx", "A 53364-2023")</f>
        <v/>
      </c>
    </row>
    <row r="488" ht="15" customHeight="1">
      <c r="A488" t="inlineStr">
        <is>
          <t>A 53223-2023</t>
        </is>
      </c>
      <c r="B488" s="1" t="n">
        <v>45229</v>
      </c>
      <c r="C488" s="1" t="n">
        <v>45797</v>
      </c>
      <c r="D488" t="inlineStr">
        <is>
          <t>ÖREBRO LÄN</t>
        </is>
      </c>
      <c r="E488" t="inlineStr">
        <is>
          <t>LEKEBERG</t>
        </is>
      </c>
      <c r="G488" t="n">
        <v>2.1</v>
      </c>
      <c r="H488" t="n">
        <v>1</v>
      </c>
      <c r="I488" t="n">
        <v>0</v>
      </c>
      <c r="J488" t="n">
        <v>0</v>
      </c>
      <c r="K488" t="n">
        <v>0</v>
      </c>
      <c r="L488" t="n">
        <v>0</v>
      </c>
      <c r="M488" t="n">
        <v>0</v>
      </c>
      <c r="N488" t="n">
        <v>0</v>
      </c>
      <c r="O488" t="n">
        <v>0</v>
      </c>
      <c r="P488" t="n">
        <v>0</v>
      </c>
      <c r="Q488" t="n">
        <v>1</v>
      </c>
      <c r="R488" s="2" t="inlineStr">
        <is>
          <t>Grönvit nattviol</t>
        </is>
      </c>
      <c r="S488">
        <f>HYPERLINK("https://klasma.github.io/Logging_1814/artfynd/A 53223-2023 artfynd.xlsx", "A 53223-2023")</f>
        <v/>
      </c>
      <c r="T488">
        <f>HYPERLINK("https://klasma.github.io/Logging_1814/kartor/A 53223-2023 karta.png", "A 53223-2023")</f>
        <v/>
      </c>
      <c r="V488">
        <f>HYPERLINK("https://klasma.github.io/Logging_1814/klagomål/A 53223-2023 FSC-klagomål.docx", "A 53223-2023")</f>
        <v/>
      </c>
      <c r="W488">
        <f>HYPERLINK("https://klasma.github.io/Logging_1814/klagomålsmail/A 53223-2023 FSC-klagomål mail.docx", "A 53223-2023")</f>
        <v/>
      </c>
      <c r="X488">
        <f>HYPERLINK("https://klasma.github.io/Logging_1814/tillsyn/A 53223-2023 tillsynsbegäran.docx", "A 53223-2023")</f>
        <v/>
      </c>
      <c r="Y488">
        <f>HYPERLINK("https://klasma.github.io/Logging_1814/tillsynsmail/A 53223-2023 tillsynsbegäran mail.docx", "A 53223-2023")</f>
        <v/>
      </c>
    </row>
    <row r="489" ht="15" customHeight="1">
      <c r="A489" t="inlineStr">
        <is>
          <t>A 53626-2023</t>
        </is>
      </c>
      <c r="B489" s="1" t="n">
        <v>45230</v>
      </c>
      <c r="C489" s="1" t="n">
        <v>45797</v>
      </c>
      <c r="D489" t="inlineStr">
        <is>
          <t>ÖREBRO LÄN</t>
        </is>
      </c>
      <c r="E489" t="inlineStr">
        <is>
          <t>KARLSKOGA</t>
        </is>
      </c>
      <c r="G489" t="n">
        <v>7.5</v>
      </c>
      <c r="H489" t="n">
        <v>0</v>
      </c>
      <c r="I489" t="n">
        <v>0</v>
      </c>
      <c r="J489" t="n">
        <v>1</v>
      </c>
      <c r="K489" t="n">
        <v>0</v>
      </c>
      <c r="L489" t="n">
        <v>0</v>
      </c>
      <c r="M489" t="n">
        <v>0</v>
      </c>
      <c r="N489" t="n">
        <v>0</v>
      </c>
      <c r="O489" t="n">
        <v>1</v>
      </c>
      <c r="P489" t="n">
        <v>0</v>
      </c>
      <c r="Q489" t="n">
        <v>1</v>
      </c>
      <c r="R489" s="2" t="inlineStr">
        <is>
          <t>Storgröe</t>
        </is>
      </c>
      <c r="S489">
        <f>HYPERLINK("https://klasma.github.io/Logging_1883/artfynd/A 53626-2023 artfynd.xlsx", "A 53626-2023")</f>
        <v/>
      </c>
      <c r="T489">
        <f>HYPERLINK("https://klasma.github.io/Logging_1883/kartor/A 53626-2023 karta.png", "A 53626-2023")</f>
        <v/>
      </c>
      <c r="V489">
        <f>HYPERLINK("https://klasma.github.io/Logging_1883/klagomål/A 53626-2023 FSC-klagomål.docx", "A 53626-2023")</f>
        <v/>
      </c>
      <c r="W489">
        <f>HYPERLINK("https://klasma.github.io/Logging_1883/klagomålsmail/A 53626-2023 FSC-klagomål mail.docx", "A 53626-2023")</f>
        <v/>
      </c>
      <c r="X489">
        <f>HYPERLINK("https://klasma.github.io/Logging_1883/tillsyn/A 53626-2023 tillsynsbegäran.docx", "A 53626-2023")</f>
        <v/>
      </c>
      <c r="Y489">
        <f>HYPERLINK("https://klasma.github.io/Logging_1883/tillsynsmail/A 53626-2023 tillsynsbegäran mail.docx", "A 53626-2023")</f>
        <v/>
      </c>
    </row>
    <row r="490" ht="15" customHeight="1">
      <c r="A490" t="inlineStr">
        <is>
          <t>A 53940-2023</t>
        </is>
      </c>
      <c r="B490" s="1" t="n">
        <v>45231</v>
      </c>
      <c r="C490" s="1" t="n">
        <v>45797</v>
      </c>
      <c r="D490" t="inlineStr">
        <is>
          <t>ÖREBRO LÄN</t>
        </is>
      </c>
      <c r="E490" t="inlineStr">
        <is>
          <t>NORA</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HYPERLINK("https://klasma.github.io/Logging_1884/artfynd/A 53940-2023 artfynd.xlsx", "A 53940-2023")</f>
        <v/>
      </c>
      <c r="T490">
        <f>HYPERLINK("https://klasma.github.io/Logging_1884/kartor/A 53940-2023 karta.png", "A 53940-2023")</f>
        <v/>
      </c>
      <c r="V490">
        <f>HYPERLINK("https://klasma.github.io/Logging_1884/klagomål/A 53940-2023 FSC-klagomål.docx", "A 53940-2023")</f>
        <v/>
      </c>
      <c r="W490">
        <f>HYPERLINK("https://klasma.github.io/Logging_1884/klagomålsmail/A 53940-2023 FSC-klagomål mail.docx", "A 53940-2023")</f>
        <v/>
      </c>
      <c r="X490">
        <f>HYPERLINK("https://klasma.github.io/Logging_1884/tillsyn/A 53940-2023 tillsynsbegäran.docx", "A 53940-2023")</f>
        <v/>
      </c>
      <c r="Y490">
        <f>HYPERLINK("https://klasma.github.io/Logging_1884/tillsynsmail/A 53940-2023 tillsynsbegäran mail.docx", "A 53940-2023")</f>
        <v/>
      </c>
    </row>
    <row r="491" ht="15" customHeight="1">
      <c r="A491" t="inlineStr">
        <is>
          <t>A 54809-2023</t>
        </is>
      </c>
      <c r="B491" s="1" t="n">
        <v>45236</v>
      </c>
      <c r="C491" s="1" t="n">
        <v>45797</v>
      </c>
      <c r="D491" t="inlineStr">
        <is>
          <t>ÖREBRO LÄN</t>
        </is>
      </c>
      <c r="E491" t="inlineStr">
        <is>
          <t>LAXÅ</t>
        </is>
      </c>
      <c r="F491" t="inlineStr">
        <is>
          <t>Sveaskog</t>
        </is>
      </c>
      <c r="G491" t="n">
        <v>2.6</v>
      </c>
      <c r="H491" t="n">
        <v>1</v>
      </c>
      <c r="I491" t="n">
        <v>0</v>
      </c>
      <c r="J491" t="n">
        <v>1</v>
      </c>
      <c r="K491" t="n">
        <v>0</v>
      </c>
      <c r="L491" t="n">
        <v>0</v>
      </c>
      <c r="M491" t="n">
        <v>0</v>
      </c>
      <c r="N491" t="n">
        <v>0</v>
      </c>
      <c r="O491" t="n">
        <v>1</v>
      </c>
      <c r="P491" t="n">
        <v>0</v>
      </c>
      <c r="Q491" t="n">
        <v>1</v>
      </c>
      <c r="R491" s="2" t="inlineStr">
        <is>
          <t>Tretåig hackspett</t>
        </is>
      </c>
      <c r="S491">
        <f>HYPERLINK("https://klasma.github.io/Logging_1860/artfynd/A 54809-2023 artfynd.xlsx", "A 54809-2023")</f>
        <v/>
      </c>
      <c r="T491">
        <f>HYPERLINK("https://klasma.github.io/Logging_1860/kartor/A 54809-2023 karta.png", "A 54809-2023")</f>
        <v/>
      </c>
      <c r="V491">
        <f>HYPERLINK("https://klasma.github.io/Logging_1860/klagomål/A 54809-2023 FSC-klagomål.docx", "A 54809-2023")</f>
        <v/>
      </c>
      <c r="W491">
        <f>HYPERLINK("https://klasma.github.io/Logging_1860/klagomålsmail/A 54809-2023 FSC-klagomål mail.docx", "A 54809-2023")</f>
        <v/>
      </c>
      <c r="X491">
        <f>HYPERLINK("https://klasma.github.io/Logging_1860/tillsyn/A 54809-2023 tillsynsbegäran.docx", "A 54809-2023")</f>
        <v/>
      </c>
      <c r="Y491">
        <f>HYPERLINK("https://klasma.github.io/Logging_1860/tillsynsmail/A 54809-2023 tillsynsbegäran mail.docx", "A 54809-2023")</f>
        <v/>
      </c>
      <c r="Z491">
        <f>HYPERLINK("https://klasma.github.io/Logging_1860/fåglar/A 54809-2023 prioriterade fågelarter.docx", "A 54809-2023")</f>
        <v/>
      </c>
    </row>
    <row r="492" ht="15" customHeight="1">
      <c r="A492" t="inlineStr">
        <is>
          <t>A 55623-2023</t>
        </is>
      </c>
      <c r="B492" s="1" t="n">
        <v>45238</v>
      </c>
      <c r="C492" s="1" t="n">
        <v>45797</v>
      </c>
      <c r="D492" t="inlineStr">
        <is>
          <t>ÖREBRO LÄN</t>
        </is>
      </c>
      <c r="E492" t="inlineStr">
        <is>
          <t>HÄLLEFORS</t>
        </is>
      </c>
      <c r="G492" t="n">
        <v>5.8</v>
      </c>
      <c r="H492" t="n">
        <v>0</v>
      </c>
      <c r="I492" t="n">
        <v>1</v>
      </c>
      <c r="J492" t="n">
        <v>0</v>
      </c>
      <c r="K492" t="n">
        <v>0</v>
      </c>
      <c r="L492" t="n">
        <v>0</v>
      </c>
      <c r="M492" t="n">
        <v>0</v>
      </c>
      <c r="N492" t="n">
        <v>0</v>
      </c>
      <c r="O492" t="n">
        <v>0</v>
      </c>
      <c r="P492" t="n">
        <v>0</v>
      </c>
      <c r="Q492" t="n">
        <v>1</v>
      </c>
      <c r="R492" s="2" t="inlineStr">
        <is>
          <t>Norrlandslav</t>
        </is>
      </c>
      <c r="S492">
        <f>HYPERLINK("https://klasma.github.io/Logging_1863/artfynd/A 55623-2023 artfynd.xlsx", "A 55623-2023")</f>
        <v/>
      </c>
      <c r="T492">
        <f>HYPERLINK("https://klasma.github.io/Logging_1863/kartor/A 55623-2023 karta.png", "A 55623-2023")</f>
        <v/>
      </c>
      <c r="V492">
        <f>HYPERLINK("https://klasma.github.io/Logging_1863/klagomål/A 55623-2023 FSC-klagomål.docx", "A 55623-2023")</f>
        <v/>
      </c>
      <c r="W492">
        <f>HYPERLINK("https://klasma.github.io/Logging_1863/klagomålsmail/A 55623-2023 FSC-klagomål mail.docx", "A 55623-2023")</f>
        <v/>
      </c>
      <c r="X492">
        <f>HYPERLINK("https://klasma.github.io/Logging_1863/tillsyn/A 55623-2023 tillsynsbegäran.docx", "A 55623-2023")</f>
        <v/>
      </c>
      <c r="Y492">
        <f>HYPERLINK("https://klasma.github.io/Logging_1863/tillsynsmail/A 55623-2023 tillsynsbegäran mail.docx", "A 55623-2023")</f>
        <v/>
      </c>
    </row>
    <row r="493" ht="15" customHeight="1">
      <c r="A493" t="inlineStr">
        <is>
          <t>A 57374-2023</t>
        </is>
      </c>
      <c r="B493" s="1" t="n">
        <v>45245</v>
      </c>
      <c r="C493" s="1" t="n">
        <v>45797</v>
      </c>
      <c r="D493" t="inlineStr">
        <is>
          <t>ÖREBRO LÄN</t>
        </is>
      </c>
      <c r="E493" t="inlineStr">
        <is>
          <t>LINDESBERG</t>
        </is>
      </c>
      <c r="F493" t="inlineStr">
        <is>
          <t>Sveaskog</t>
        </is>
      </c>
      <c r="G493" t="n">
        <v>6</v>
      </c>
      <c r="H493" t="n">
        <v>0</v>
      </c>
      <c r="I493" t="n">
        <v>0</v>
      </c>
      <c r="J493" t="n">
        <v>1</v>
      </c>
      <c r="K493" t="n">
        <v>0</v>
      </c>
      <c r="L493" t="n">
        <v>0</v>
      </c>
      <c r="M493" t="n">
        <v>0</v>
      </c>
      <c r="N493" t="n">
        <v>0</v>
      </c>
      <c r="O493" t="n">
        <v>1</v>
      </c>
      <c r="P493" t="n">
        <v>0</v>
      </c>
      <c r="Q493" t="n">
        <v>1</v>
      </c>
      <c r="R493" s="2" t="inlineStr">
        <is>
          <t>Motaggsvamp</t>
        </is>
      </c>
      <c r="S493">
        <f>HYPERLINK("https://klasma.github.io/Logging_1885/artfynd/A 57374-2023 artfynd.xlsx", "A 57374-2023")</f>
        <v/>
      </c>
      <c r="T493">
        <f>HYPERLINK("https://klasma.github.io/Logging_1885/kartor/A 57374-2023 karta.png", "A 57374-2023")</f>
        <v/>
      </c>
      <c r="V493">
        <f>HYPERLINK("https://klasma.github.io/Logging_1885/klagomål/A 57374-2023 FSC-klagomål.docx", "A 57374-2023")</f>
        <v/>
      </c>
      <c r="W493">
        <f>HYPERLINK("https://klasma.github.io/Logging_1885/klagomålsmail/A 57374-2023 FSC-klagomål mail.docx", "A 57374-2023")</f>
        <v/>
      </c>
      <c r="X493">
        <f>HYPERLINK("https://klasma.github.io/Logging_1885/tillsyn/A 57374-2023 tillsynsbegäran.docx", "A 57374-2023")</f>
        <v/>
      </c>
      <c r="Y493">
        <f>HYPERLINK("https://klasma.github.io/Logging_1885/tillsynsmail/A 57374-2023 tillsynsbegäran mail.docx", "A 57374-2023")</f>
        <v/>
      </c>
    </row>
    <row r="494" ht="15" customHeight="1">
      <c r="A494" t="inlineStr">
        <is>
          <t>A 58206-2023</t>
        </is>
      </c>
      <c r="B494" s="1" t="n">
        <v>45250</v>
      </c>
      <c r="C494" s="1" t="n">
        <v>45797</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60352-2023</t>
        </is>
      </c>
      <c r="B495" s="1" t="n">
        <v>45258</v>
      </c>
      <c r="C495" s="1" t="n">
        <v>45797</v>
      </c>
      <c r="D495" t="inlineStr">
        <is>
          <t>ÖREBRO LÄN</t>
        </is>
      </c>
      <c r="E495" t="inlineStr">
        <is>
          <t>ÖREBRO</t>
        </is>
      </c>
      <c r="G495" t="n">
        <v>13.7</v>
      </c>
      <c r="H495" t="n">
        <v>0</v>
      </c>
      <c r="I495" t="n">
        <v>1</v>
      </c>
      <c r="J495" t="n">
        <v>0</v>
      </c>
      <c r="K495" t="n">
        <v>0</v>
      </c>
      <c r="L495" t="n">
        <v>0</v>
      </c>
      <c r="M495" t="n">
        <v>0</v>
      </c>
      <c r="N495" t="n">
        <v>0</v>
      </c>
      <c r="O495" t="n">
        <v>0</v>
      </c>
      <c r="P495" t="n">
        <v>0</v>
      </c>
      <c r="Q495" t="n">
        <v>1</v>
      </c>
      <c r="R495" s="2" t="inlineStr">
        <is>
          <t>Blomkålssvamp</t>
        </is>
      </c>
      <c r="S495">
        <f>HYPERLINK("https://klasma.github.io/Logging_1880/artfynd/A 60352-2023 artfynd.xlsx", "A 60352-2023")</f>
        <v/>
      </c>
      <c r="T495">
        <f>HYPERLINK("https://klasma.github.io/Logging_1880/kartor/A 60352-2023 karta.png", "A 60352-2023")</f>
        <v/>
      </c>
      <c r="V495">
        <f>HYPERLINK("https://klasma.github.io/Logging_1880/klagomål/A 60352-2023 FSC-klagomål.docx", "A 60352-2023")</f>
        <v/>
      </c>
      <c r="W495">
        <f>HYPERLINK("https://klasma.github.io/Logging_1880/klagomålsmail/A 60352-2023 FSC-klagomål mail.docx", "A 60352-2023")</f>
        <v/>
      </c>
      <c r="X495">
        <f>HYPERLINK("https://klasma.github.io/Logging_1880/tillsyn/A 60352-2023 tillsynsbegäran.docx", "A 60352-2023")</f>
        <v/>
      </c>
      <c r="Y495">
        <f>HYPERLINK("https://klasma.github.io/Logging_1880/tillsynsmail/A 60352-2023 tillsynsbegäran mail.docx", "A 60352-2023")</f>
        <v/>
      </c>
    </row>
    <row r="496" ht="15" customHeight="1">
      <c r="A496" t="inlineStr">
        <is>
          <t>A 60949-2023</t>
        </is>
      </c>
      <c r="B496" s="1" t="n">
        <v>45259</v>
      </c>
      <c r="C496" s="1" t="n">
        <v>45797</v>
      </c>
      <c r="D496" t="inlineStr">
        <is>
          <t>ÖREBRO LÄN</t>
        </is>
      </c>
      <c r="E496" t="inlineStr">
        <is>
          <t>LAXÅ</t>
        </is>
      </c>
      <c r="G496" t="n">
        <v>4.7</v>
      </c>
      <c r="H496" t="n">
        <v>1</v>
      </c>
      <c r="I496" t="n">
        <v>0</v>
      </c>
      <c r="J496" t="n">
        <v>0</v>
      </c>
      <c r="K496" t="n">
        <v>0</v>
      </c>
      <c r="L496" t="n">
        <v>0</v>
      </c>
      <c r="M496" t="n">
        <v>0</v>
      </c>
      <c r="N496" t="n">
        <v>0</v>
      </c>
      <c r="O496" t="n">
        <v>0</v>
      </c>
      <c r="P496" t="n">
        <v>0</v>
      </c>
      <c r="Q496" t="n">
        <v>1</v>
      </c>
      <c r="R496" s="2" t="inlineStr">
        <is>
          <t>Revlummer</t>
        </is>
      </c>
      <c r="S496">
        <f>HYPERLINK("https://klasma.github.io/Logging_1860/artfynd/A 60949-2023 artfynd.xlsx", "A 60949-2023")</f>
        <v/>
      </c>
      <c r="T496">
        <f>HYPERLINK("https://klasma.github.io/Logging_1860/kartor/A 60949-2023 karta.png", "A 60949-2023")</f>
        <v/>
      </c>
      <c r="V496">
        <f>HYPERLINK("https://klasma.github.io/Logging_1860/klagomål/A 60949-2023 FSC-klagomål.docx", "A 60949-2023")</f>
        <v/>
      </c>
      <c r="W496">
        <f>HYPERLINK("https://klasma.github.io/Logging_1860/klagomålsmail/A 60949-2023 FSC-klagomål mail.docx", "A 60949-2023")</f>
        <v/>
      </c>
      <c r="X496">
        <f>HYPERLINK("https://klasma.github.io/Logging_1860/tillsyn/A 60949-2023 tillsynsbegäran.docx", "A 60949-2023")</f>
        <v/>
      </c>
      <c r="Y496">
        <f>HYPERLINK("https://klasma.github.io/Logging_1860/tillsynsmail/A 60949-2023 tillsynsbegäran mail.docx", "A 60949-2023")</f>
        <v/>
      </c>
    </row>
    <row r="497" ht="15" customHeight="1">
      <c r="A497" t="inlineStr">
        <is>
          <t>A 64200-2023</t>
        </is>
      </c>
      <c r="B497" s="1" t="n">
        <v>45279</v>
      </c>
      <c r="C497" s="1" t="n">
        <v>45797</v>
      </c>
      <c r="D497" t="inlineStr">
        <is>
          <t>ÖREBRO LÄN</t>
        </is>
      </c>
      <c r="E497" t="inlineStr">
        <is>
          <t>HALLSBERG</t>
        </is>
      </c>
      <c r="G497" t="n">
        <v>5.5</v>
      </c>
      <c r="H497" t="n">
        <v>1</v>
      </c>
      <c r="I497" t="n">
        <v>0</v>
      </c>
      <c r="J497" t="n">
        <v>1</v>
      </c>
      <c r="K497" t="n">
        <v>0</v>
      </c>
      <c r="L497" t="n">
        <v>0</v>
      </c>
      <c r="M497" t="n">
        <v>0</v>
      </c>
      <c r="N497" t="n">
        <v>0</v>
      </c>
      <c r="O497" t="n">
        <v>1</v>
      </c>
      <c r="P497" t="n">
        <v>0</v>
      </c>
      <c r="Q497" t="n">
        <v>1</v>
      </c>
      <c r="R497" s="2" t="inlineStr">
        <is>
          <t>Gulsparv</t>
        </is>
      </c>
      <c r="S497">
        <f>HYPERLINK("https://klasma.github.io/Logging_1861/artfynd/A 64200-2023 artfynd.xlsx", "A 64200-2023")</f>
        <v/>
      </c>
      <c r="T497">
        <f>HYPERLINK("https://klasma.github.io/Logging_1861/kartor/A 64200-2023 karta.png", "A 64200-2023")</f>
        <v/>
      </c>
      <c r="V497">
        <f>HYPERLINK("https://klasma.github.io/Logging_1861/klagomål/A 64200-2023 FSC-klagomål.docx", "A 64200-2023")</f>
        <v/>
      </c>
      <c r="W497">
        <f>HYPERLINK("https://klasma.github.io/Logging_1861/klagomålsmail/A 64200-2023 FSC-klagomål mail.docx", "A 64200-2023")</f>
        <v/>
      </c>
      <c r="X497">
        <f>HYPERLINK("https://klasma.github.io/Logging_1861/tillsyn/A 64200-2023 tillsynsbegäran.docx", "A 64200-2023")</f>
        <v/>
      </c>
      <c r="Y497">
        <f>HYPERLINK("https://klasma.github.io/Logging_1861/tillsynsmail/A 64200-2023 tillsynsbegäran mail.docx", "A 64200-2023")</f>
        <v/>
      </c>
      <c r="Z497">
        <f>HYPERLINK("https://klasma.github.io/Logging_1861/fåglar/A 64200-2023 prioriterade fågelarter.docx", "A 64200-2023")</f>
        <v/>
      </c>
    </row>
    <row r="498" ht="15" customHeight="1">
      <c r="A498" t="inlineStr">
        <is>
          <t>A 64697-2023</t>
        </is>
      </c>
      <c r="B498" s="1" t="n">
        <v>45281</v>
      </c>
      <c r="C498" s="1" t="n">
        <v>45797</v>
      </c>
      <c r="D498" t="inlineStr">
        <is>
          <t>ÖREBRO LÄN</t>
        </is>
      </c>
      <c r="E498" t="inlineStr">
        <is>
          <t>HALLSBERG</t>
        </is>
      </c>
      <c r="F498" t="inlineStr">
        <is>
          <t>Sveaskog</t>
        </is>
      </c>
      <c r="G498" t="n">
        <v>13.4</v>
      </c>
      <c r="H498" t="n">
        <v>1</v>
      </c>
      <c r="I498" t="n">
        <v>0</v>
      </c>
      <c r="J498" t="n">
        <v>1</v>
      </c>
      <c r="K498" t="n">
        <v>0</v>
      </c>
      <c r="L498" t="n">
        <v>0</v>
      </c>
      <c r="M498" t="n">
        <v>0</v>
      </c>
      <c r="N498" t="n">
        <v>0</v>
      </c>
      <c r="O498" t="n">
        <v>1</v>
      </c>
      <c r="P498" t="n">
        <v>0</v>
      </c>
      <c r="Q498" t="n">
        <v>1</v>
      </c>
      <c r="R498" s="2" t="inlineStr">
        <is>
          <t>Spillkråka</t>
        </is>
      </c>
      <c r="S498">
        <f>HYPERLINK("https://klasma.github.io/Logging_1861/artfynd/A 64697-2023 artfynd.xlsx", "A 64697-2023")</f>
        <v/>
      </c>
      <c r="T498">
        <f>HYPERLINK("https://klasma.github.io/Logging_1861/kartor/A 64697-2023 karta.png", "A 64697-2023")</f>
        <v/>
      </c>
      <c r="V498">
        <f>HYPERLINK("https://klasma.github.io/Logging_1861/klagomål/A 64697-2023 FSC-klagomål.docx", "A 64697-2023")</f>
        <v/>
      </c>
      <c r="W498">
        <f>HYPERLINK("https://klasma.github.io/Logging_1861/klagomålsmail/A 64697-2023 FSC-klagomål mail.docx", "A 64697-2023")</f>
        <v/>
      </c>
      <c r="X498">
        <f>HYPERLINK("https://klasma.github.io/Logging_1861/tillsyn/A 64697-2023 tillsynsbegäran.docx", "A 64697-2023")</f>
        <v/>
      </c>
      <c r="Y498">
        <f>HYPERLINK("https://klasma.github.io/Logging_1861/tillsynsmail/A 64697-2023 tillsynsbegäran mail.docx", "A 64697-2023")</f>
        <v/>
      </c>
      <c r="Z498">
        <f>HYPERLINK("https://klasma.github.io/Logging_1861/fåglar/A 64697-2023 prioriterade fågelarter.docx", "A 64697-2023")</f>
        <v/>
      </c>
    </row>
    <row r="499" ht="15" customHeight="1">
      <c r="A499" t="inlineStr">
        <is>
          <t>A 64513-2023</t>
        </is>
      </c>
      <c r="B499" s="1" t="n">
        <v>45281</v>
      </c>
      <c r="C499" s="1" t="n">
        <v>45797</v>
      </c>
      <c r="D499" t="inlineStr">
        <is>
          <t>ÖREBRO LÄN</t>
        </is>
      </c>
      <c r="E499" t="inlineStr">
        <is>
          <t>LINDESBERG</t>
        </is>
      </c>
      <c r="G499" t="n">
        <v>4.7</v>
      </c>
      <c r="H499" t="n">
        <v>0</v>
      </c>
      <c r="I499" t="n">
        <v>1</v>
      </c>
      <c r="J499" t="n">
        <v>0</v>
      </c>
      <c r="K499" t="n">
        <v>0</v>
      </c>
      <c r="L499" t="n">
        <v>0</v>
      </c>
      <c r="M499" t="n">
        <v>0</v>
      </c>
      <c r="N499" t="n">
        <v>0</v>
      </c>
      <c r="O499" t="n">
        <v>0</v>
      </c>
      <c r="P499" t="n">
        <v>0</v>
      </c>
      <c r="Q499" t="n">
        <v>1</v>
      </c>
      <c r="R499" s="2" t="inlineStr">
        <is>
          <t>Västlig hakmossa</t>
        </is>
      </c>
      <c r="S499">
        <f>HYPERLINK("https://klasma.github.io/Logging_1885/artfynd/A 64513-2023 artfynd.xlsx", "A 64513-2023")</f>
        <v/>
      </c>
      <c r="T499">
        <f>HYPERLINK("https://klasma.github.io/Logging_1885/kartor/A 64513-2023 karta.png", "A 64513-2023")</f>
        <v/>
      </c>
      <c r="V499">
        <f>HYPERLINK("https://klasma.github.io/Logging_1885/klagomål/A 64513-2023 FSC-klagomål.docx", "A 64513-2023")</f>
        <v/>
      </c>
      <c r="W499">
        <f>HYPERLINK("https://klasma.github.io/Logging_1885/klagomålsmail/A 64513-2023 FSC-klagomål mail.docx", "A 64513-2023")</f>
        <v/>
      </c>
      <c r="X499">
        <f>HYPERLINK("https://klasma.github.io/Logging_1885/tillsyn/A 64513-2023 tillsynsbegäran.docx", "A 64513-2023")</f>
        <v/>
      </c>
      <c r="Y499">
        <f>HYPERLINK("https://klasma.github.io/Logging_1885/tillsynsmail/A 64513-2023 tillsynsbegäran mail.docx", "A 64513-2023")</f>
        <v/>
      </c>
    </row>
    <row r="500" ht="15" customHeight="1">
      <c r="A500" t="inlineStr">
        <is>
          <t>A 2561-2024</t>
        </is>
      </c>
      <c r="B500" s="1" t="n">
        <v>45313</v>
      </c>
      <c r="C500" s="1" t="n">
        <v>45797</v>
      </c>
      <c r="D500" t="inlineStr">
        <is>
          <t>ÖREBRO LÄN</t>
        </is>
      </c>
      <c r="E500" t="inlineStr">
        <is>
          <t>ASKERSUND</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HYPERLINK("https://klasma.github.io/Logging_1882/artfynd/A 2561-2024 artfynd.xlsx", "A 2561-2024")</f>
        <v/>
      </c>
      <c r="T500">
        <f>HYPERLINK("https://klasma.github.io/Logging_1882/kartor/A 2561-2024 karta.png", "A 2561-2024")</f>
        <v/>
      </c>
      <c r="V500">
        <f>HYPERLINK("https://klasma.github.io/Logging_1882/klagomål/A 2561-2024 FSC-klagomål.docx", "A 2561-2024")</f>
        <v/>
      </c>
      <c r="W500">
        <f>HYPERLINK("https://klasma.github.io/Logging_1882/klagomålsmail/A 2561-2024 FSC-klagomål mail.docx", "A 2561-2024")</f>
        <v/>
      </c>
      <c r="X500">
        <f>HYPERLINK("https://klasma.github.io/Logging_1882/tillsyn/A 2561-2024 tillsynsbegäran.docx", "A 2561-2024")</f>
        <v/>
      </c>
      <c r="Y500">
        <f>HYPERLINK("https://klasma.github.io/Logging_1882/tillsynsmail/A 2561-2024 tillsynsbegäran mail.docx", "A 2561-2024")</f>
        <v/>
      </c>
    </row>
    <row r="501" ht="15" customHeight="1">
      <c r="A501" t="inlineStr">
        <is>
          <t>A 2694-2024</t>
        </is>
      </c>
      <c r="B501" s="1" t="n">
        <v>45314</v>
      </c>
      <c r="C501" s="1" t="n">
        <v>45797</v>
      </c>
      <c r="D501" t="inlineStr">
        <is>
          <t>ÖREBRO LÄN</t>
        </is>
      </c>
      <c r="E501" t="inlineStr">
        <is>
          <t>HALLSBERG</t>
        </is>
      </c>
      <c r="G501" t="n">
        <v>1.6</v>
      </c>
      <c r="H501" t="n">
        <v>1</v>
      </c>
      <c r="I501" t="n">
        <v>0</v>
      </c>
      <c r="J501" t="n">
        <v>0</v>
      </c>
      <c r="K501" t="n">
        <v>0</v>
      </c>
      <c r="L501" t="n">
        <v>0</v>
      </c>
      <c r="M501" t="n">
        <v>0</v>
      </c>
      <c r="N501" t="n">
        <v>0</v>
      </c>
      <c r="O501" t="n">
        <v>0</v>
      </c>
      <c r="P501" t="n">
        <v>0</v>
      </c>
      <c r="Q501" t="n">
        <v>1</v>
      </c>
      <c r="R501" s="2" t="inlineStr">
        <is>
          <t>Blåsippa</t>
        </is>
      </c>
      <c r="S501">
        <f>HYPERLINK("https://klasma.github.io/Logging_1861/artfynd/A 2694-2024 artfynd.xlsx", "A 2694-2024")</f>
        <v/>
      </c>
      <c r="T501">
        <f>HYPERLINK("https://klasma.github.io/Logging_1861/kartor/A 2694-2024 karta.png", "A 2694-2024")</f>
        <v/>
      </c>
      <c r="V501">
        <f>HYPERLINK("https://klasma.github.io/Logging_1861/klagomål/A 2694-2024 FSC-klagomål.docx", "A 2694-2024")</f>
        <v/>
      </c>
      <c r="W501">
        <f>HYPERLINK("https://klasma.github.io/Logging_1861/klagomålsmail/A 2694-2024 FSC-klagomål mail.docx", "A 2694-2024")</f>
        <v/>
      </c>
      <c r="X501">
        <f>HYPERLINK("https://klasma.github.io/Logging_1861/tillsyn/A 2694-2024 tillsynsbegäran.docx", "A 2694-2024")</f>
        <v/>
      </c>
      <c r="Y501">
        <f>HYPERLINK("https://klasma.github.io/Logging_1861/tillsynsmail/A 2694-2024 tillsynsbegäran mail.docx", "A 2694-2024")</f>
        <v/>
      </c>
    </row>
    <row r="502" ht="15" customHeight="1">
      <c r="A502" t="inlineStr">
        <is>
          <t>A 3866-2024</t>
        </is>
      </c>
      <c r="B502" s="1" t="n">
        <v>45322</v>
      </c>
      <c r="C502" s="1" t="n">
        <v>45797</v>
      </c>
      <c r="D502" t="inlineStr">
        <is>
          <t>ÖREBRO LÄN</t>
        </is>
      </c>
      <c r="E502" t="inlineStr">
        <is>
          <t>ÖREBRO</t>
        </is>
      </c>
      <c r="F502" t="inlineStr">
        <is>
          <t>Övriga Aktiebolag</t>
        </is>
      </c>
      <c r="G502" t="n">
        <v>4.7</v>
      </c>
      <c r="H502" t="n">
        <v>1</v>
      </c>
      <c r="I502" t="n">
        <v>0</v>
      </c>
      <c r="J502" t="n">
        <v>0</v>
      </c>
      <c r="K502" t="n">
        <v>0</v>
      </c>
      <c r="L502" t="n">
        <v>1</v>
      </c>
      <c r="M502" t="n">
        <v>0</v>
      </c>
      <c r="N502" t="n">
        <v>0</v>
      </c>
      <c r="O502" t="n">
        <v>1</v>
      </c>
      <c r="P502" t="n">
        <v>1</v>
      </c>
      <c r="Q502" t="n">
        <v>1</v>
      </c>
      <c r="R502" s="2" t="inlineStr">
        <is>
          <t>Bredgentiana</t>
        </is>
      </c>
      <c r="S502">
        <f>HYPERLINK("https://klasma.github.io/Logging_1880/artfynd/A 3866-2024 artfynd.xlsx", "A 3866-2024")</f>
        <v/>
      </c>
      <c r="T502">
        <f>HYPERLINK("https://klasma.github.io/Logging_1880/kartor/A 3866-2024 karta.png", "A 3866-2024")</f>
        <v/>
      </c>
      <c r="V502">
        <f>HYPERLINK("https://klasma.github.io/Logging_1880/klagomål/A 3866-2024 FSC-klagomål.docx", "A 3866-2024")</f>
        <v/>
      </c>
      <c r="W502">
        <f>HYPERLINK("https://klasma.github.io/Logging_1880/klagomålsmail/A 3866-2024 FSC-klagomål mail.docx", "A 3866-2024")</f>
        <v/>
      </c>
      <c r="X502">
        <f>HYPERLINK("https://klasma.github.io/Logging_1880/tillsyn/A 3866-2024 tillsynsbegäran.docx", "A 3866-2024")</f>
        <v/>
      </c>
      <c r="Y502">
        <f>HYPERLINK("https://klasma.github.io/Logging_1880/tillsynsmail/A 3866-2024 tillsynsbegäran mail.docx", "A 3866-2024")</f>
        <v/>
      </c>
    </row>
    <row r="503" ht="15" customHeight="1">
      <c r="A503" t="inlineStr">
        <is>
          <t>A 4508-2024</t>
        </is>
      </c>
      <c r="B503" s="1" t="n">
        <v>45327</v>
      </c>
      <c r="C503" s="1" t="n">
        <v>45797</v>
      </c>
      <c r="D503" t="inlineStr">
        <is>
          <t>ÖREBRO LÄN</t>
        </is>
      </c>
      <c r="E503" t="inlineStr">
        <is>
          <t>ASKERSUND</t>
        </is>
      </c>
      <c r="G503" t="n">
        <v>0.8</v>
      </c>
      <c r="H503" t="n">
        <v>0</v>
      </c>
      <c r="I503" t="n">
        <v>0</v>
      </c>
      <c r="J503" t="n">
        <v>1</v>
      </c>
      <c r="K503" t="n">
        <v>0</v>
      </c>
      <c r="L503" t="n">
        <v>0</v>
      </c>
      <c r="M503" t="n">
        <v>0</v>
      </c>
      <c r="N503" t="n">
        <v>0</v>
      </c>
      <c r="O503" t="n">
        <v>1</v>
      </c>
      <c r="P503" t="n">
        <v>0</v>
      </c>
      <c r="Q503" t="n">
        <v>1</v>
      </c>
      <c r="R503" s="2" t="inlineStr">
        <is>
          <t>Mindre bastardsvärmare</t>
        </is>
      </c>
      <c r="S503">
        <f>HYPERLINK("https://klasma.github.io/Logging_1882/artfynd/A 4508-2024 artfynd.xlsx", "A 4508-2024")</f>
        <v/>
      </c>
      <c r="T503">
        <f>HYPERLINK("https://klasma.github.io/Logging_1882/kartor/A 4508-2024 karta.png", "A 4508-2024")</f>
        <v/>
      </c>
      <c r="V503">
        <f>HYPERLINK("https://klasma.github.io/Logging_1882/klagomål/A 4508-2024 FSC-klagomål.docx", "A 4508-2024")</f>
        <v/>
      </c>
      <c r="W503">
        <f>HYPERLINK("https://klasma.github.io/Logging_1882/klagomålsmail/A 4508-2024 FSC-klagomål mail.docx", "A 4508-2024")</f>
        <v/>
      </c>
      <c r="X503">
        <f>HYPERLINK("https://klasma.github.io/Logging_1882/tillsyn/A 4508-2024 tillsynsbegäran.docx", "A 4508-2024")</f>
        <v/>
      </c>
      <c r="Y503">
        <f>HYPERLINK("https://klasma.github.io/Logging_1882/tillsynsmail/A 4508-2024 tillsynsbegäran mail.docx", "A 4508-2024")</f>
        <v/>
      </c>
    </row>
    <row r="504" ht="15" customHeight="1">
      <c r="A504" t="inlineStr">
        <is>
          <t>A 5123-2024</t>
        </is>
      </c>
      <c r="B504" s="1" t="n">
        <v>45330</v>
      </c>
      <c r="C504" s="1" t="n">
        <v>45797</v>
      </c>
      <c r="D504" t="inlineStr">
        <is>
          <t>ÖREBRO LÄN</t>
        </is>
      </c>
      <c r="E504" t="inlineStr">
        <is>
          <t>ÖREBRO</t>
        </is>
      </c>
      <c r="G504" t="n">
        <v>1</v>
      </c>
      <c r="H504" t="n">
        <v>0</v>
      </c>
      <c r="I504" t="n">
        <v>1</v>
      </c>
      <c r="J504" t="n">
        <v>0</v>
      </c>
      <c r="K504" t="n">
        <v>0</v>
      </c>
      <c r="L504" t="n">
        <v>0</v>
      </c>
      <c r="M504" t="n">
        <v>0</v>
      </c>
      <c r="N504" t="n">
        <v>0</v>
      </c>
      <c r="O504" t="n">
        <v>0</v>
      </c>
      <c r="P504" t="n">
        <v>0</v>
      </c>
      <c r="Q504" t="n">
        <v>1</v>
      </c>
      <c r="R504" s="2" t="inlineStr">
        <is>
          <t>Svart trolldruva</t>
        </is>
      </c>
      <c r="S504">
        <f>HYPERLINK("https://klasma.github.io/Logging_1880/artfynd/A 5123-2024 artfynd.xlsx", "A 5123-2024")</f>
        <v/>
      </c>
      <c r="T504">
        <f>HYPERLINK("https://klasma.github.io/Logging_1880/kartor/A 5123-2024 karta.png", "A 5123-2024")</f>
        <v/>
      </c>
      <c r="V504">
        <f>HYPERLINK("https://klasma.github.io/Logging_1880/klagomål/A 5123-2024 FSC-klagomål.docx", "A 5123-2024")</f>
        <v/>
      </c>
      <c r="W504">
        <f>HYPERLINK("https://klasma.github.io/Logging_1880/klagomålsmail/A 5123-2024 FSC-klagomål mail.docx", "A 5123-2024")</f>
        <v/>
      </c>
      <c r="X504">
        <f>HYPERLINK("https://klasma.github.io/Logging_1880/tillsyn/A 5123-2024 tillsynsbegäran.docx", "A 5123-2024")</f>
        <v/>
      </c>
      <c r="Y504">
        <f>HYPERLINK("https://klasma.github.io/Logging_1880/tillsynsmail/A 5123-2024 tillsynsbegäran mail.docx", "A 5123-2024")</f>
        <v/>
      </c>
    </row>
    <row r="505" ht="15" customHeight="1">
      <c r="A505" t="inlineStr">
        <is>
          <t>A 7069-2024</t>
        </is>
      </c>
      <c r="B505" s="1" t="n">
        <v>45343</v>
      </c>
      <c r="C505" s="1" t="n">
        <v>45797</v>
      </c>
      <c r="D505" t="inlineStr">
        <is>
          <t>ÖREBRO LÄN</t>
        </is>
      </c>
      <c r="E505" t="inlineStr">
        <is>
          <t>ASKERSUND</t>
        </is>
      </c>
      <c r="G505" t="n">
        <v>1.9</v>
      </c>
      <c r="H505" t="n">
        <v>1</v>
      </c>
      <c r="I505" t="n">
        <v>0</v>
      </c>
      <c r="J505" t="n">
        <v>0</v>
      </c>
      <c r="K505" t="n">
        <v>0</v>
      </c>
      <c r="L505" t="n">
        <v>0</v>
      </c>
      <c r="M505" t="n">
        <v>0</v>
      </c>
      <c r="N505" t="n">
        <v>0</v>
      </c>
      <c r="O505" t="n">
        <v>0</v>
      </c>
      <c r="P505" t="n">
        <v>0</v>
      </c>
      <c r="Q505" t="n">
        <v>1</v>
      </c>
      <c r="R505" s="2" t="inlineStr">
        <is>
          <t>Nattviol</t>
        </is>
      </c>
      <c r="S505">
        <f>HYPERLINK("https://klasma.github.io/Logging_1882/artfynd/A 7069-2024 artfynd.xlsx", "A 7069-2024")</f>
        <v/>
      </c>
      <c r="T505">
        <f>HYPERLINK("https://klasma.github.io/Logging_1882/kartor/A 7069-2024 karta.png", "A 7069-2024")</f>
        <v/>
      </c>
      <c r="V505">
        <f>HYPERLINK("https://klasma.github.io/Logging_1882/klagomål/A 7069-2024 FSC-klagomål.docx", "A 7069-2024")</f>
        <v/>
      </c>
      <c r="W505">
        <f>HYPERLINK("https://klasma.github.io/Logging_1882/klagomålsmail/A 7069-2024 FSC-klagomål mail.docx", "A 7069-2024")</f>
        <v/>
      </c>
      <c r="X505">
        <f>HYPERLINK("https://klasma.github.io/Logging_1882/tillsyn/A 7069-2024 tillsynsbegäran.docx", "A 7069-2024")</f>
        <v/>
      </c>
      <c r="Y505">
        <f>HYPERLINK("https://klasma.github.io/Logging_1882/tillsynsmail/A 7069-2024 tillsynsbegäran mail.docx", "A 7069-2024")</f>
        <v/>
      </c>
    </row>
    <row r="506" ht="15" customHeight="1">
      <c r="A506" t="inlineStr">
        <is>
          <t>A 8795-2024</t>
        </is>
      </c>
      <c r="B506" s="1" t="n">
        <v>45356</v>
      </c>
      <c r="C506" s="1" t="n">
        <v>45797</v>
      </c>
      <c r="D506" t="inlineStr">
        <is>
          <t>ÖREBRO LÄN</t>
        </is>
      </c>
      <c r="E506" t="inlineStr">
        <is>
          <t>ÖREBRO</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HYPERLINK("https://klasma.github.io/Logging_1880/artfynd/A 8795-2024 artfynd.xlsx", "A 8795-2024")</f>
        <v/>
      </c>
      <c r="T506">
        <f>HYPERLINK("https://klasma.github.io/Logging_1880/kartor/A 8795-2024 karta.png", "A 8795-2024")</f>
        <v/>
      </c>
      <c r="V506">
        <f>HYPERLINK("https://klasma.github.io/Logging_1880/klagomål/A 8795-2024 FSC-klagomål.docx", "A 8795-2024")</f>
        <v/>
      </c>
      <c r="W506">
        <f>HYPERLINK("https://klasma.github.io/Logging_1880/klagomålsmail/A 8795-2024 FSC-klagomål mail.docx", "A 8795-2024")</f>
        <v/>
      </c>
      <c r="X506">
        <f>HYPERLINK("https://klasma.github.io/Logging_1880/tillsyn/A 8795-2024 tillsynsbegäran.docx", "A 8795-2024")</f>
        <v/>
      </c>
      <c r="Y506">
        <f>HYPERLINK("https://klasma.github.io/Logging_1880/tillsynsmail/A 8795-2024 tillsynsbegäran mail.docx", "A 8795-2024")</f>
        <v/>
      </c>
    </row>
    <row r="507" ht="15" customHeight="1">
      <c r="A507" t="inlineStr">
        <is>
          <t>A 9690-2024</t>
        </is>
      </c>
      <c r="B507" s="1" t="n">
        <v>45362</v>
      </c>
      <c r="C507" s="1" t="n">
        <v>45797</v>
      </c>
      <c r="D507" t="inlineStr">
        <is>
          <t>ÖREBRO LÄN</t>
        </is>
      </c>
      <c r="E507" t="inlineStr">
        <is>
          <t>LEKEBERG</t>
        </is>
      </c>
      <c r="G507" t="n">
        <v>1.8</v>
      </c>
      <c r="H507" t="n">
        <v>1</v>
      </c>
      <c r="I507" t="n">
        <v>0</v>
      </c>
      <c r="J507" t="n">
        <v>1</v>
      </c>
      <c r="K507" t="n">
        <v>0</v>
      </c>
      <c r="L507" t="n">
        <v>0</v>
      </c>
      <c r="M507" t="n">
        <v>0</v>
      </c>
      <c r="N507" t="n">
        <v>0</v>
      </c>
      <c r="O507" t="n">
        <v>1</v>
      </c>
      <c r="P507" t="n">
        <v>0</v>
      </c>
      <c r="Q507" t="n">
        <v>1</v>
      </c>
      <c r="R507" s="2" t="inlineStr">
        <is>
          <t>Spillkråka</t>
        </is>
      </c>
      <c r="S507">
        <f>HYPERLINK("https://klasma.github.io/Logging_1814/artfynd/A 9690-2024 artfynd.xlsx", "A 9690-2024")</f>
        <v/>
      </c>
      <c r="T507">
        <f>HYPERLINK("https://klasma.github.io/Logging_1814/kartor/A 9690-2024 karta.png", "A 9690-2024")</f>
        <v/>
      </c>
      <c r="V507">
        <f>HYPERLINK("https://klasma.github.io/Logging_1814/klagomål/A 9690-2024 FSC-klagomål.docx", "A 9690-2024")</f>
        <v/>
      </c>
      <c r="W507">
        <f>HYPERLINK("https://klasma.github.io/Logging_1814/klagomålsmail/A 9690-2024 FSC-klagomål mail.docx", "A 9690-2024")</f>
        <v/>
      </c>
      <c r="X507">
        <f>HYPERLINK("https://klasma.github.io/Logging_1814/tillsyn/A 9690-2024 tillsynsbegäran.docx", "A 9690-2024")</f>
        <v/>
      </c>
      <c r="Y507">
        <f>HYPERLINK("https://klasma.github.io/Logging_1814/tillsynsmail/A 9690-2024 tillsynsbegäran mail.docx", "A 9690-2024")</f>
        <v/>
      </c>
      <c r="Z507">
        <f>HYPERLINK("https://klasma.github.io/Logging_1814/fåglar/A 9690-2024 prioriterade fågelarter.docx", "A 9690-2024")</f>
        <v/>
      </c>
    </row>
    <row r="508" ht="15" customHeight="1">
      <c r="A508" t="inlineStr">
        <is>
          <t>A 9679-2024</t>
        </is>
      </c>
      <c r="B508" s="1" t="n">
        <v>45362</v>
      </c>
      <c r="C508" s="1" t="n">
        <v>45797</v>
      </c>
      <c r="D508" t="inlineStr">
        <is>
          <t>ÖREBRO LÄN</t>
        </is>
      </c>
      <c r="E508" t="inlineStr">
        <is>
          <t>HALLSBERG</t>
        </is>
      </c>
      <c r="G508" t="n">
        <v>10.9</v>
      </c>
      <c r="H508" t="n">
        <v>0</v>
      </c>
      <c r="I508" t="n">
        <v>1</v>
      </c>
      <c r="J508" t="n">
        <v>0</v>
      </c>
      <c r="K508" t="n">
        <v>0</v>
      </c>
      <c r="L508" t="n">
        <v>0</v>
      </c>
      <c r="M508" t="n">
        <v>0</v>
      </c>
      <c r="N508" t="n">
        <v>0</v>
      </c>
      <c r="O508" t="n">
        <v>0</v>
      </c>
      <c r="P508" t="n">
        <v>0</v>
      </c>
      <c r="Q508" t="n">
        <v>1</v>
      </c>
      <c r="R508" s="2" t="inlineStr">
        <is>
          <t>Flagellkvastmossa</t>
        </is>
      </c>
      <c r="S508">
        <f>HYPERLINK("https://klasma.github.io/Logging_1861/artfynd/A 9679-2024 artfynd.xlsx", "A 9679-2024")</f>
        <v/>
      </c>
      <c r="T508">
        <f>HYPERLINK("https://klasma.github.io/Logging_1861/kartor/A 9679-2024 karta.png", "A 9679-2024")</f>
        <v/>
      </c>
      <c r="V508">
        <f>HYPERLINK("https://klasma.github.io/Logging_1861/klagomål/A 9679-2024 FSC-klagomål.docx", "A 9679-2024")</f>
        <v/>
      </c>
      <c r="W508">
        <f>HYPERLINK("https://klasma.github.io/Logging_1861/klagomålsmail/A 9679-2024 FSC-klagomål mail.docx", "A 9679-2024")</f>
        <v/>
      </c>
      <c r="X508">
        <f>HYPERLINK("https://klasma.github.io/Logging_1861/tillsyn/A 9679-2024 tillsynsbegäran.docx", "A 9679-2024")</f>
        <v/>
      </c>
      <c r="Y508">
        <f>HYPERLINK("https://klasma.github.io/Logging_1861/tillsynsmail/A 9679-2024 tillsynsbegäran mail.docx", "A 9679-2024")</f>
        <v/>
      </c>
    </row>
    <row r="509" ht="15" customHeight="1">
      <c r="A509" t="inlineStr">
        <is>
          <t>A 10680-2024</t>
        </is>
      </c>
      <c r="B509" s="1" t="n">
        <v>45368</v>
      </c>
      <c r="C509" s="1" t="n">
        <v>45797</v>
      </c>
      <c r="D509" t="inlineStr">
        <is>
          <t>ÖREBRO LÄN</t>
        </is>
      </c>
      <c r="E509" t="inlineStr">
        <is>
          <t>LEKEBERG</t>
        </is>
      </c>
      <c r="G509" t="n">
        <v>0.9</v>
      </c>
      <c r="H509" t="n">
        <v>0</v>
      </c>
      <c r="I509" t="n">
        <v>0</v>
      </c>
      <c r="J509" t="n">
        <v>0</v>
      </c>
      <c r="K509" t="n">
        <v>0</v>
      </c>
      <c r="L509" t="n">
        <v>1</v>
      </c>
      <c r="M509" t="n">
        <v>0</v>
      </c>
      <c r="N509" t="n">
        <v>0</v>
      </c>
      <c r="O509" t="n">
        <v>1</v>
      </c>
      <c r="P509" t="n">
        <v>1</v>
      </c>
      <c r="Q509" t="n">
        <v>1</v>
      </c>
      <c r="R509" s="2" t="inlineStr">
        <is>
          <t>Ask</t>
        </is>
      </c>
      <c r="S509">
        <f>HYPERLINK("https://klasma.github.io/Logging_1814/artfynd/A 10680-2024 artfynd.xlsx", "A 10680-2024")</f>
        <v/>
      </c>
      <c r="T509">
        <f>HYPERLINK("https://klasma.github.io/Logging_1814/kartor/A 10680-2024 karta.png", "A 10680-2024")</f>
        <v/>
      </c>
      <c r="V509">
        <f>HYPERLINK("https://klasma.github.io/Logging_1814/klagomål/A 10680-2024 FSC-klagomål.docx", "A 10680-2024")</f>
        <v/>
      </c>
      <c r="W509">
        <f>HYPERLINK("https://klasma.github.io/Logging_1814/klagomålsmail/A 10680-2024 FSC-klagomål mail.docx", "A 10680-2024")</f>
        <v/>
      </c>
      <c r="X509">
        <f>HYPERLINK("https://klasma.github.io/Logging_1814/tillsyn/A 10680-2024 tillsynsbegäran.docx", "A 10680-2024")</f>
        <v/>
      </c>
      <c r="Y509">
        <f>HYPERLINK("https://klasma.github.io/Logging_1814/tillsynsmail/A 10680-2024 tillsynsbegäran mail.docx", "A 10680-2024")</f>
        <v/>
      </c>
    </row>
    <row r="510" ht="15" customHeight="1">
      <c r="A510" t="inlineStr">
        <is>
          <t>A 12720-2024</t>
        </is>
      </c>
      <c r="B510" s="1" t="n">
        <v>45384</v>
      </c>
      <c r="C510" s="1" t="n">
        <v>45797</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Tretåig hackspett</t>
        </is>
      </c>
      <c r="S510">
        <f>HYPERLINK("https://klasma.github.io/Logging_1862/artfynd/A 12720-2024 artfynd.xlsx", "A 12720-2024")</f>
        <v/>
      </c>
      <c r="T510">
        <f>HYPERLINK("https://klasma.github.io/Logging_1862/kartor/A 12720-2024 karta.png", "A 12720-2024")</f>
        <v/>
      </c>
      <c r="V510">
        <f>HYPERLINK("https://klasma.github.io/Logging_1862/klagomål/A 12720-2024 FSC-klagomål.docx", "A 12720-2024")</f>
        <v/>
      </c>
      <c r="W510">
        <f>HYPERLINK("https://klasma.github.io/Logging_1862/klagomålsmail/A 12720-2024 FSC-klagomål mail.docx", "A 12720-2024")</f>
        <v/>
      </c>
      <c r="X510">
        <f>HYPERLINK("https://klasma.github.io/Logging_1862/tillsyn/A 12720-2024 tillsynsbegäran.docx", "A 12720-2024")</f>
        <v/>
      </c>
      <c r="Y510">
        <f>HYPERLINK("https://klasma.github.io/Logging_1862/tillsynsmail/A 12720-2024 tillsynsbegäran mail.docx", "A 12720-2024")</f>
        <v/>
      </c>
      <c r="Z510">
        <f>HYPERLINK("https://klasma.github.io/Logging_1862/fåglar/A 12720-2024 prioriterade fågelarter.docx", "A 12720-2024")</f>
        <v/>
      </c>
    </row>
    <row r="511" ht="15" customHeight="1">
      <c r="A511" t="inlineStr">
        <is>
          <t>A 13484-2024</t>
        </is>
      </c>
      <c r="B511" s="1" t="n">
        <v>45387</v>
      </c>
      <c r="C511" s="1" t="n">
        <v>45797</v>
      </c>
      <c r="D511" t="inlineStr">
        <is>
          <t>ÖREBRO LÄN</t>
        </is>
      </c>
      <c r="E511" t="inlineStr">
        <is>
          <t>ÖREBRO</t>
        </is>
      </c>
      <c r="G511" t="n">
        <v>9.1</v>
      </c>
      <c r="H511" t="n">
        <v>1</v>
      </c>
      <c r="I511" t="n">
        <v>0</v>
      </c>
      <c r="J511" t="n">
        <v>1</v>
      </c>
      <c r="K511" t="n">
        <v>0</v>
      </c>
      <c r="L511" t="n">
        <v>0</v>
      </c>
      <c r="M511" t="n">
        <v>0</v>
      </c>
      <c r="N511" t="n">
        <v>0</v>
      </c>
      <c r="O511" t="n">
        <v>1</v>
      </c>
      <c r="P511" t="n">
        <v>0</v>
      </c>
      <c r="Q511" t="n">
        <v>1</v>
      </c>
      <c r="R511" s="2" t="inlineStr">
        <is>
          <t>Spillkråka</t>
        </is>
      </c>
      <c r="S511">
        <f>HYPERLINK("https://klasma.github.io/Logging_1880/artfynd/A 13484-2024 artfynd.xlsx", "A 13484-2024")</f>
        <v/>
      </c>
      <c r="T511">
        <f>HYPERLINK("https://klasma.github.io/Logging_1880/kartor/A 13484-2024 karta.png", "A 13484-2024")</f>
        <v/>
      </c>
      <c r="V511">
        <f>HYPERLINK("https://klasma.github.io/Logging_1880/klagomål/A 13484-2024 FSC-klagomål.docx", "A 13484-2024")</f>
        <v/>
      </c>
      <c r="W511">
        <f>HYPERLINK("https://klasma.github.io/Logging_1880/klagomålsmail/A 13484-2024 FSC-klagomål mail.docx", "A 13484-2024")</f>
        <v/>
      </c>
      <c r="X511">
        <f>HYPERLINK("https://klasma.github.io/Logging_1880/tillsyn/A 13484-2024 tillsynsbegäran.docx", "A 13484-2024")</f>
        <v/>
      </c>
      <c r="Y511">
        <f>HYPERLINK("https://klasma.github.io/Logging_1880/tillsynsmail/A 13484-2024 tillsynsbegäran mail.docx", "A 13484-2024")</f>
        <v/>
      </c>
      <c r="Z511">
        <f>HYPERLINK("https://klasma.github.io/Logging_1880/fåglar/A 13484-2024 prioriterade fågelarter.docx", "A 13484-2024")</f>
        <v/>
      </c>
    </row>
    <row r="512" ht="15" customHeight="1">
      <c r="A512" t="inlineStr">
        <is>
          <t>A 14064-2024</t>
        </is>
      </c>
      <c r="B512" s="1" t="n">
        <v>45392</v>
      </c>
      <c r="C512" s="1" t="n">
        <v>45797</v>
      </c>
      <c r="D512" t="inlineStr">
        <is>
          <t>ÖREBRO LÄN</t>
        </is>
      </c>
      <c r="E512" t="inlineStr">
        <is>
          <t>HALLSBERG</t>
        </is>
      </c>
      <c r="G512" t="n">
        <v>4</v>
      </c>
      <c r="H512" t="n">
        <v>1</v>
      </c>
      <c r="I512" t="n">
        <v>0</v>
      </c>
      <c r="J512" t="n">
        <v>0</v>
      </c>
      <c r="K512" t="n">
        <v>0</v>
      </c>
      <c r="L512" t="n">
        <v>0</v>
      </c>
      <c r="M512" t="n">
        <v>0</v>
      </c>
      <c r="N512" t="n">
        <v>0</v>
      </c>
      <c r="O512" t="n">
        <v>0</v>
      </c>
      <c r="P512" t="n">
        <v>0</v>
      </c>
      <c r="Q512" t="n">
        <v>1</v>
      </c>
      <c r="R512" s="2" t="inlineStr">
        <is>
          <t>Blåsippa</t>
        </is>
      </c>
      <c r="S512">
        <f>HYPERLINK("https://klasma.github.io/Logging_1861/artfynd/A 14064-2024 artfynd.xlsx", "A 14064-2024")</f>
        <v/>
      </c>
      <c r="T512">
        <f>HYPERLINK("https://klasma.github.io/Logging_1861/kartor/A 14064-2024 karta.png", "A 14064-2024")</f>
        <v/>
      </c>
      <c r="V512">
        <f>HYPERLINK("https://klasma.github.io/Logging_1861/klagomål/A 14064-2024 FSC-klagomål.docx", "A 14064-2024")</f>
        <v/>
      </c>
      <c r="W512">
        <f>HYPERLINK("https://klasma.github.io/Logging_1861/klagomålsmail/A 14064-2024 FSC-klagomål mail.docx", "A 14064-2024")</f>
        <v/>
      </c>
      <c r="X512">
        <f>HYPERLINK("https://klasma.github.io/Logging_1861/tillsyn/A 14064-2024 tillsynsbegäran.docx", "A 14064-2024")</f>
        <v/>
      </c>
      <c r="Y512">
        <f>HYPERLINK("https://klasma.github.io/Logging_1861/tillsynsmail/A 14064-2024 tillsynsbegäran mail.docx", "A 14064-2024")</f>
        <v/>
      </c>
    </row>
    <row r="513" ht="15" customHeight="1">
      <c r="A513" t="inlineStr">
        <is>
          <t>A 14620-2024</t>
        </is>
      </c>
      <c r="B513" s="1" t="n">
        <v>45397</v>
      </c>
      <c r="C513" s="1" t="n">
        <v>45797</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14620-2024 artfynd.xlsx", "A 14620-2024")</f>
        <v/>
      </c>
      <c r="T513">
        <f>HYPERLINK("https://klasma.github.io/Logging_1861/kartor/A 14620-2024 karta.png", "A 14620-2024")</f>
        <v/>
      </c>
      <c r="V513">
        <f>HYPERLINK("https://klasma.github.io/Logging_1861/klagomål/A 14620-2024 FSC-klagomål.docx", "A 14620-2024")</f>
        <v/>
      </c>
      <c r="W513">
        <f>HYPERLINK("https://klasma.github.io/Logging_1861/klagomålsmail/A 14620-2024 FSC-klagomål mail.docx", "A 14620-2024")</f>
        <v/>
      </c>
      <c r="X513">
        <f>HYPERLINK("https://klasma.github.io/Logging_1861/tillsyn/A 14620-2024 tillsynsbegäran.docx", "A 14620-2024")</f>
        <v/>
      </c>
      <c r="Y513">
        <f>HYPERLINK("https://klasma.github.io/Logging_1861/tillsynsmail/A 14620-2024 tillsynsbegäran mail.docx", "A 14620-2024")</f>
        <v/>
      </c>
    </row>
    <row r="514" ht="15" customHeight="1">
      <c r="A514" t="inlineStr">
        <is>
          <t>A 14619-2024</t>
        </is>
      </c>
      <c r="B514" s="1" t="n">
        <v>45397</v>
      </c>
      <c r="C514" s="1" t="n">
        <v>45797</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14619-2024 artfynd.xlsx", "A 14619-2024")</f>
        <v/>
      </c>
      <c r="T514">
        <f>HYPERLINK("https://klasma.github.io/Logging_1861/kartor/A 14619-2024 karta.png", "A 14619-2024")</f>
        <v/>
      </c>
      <c r="V514">
        <f>HYPERLINK("https://klasma.github.io/Logging_1861/klagomål/A 14619-2024 FSC-klagomål.docx", "A 14619-2024")</f>
        <v/>
      </c>
      <c r="W514">
        <f>HYPERLINK("https://klasma.github.io/Logging_1861/klagomålsmail/A 14619-2024 FSC-klagomål mail.docx", "A 14619-2024")</f>
        <v/>
      </c>
      <c r="X514">
        <f>HYPERLINK("https://klasma.github.io/Logging_1861/tillsyn/A 14619-2024 tillsynsbegäran.docx", "A 14619-2024")</f>
        <v/>
      </c>
      <c r="Y514">
        <f>HYPERLINK("https://klasma.github.io/Logging_1861/tillsynsmail/A 14619-2024 tillsynsbegäran mail.docx", "A 14619-2024")</f>
        <v/>
      </c>
    </row>
    <row r="515" ht="15" customHeight="1">
      <c r="A515" t="inlineStr">
        <is>
          <t>A 14985-2024</t>
        </is>
      </c>
      <c r="B515" s="1" t="n">
        <v>45399</v>
      </c>
      <c r="C515" s="1" t="n">
        <v>45797</v>
      </c>
      <c r="D515" t="inlineStr">
        <is>
          <t>ÖREBRO LÄN</t>
        </is>
      </c>
      <c r="E515" t="inlineStr">
        <is>
          <t>HÄLLEFORS</t>
        </is>
      </c>
      <c r="F515" t="inlineStr">
        <is>
          <t>Bergvik skog väst AB</t>
        </is>
      </c>
      <c r="G515" t="n">
        <v>6.8</v>
      </c>
      <c r="H515" t="n">
        <v>1</v>
      </c>
      <c r="I515" t="n">
        <v>0</v>
      </c>
      <c r="J515" t="n">
        <v>0</v>
      </c>
      <c r="K515" t="n">
        <v>0</v>
      </c>
      <c r="L515" t="n">
        <v>0</v>
      </c>
      <c r="M515" t="n">
        <v>0</v>
      </c>
      <c r="N515" t="n">
        <v>0</v>
      </c>
      <c r="O515" t="n">
        <v>0</v>
      </c>
      <c r="P515" t="n">
        <v>0</v>
      </c>
      <c r="Q515" t="n">
        <v>1</v>
      </c>
      <c r="R515" s="2" t="inlineStr">
        <is>
          <t>Mattlummer</t>
        </is>
      </c>
      <c r="S515">
        <f>HYPERLINK("https://klasma.github.io/Logging_1863/artfynd/A 14985-2024 artfynd.xlsx", "A 14985-2024")</f>
        <v/>
      </c>
      <c r="T515">
        <f>HYPERLINK("https://klasma.github.io/Logging_1863/kartor/A 14985-2024 karta.png", "A 14985-2024")</f>
        <v/>
      </c>
      <c r="V515">
        <f>HYPERLINK("https://klasma.github.io/Logging_1863/klagomål/A 14985-2024 FSC-klagomål.docx", "A 14985-2024")</f>
        <v/>
      </c>
      <c r="W515">
        <f>HYPERLINK("https://klasma.github.io/Logging_1863/klagomålsmail/A 14985-2024 FSC-klagomål mail.docx", "A 14985-2024")</f>
        <v/>
      </c>
      <c r="X515">
        <f>HYPERLINK("https://klasma.github.io/Logging_1863/tillsyn/A 14985-2024 tillsynsbegäran.docx", "A 14985-2024")</f>
        <v/>
      </c>
      <c r="Y515">
        <f>HYPERLINK("https://klasma.github.io/Logging_1863/tillsynsmail/A 14985-2024 tillsynsbegäran mail.docx", "A 14985-2024")</f>
        <v/>
      </c>
    </row>
    <row r="516" ht="15" customHeight="1">
      <c r="A516" t="inlineStr">
        <is>
          <t>A 15327-2024</t>
        </is>
      </c>
      <c r="B516" s="1" t="n">
        <v>45400</v>
      </c>
      <c r="C516" s="1" t="n">
        <v>45797</v>
      </c>
      <c r="D516" t="inlineStr">
        <is>
          <t>ÖREBRO LÄN</t>
        </is>
      </c>
      <c r="E516" t="inlineStr">
        <is>
          <t>NORA</t>
        </is>
      </c>
      <c r="G516" t="n">
        <v>3.5</v>
      </c>
      <c r="H516" t="n">
        <v>0</v>
      </c>
      <c r="I516" t="n">
        <v>0</v>
      </c>
      <c r="J516" t="n">
        <v>1</v>
      </c>
      <c r="K516" t="n">
        <v>0</v>
      </c>
      <c r="L516" t="n">
        <v>0</v>
      </c>
      <c r="M516" t="n">
        <v>0</v>
      </c>
      <c r="N516" t="n">
        <v>0</v>
      </c>
      <c r="O516" t="n">
        <v>1</v>
      </c>
      <c r="P516" t="n">
        <v>0</v>
      </c>
      <c r="Q516" t="n">
        <v>1</v>
      </c>
      <c r="R516" s="2" t="inlineStr">
        <is>
          <t>Violettgrå tagellav</t>
        </is>
      </c>
      <c r="S516">
        <f>HYPERLINK("https://klasma.github.io/Logging_1884/artfynd/A 15327-2024 artfynd.xlsx", "A 15327-2024")</f>
        <v/>
      </c>
      <c r="T516">
        <f>HYPERLINK("https://klasma.github.io/Logging_1884/kartor/A 15327-2024 karta.png", "A 15327-2024")</f>
        <v/>
      </c>
      <c r="V516">
        <f>HYPERLINK("https://klasma.github.io/Logging_1884/klagomål/A 15327-2024 FSC-klagomål.docx", "A 15327-2024")</f>
        <v/>
      </c>
      <c r="W516">
        <f>HYPERLINK("https://klasma.github.io/Logging_1884/klagomålsmail/A 15327-2024 FSC-klagomål mail.docx", "A 15327-2024")</f>
        <v/>
      </c>
      <c r="X516">
        <f>HYPERLINK("https://klasma.github.io/Logging_1884/tillsyn/A 15327-2024 tillsynsbegäran.docx", "A 15327-2024")</f>
        <v/>
      </c>
      <c r="Y516">
        <f>HYPERLINK("https://klasma.github.io/Logging_1884/tillsynsmail/A 15327-2024 tillsynsbegäran mail.docx", "A 15327-2024")</f>
        <v/>
      </c>
    </row>
    <row r="517" ht="15" customHeight="1">
      <c r="A517" t="inlineStr">
        <is>
          <t>A 16539-2024</t>
        </is>
      </c>
      <c r="B517" s="1" t="n">
        <v>45408</v>
      </c>
      <c r="C517" s="1" t="n">
        <v>45797</v>
      </c>
      <c r="D517" t="inlineStr">
        <is>
          <t>ÖREBRO LÄN</t>
        </is>
      </c>
      <c r="E517" t="inlineStr">
        <is>
          <t>NORA</t>
        </is>
      </c>
      <c r="F517" t="inlineStr">
        <is>
          <t>Sveaskog</t>
        </is>
      </c>
      <c r="G517" t="n">
        <v>1.7</v>
      </c>
      <c r="H517" t="n">
        <v>0</v>
      </c>
      <c r="I517" t="n">
        <v>0</v>
      </c>
      <c r="J517" t="n">
        <v>1</v>
      </c>
      <c r="K517" t="n">
        <v>0</v>
      </c>
      <c r="L517" t="n">
        <v>0</v>
      </c>
      <c r="M517" t="n">
        <v>0</v>
      </c>
      <c r="N517" t="n">
        <v>0</v>
      </c>
      <c r="O517" t="n">
        <v>1</v>
      </c>
      <c r="P517" t="n">
        <v>0</v>
      </c>
      <c r="Q517" t="n">
        <v>1</v>
      </c>
      <c r="R517" s="2" t="inlineStr">
        <is>
          <t>Svinrot</t>
        </is>
      </c>
      <c r="S517">
        <f>HYPERLINK("https://klasma.github.io/Logging_1884/artfynd/A 16539-2024 artfynd.xlsx", "A 16539-2024")</f>
        <v/>
      </c>
      <c r="T517">
        <f>HYPERLINK("https://klasma.github.io/Logging_1884/kartor/A 16539-2024 karta.png", "A 16539-2024")</f>
        <v/>
      </c>
      <c r="V517">
        <f>HYPERLINK("https://klasma.github.io/Logging_1884/klagomål/A 16539-2024 FSC-klagomål.docx", "A 16539-2024")</f>
        <v/>
      </c>
      <c r="W517">
        <f>HYPERLINK("https://klasma.github.io/Logging_1884/klagomålsmail/A 16539-2024 FSC-klagomål mail.docx", "A 16539-2024")</f>
        <v/>
      </c>
      <c r="X517">
        <f>HYPERLINK("https://klasma.github.io/Logging_1884/tillsyn/A 16539-2024 tillsynsbegäran.docx", "A 16539-2024")</f>
        <v/>
      </c>
      <c r="Y517">
        <f>HYPERLINK("https://klasma.github.io/Logging_1884/tillsynsmail/A 16539-2024 tillsynsbegäran mail.docx", "A 16539-2024")</f>
        <v/>
      </c>
    </row>
    <row r="518" ht="15" customHeight="1">
      <c r="A518" t="inlineStr">
        <is>
          <t>A 16627-2024</t>
        </is>
      </c>
      <c r="B518" s="1" t="n">
        <v>45408</v>
      </c>
      <c r="C518" s="1" t="n">
        <v>45797</v>
      </c>
      <c r="D518" t="inlineStr">
        <is>
          <t>ÖREBRO LÄN</t>
        </is>
      </c>
      <c r="E518" t="inlineStr">
        <is>
          <t>ASKERSUND</t>
        </is>
      </c>
      <c r="F518" t="inlineStr">
        <is>
          <t>Sveaskog</t>
        </is>
      </c>
      <c r="G518" t="n">
        <v>3.6</v>
      </c>
      <c r="H518" t="n">
        <v>0</v>
      </c>
      <c r="I518" t="n">
        <v>0</v>
      </c>
      <c r="J518" t="n">
        <v>0</v>
      </c>
      <c r="K518" t="n">
        <v>1</v>
      </c>
      <c r="L518" t="n">
        <v>0</v>
      </c>
      <c r="M518" t="n">
        <v>0</v>
      </c>
      <c r="N518" t="n">
        <v>0</v>
      </c>
      <c r="O518" t="n">
        <v>1</v>
      </c>
      <c r="P518" t="n">
        <v>1</v>
      </c>
      <c r="Q518" t="n">
        <v>1</v>
      </c>
      <c r="R518" s="2" t="inlineStr">
        <is>
          <t>Slåttergubbe</t>
        </is>
      </c>
      <c r="S518">
        <f>HYPERLINK("https://klasma.github.io/Logging_1882/artfynd/A 16627-2024 artfynd.xlsx", "A 16627-2024")</f>
        <v/>
      </c>
      <c r="T518">
        <f>HYPERLINK("https://klasma.github.io/Logging_1882/kartor/A 16627-2024 karta.png", "A 16627-2024")</f>
        <v/>
      </c>
      <c r="V518">
        <f>HYPERLINK("https://klasma.github.io/Logging_1882/klagomål/A 16627-2024 FSC-klagomål.docx", "A 16627-2024")</f>
        <v/>
      </c>
      <c r="W518">
        <f>HYPERLINK("https://klasma.github.io/Logging_1882/klagomålsmail/A 16627-2024 FSC-klagomål mail.docx", "A 16627-2024")</f>
        <v/>
      </c>
      <c r="X518">
        <f>HYPERLINK("https://klasma.github.io/Logging_1882/tillsyn/A 16627-2024 tillsynsbegäran.docx", "A 16627-2024")</f>
        <v/>
      </c>
      <c r="Y518">
        <f>HYPERLINK("https://klasma.github.io/Logging_1882/tillsynsmail/A 16627-2024 tillsynsbegäran mail.docx", "A 16627-2024")</f>
        <v/>
      </c>
    </row>
    <row r="519" ht="15" customHeight="1">
      <c r="A519" t="inlineStr">
        <is>
          <t>A 16554-2024</t>
        </is>
      </c>
      <c r="B519" s="1" t="n">
        <v>45408</v>
      </c>
      <c r="C519" s="1" t="n">
        <v>45797</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16554-2024 artfynd.xlsx", "A 16554-2024")</f>
        <v/>
      </c>
      <c r="T519">
        <f>HYPERLINK("https://klasma.github.io/Logging_1884/kartor/A 16554-2024 karta.png", "A 16554-2024")</f>
        <v/>
      </c>
      <c r="V519">
        <f>HYPERLINK("https://klasma.github.io/Logging_1884/klagomål/A 16554-2024 FSC-klagomål.docx", "A 16554-2024")</f>
        <v/>
      </c>
      <c r="W519">
        <f>HYPERLINK("https://klasma.github.io/Logging_1884/klagomålsmail/A 16554-2024 FSC-klagomål mail.docx", "A 16554-2024")</f>
        <v/>
      </c>
      <c r="X519">
        <f>HYPERLINK("https://klasma.github.io/Logging_1884/tillsyn/A 16554-2024 tillsynsbegäran.docx", "A 16554-2024")</f>
        <v/>
      </c>
      <c r="Y519">
        <f>HYPERLINK("https://klasma.github.io/Logging_1884/tillsynsmail/A 16554-2024 tillsynsbegäran mail.docx", "A 16554-2024")</f>
        <v/>
      </c>
    </row>
    <row r="520" ht="15" customHeight="1">
      <c r="A520" t="inlineStr">
        <is>
          <t>A 16642-2024</t>
        </is>
      </c>
      <c r="B520" s="1" t="n">
        <v>45408</v>
      </c>
      <c r="C520" s="1" t="n">
        <v>45797</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16642-2024 artfynd.xlsx", "A 16642-2024")</f>
        <v/>
      </c>
      <c r="T520">
        <f>HYPERLINK("https://klasma.github.io/Logging_1884/kartor/A 16642-2024 karta.png", "A 16642-2024")</f>
        <v/>
      </c>
      <c r="V520">
        <f>HYPERLINK("https://klasma.github.io/Logging_1884/klagomål/A 16642-2024 FSC-klagomål.docx", "A 16642-2024")</f>
        <v/>
      </c>
      <c r="W520">
        <f>HYPERLINK("https://klasma.github.io/Logging_1884/klagomålsmail/A 16642-2024 FSC-klagomål mail.docx", "A 16642-2024")</f>
        <v/>
      </c>
      <c r="X520">
        <f>HYPERLINK("https://klasma.github.io/Logging_1884/tillsyn/A 16642-2024 tillsynsbegäran.docx", "A 16642-2024")</f>
        <v/>
      </c>
      <c r="Y520">
        <f>HYPERLINK("https://klasma.github.io/Logging_1884/tillsynsmail/A 16642-2024 tillsynsbegäran mail.docx", "A 16642-2024")</f>
        <v/>
      </c>
    </row>
    <row r="521" ht="15" customHeight="1">
      <c r="A521" t="inlineStr">
        <is>
          <t>A 20654-2024</t>
        </is>
      </c>
      <c r="B521" s="1" t="n">
        <v>45436</v>
      </c>
      <c r="C521" s="1" t="n">
        <v>45797</v>
      </c>
      <c r="D521" t="inlineStr">
        <is>
          <t>ÖREBRO LÄN</t>
        </is>
      </c>
      <c r="E521" t="inlineStr">
        <is>
          <t>NORA</t>
        </is>
      </c>
      <c r="G521" t="n">
        <v>2.5</v>
      </c>
      <c r="H521" t="n">
        <v>0</v>
      </c>
      <c r="I521" t="n">
        <v>0</v>
      </c>
      <c r="J521" t="n">
        <v>1</v>
      </c>
      <c r="K521" t="n">
        <v>0</v>
      </c>
      <c r="L521" t="n">
        <v>0</v>
      </c>
      <c r="M521" t="n">
        <v>0</v>
      </c>
      <c r="N521" t="n">
        <v>0</v>
      </c>
      <c r="O521" t="n">
        <v>1</v>
      </c>
      <c r="P521" t="n">
        <v>0</v>
      </c>
      <c r="Q521" t="n">
        <v>1</v>
      </c>
      <c r="R521" s="2" t="inlineStr">
        <is>
          <t>Garnlav</t>
        </is>
      </c>
      <c r="S521">
        <f>HYPERLINK("https://klasma.github.io/Logging_1884/artfynd/A 20654-2024 artfynd.xlsx", "A 20654-2024")</f>
        <v/>
      </c>
      <c r="T521">
        <f>HYPERLINK("https://klasma.github.io/Logging_1884/kartor/A 20654-2024 karta.png", "A 20654-2024")</f>
        <v/>
      </c>
      <c r="V521">
        <f>HYPERLINK("https://klasma.github.io/Logging_1884/klagomål/A 20654-2024 FSC-klagomål.docx", "A 20654-2024")</f>
        <v/>
      </c>
      <c r="W521">
        <f>HYPERLINK("https://klasma.github.io/Logging_1884/klagomålsmail/A 20654-2024 FSC-klagomål mail.docx", "A 20654-2024")</f>
        <v/>
      </c>
      <c r="X521">
        <f>HYPERLINK("https://klasma.github.io/Logging_1884/tillsyn/A 20654-2024 tillsynsbegäran.docx", "A 20654-2024")</f>
        <v/>
      </c>
      <c r="Y521">
        <f>HYPERLINK("https://klasma.github.io/Logging_1884/tillsynsmail/A 20654-2024 tillsynsbegäran mail.docx", "A 20654-2024")</f>
        <v/>
      </c>
    </row>
    <row r="522" ht="15" customHeight="1">
      <c r="A522" t="inlineStr">
        <is>
          <t>A 21314-2024</t>
        </is>
      </c>
      <c r="B522" s="1" t="n">
        <v>45440</v>
      </c>
      <c r="C522" s="1" t="n">
        <v>45797</v>
      </c>
      <c r="D522" t="inlineStr">
        <is>
          <t>ÖREBRO LÄN</t>
        </is>
      </c>
      <c r="E522" t="inlineStr">
        <is>
          <t>HALLSBERG</t>
        </is>
      </c>
      <c r="F522" t="inlineStr">
        <is>
          <t>Övriga Aktiebolag</t>
        </is>
      </c>
      <c r="G522" t="n">
        <v>4.5</v>
      </c>
      <c r="H522" t="n">
        <v>1</v>
      </c>
      <c r="I522" t="n">
        <v>0</v>
      </c>
      <c r="J522" t="n">
        <v>0</v>
      </c>
      <c r="K522" t="n">
        <v>0</v>
      </c>
      <c r="L522" t="n">
        <v>0</v>
      </c>
      <c r="M522" t="n">
        <v>0</v>
      </c>
      <c r="N522" t="n">
        <v>0</v>
      </c>
      <c r="O522" t="n">
        <v>0</v>
      </c>
      <c r="P522" t="n">
        <v>0</v>
      </c>
      <c r="Q522" t="n">
        <v>1</v>
      </c>
      <c r="R522" s="2" t="inlineStr">
        <is>
          <t>Grönvit nattviol</t>
        </is>
      </c>
      <c r="S522">
        <f>HYPERLINK("https://klasma.github.io/Logging_1861/artfynd/A 21314-2024 artfynd.xlsx", "A 21314-2024")</f>
        <v/>
      </c>
      <c r="T522">
        <f>HYPERLINK("https://klasma.github.io/Logging_1861/kartor/A 21314-2024 karta.png", "A 21314-2024")</f>
        <v/>
      </c>
      <c r="V522">
        <f>HYPERLINK("https://klasma.github.io/Logging_1861/klagomål/A 21314-2024 FSC-klagomål.docx", "A 21314-2024")</f>
        <v/>
      </c>
      <c r="W522">
        <f>HYPERLINK("https://klasma.github.io/Logging_1861/klagomålsmail/A 21314-2024 FSC-klagomål mail.docx", "A 21314-2024")</f>
        <v/>
      </c>
      <c r="X522">
        <f>HYPERLINK("https://klasma.github.io/Logging_1861/tillsyn/A 21314-2024 tillsynsbegäran.docx", "A 21314-2024")</f>
        <v/>
      </c>
      <c r="Y522">
        <f>HYPERLINK("https://klasma.github.io/Logging_1861/tillsynsmail/A 21314-2024 tillsynsbegäran mail.docx", "A 21314-2024")</f>
        <v/>
      </c>
    </row>
    <row r="523" ht="15" customHeight="1">
      <c r="A523" t="inlineStr">
        <is>
          <t>A 21951-2024</t>
        </is>
      </c>
      <c r="B523" s="1" t="n">
        <v>45443</v>
      </c>
      <c r="C523" s="1" t="n">
        <v>45797</v>
      </c>
      <c r="D523" t="inlineStr">
        <is>
          <t>ÖREBRO LÄN</t>
        </is>
      </c>
      <c r="E523" t="inlineStr">
        <is>
          <t>DEGERFORS</t>
        </is>
      </c>
      <c r="F523" t="inlineStr">
        <is>
          <t>Sveaskog</t>
        </is>
      </c>
      <c r="G523" t="n">
        <v>5.1</v>
      </c>
      <c r="H523" t="n">
        <v>1</v>
      </c>
      <c r="I523" t="n">
        <v>0</v>
      </c>
      <c r="J523" t="n">
        <v>1</v>
      </c>
      <c r="K523" t="n">
        <v>0</v>
      </c>
      <c r="L523" t="n">
        <v>0</v>
      </c>
      <c r="M523" t="n">
        <v>0</v>
      </c>
      <c r="N523" t="n">
        <v>0</v>
      </c>
      <c r="O523" t="n">
        <v>1</v>
      </c>
      <c r="P523" t="n">
        <v>0</v>
      </c>
      <c r="Q523" t="n">
        <v>1</v>
      </c>
      <c r="R523" s="2" t="inlineStr">
        <is>
          <t>Strandlummer</t>
        </is>
      </c>
      <c r="S523">
        <f>HYPERLINK("https://klasma.github.io/Logging_1862/artfynd/A 21951-2024 artfynd.xlsx", "A 21951-2024")</f>
        <v/>
      </c>
      <c r="T523">
        <f>HYPERLINK("https://klasma.github.io/Logging_1862/kartor/A 21951-2024 karta.png", "A 21951-2024")</f>
        <v/>
      </c>
      <c r="V523">
        <f>HYPERLINK("https://klasma.github.io/Logging_1862/klagomål/A 21951-2024 FSC-klagomål.docx", "A 21951-2024")</f>
        <v/>
      </c>
      <c r="W523">
        <f>HYPERLINK("https://klasma.github.io/Logging_1862/klagomålsmail/A 21951-2024 FSC-klagomål mail.docx", "A 21951-2024")</f>
        <v/>
      </c>
      <c r="X523">
        <f>HYPERLINK("https://klasma.github.io/Logging_1862/tillsyn/A 21951-2024 tillsynsbegäran.docx", "A 21951-2024")</f>
        <v/>
      </c>
      <c r="Y523">
        <f>HYPERLINK("https://klasma.github.io/Logging_1862/tillsynsmail/A 21951-2024 tillsynsbegäran mail.docx", "A 21951-2024")</f>
        <v/>
      </c>
    </row>
    <row r="524" ht="15" customHeight="1">
      <c r="A524" t="inlineStr">
        <is>
          <t>A 22604-2024</t>
        </is>
      </c>
      <c r="B524" s="1" t="n">
        <v>45447</v>
      </c>
      <c r="C524" s="1" t="n">
        <v>45797</v>
      </c>
      <c r="D524" t="inlineStr">
        <is>
          <t>ÖREBRO LÄN</t>
        </is>
      </c>
      <c r="E524" t="inlineStr">
        <is>
          <t>ÖREBRO</t>
        </is>
      </c>
      <c r="G524" t="n">
        <v>4.4</v>
      </c>
      <c r="H524" t="n">
        <v>0</v>
      </c>
      <c r="I524" t="n">
        <v>0</v>
      </c>
      <c r="J524" t="n">
        <v>1</v>
      </c>
      <c r="K524" t="n">
        <v>0</v>
      </c>
      <c r="L524" t="n">
        <v>0</v>
      </c>
      <c r="M524" t="n">
        <v>0</v>
      </c>
      <c r="N524" t="n">
        <v>0</v>
      </c>
      <c r="O524" t="n">
        <v>1</v>
      </c>
      <c r="P524" t="n">
        <v>0</v>
      </c>
      <c r="Q524" t="n">
        <v>1</v>
      </c>
      <c r="R524" s="2" t="inlineStr">
        <is>
          <t>Månlåsbräken</t>
        </is>
      </c>
      <c r="S524">
        <f>HYPERLINK("https://klasma.github.io/Logging_1880/artfynd/A 22604-2024 artfynd.xlsx", "A 22604-2024")</f>
        <v/>
      </c>
      <c r="T524">
        <f>HYPERLINK("https://klasma.github.io/Logging_1880/kartor/A 22604-2024 karta.png", "A 22604-2024")</f>
        <v/>
      </c>
      <c r="V524">
        <f>HYPERLINK("https://klasma.github.io/Logging_1880/klagomål/A 22604-2024 FSC-klagomål.docx", "A 22604-2024")</f>
        <v/>
      </c>
      <c r="W524">
        <f>HYPERLINK("https://klasma.github.io/Logging_1880/klagomålsmail/A 22604-2024 FSC-klagomål mail.docx", "A 22604-2024")</f>
        <v/>
      </c>
      <c r="X524">
        <f>HYPERLINK("https://klasma.github.io/Logging_1880/tillsyn/A 22604-2024 tillsynsbegäran.docx", "A 22604-2024")</f>
        <v/>
      </c>
      <c r="Y524">
        <f>HYPERLINK("https://klasma.github.io/Logging_1880/tillsynsmail/A 22604-2024 tillsynsbegäran mail.docx", "A 22604-2024")</f>
        <v/>
      </c>
    </row>
    <row r="525" ht="15" customHeight="1">
      <c r="A525" t="inlineStr">
        <is>
          <t>A 22816-2024</t>
        </is>
      </c>
      <c r="B525" s="1" t="n">
        <v>45448</v>
      </c>
      <c r="C525" s="1" t="n">
        <v>45797</v>
      </c>
      <c r="D525" t="inlineStr">
        <is>
          <t>ÖREBRO LÄN</t>
        </is>
      </c>
      <c r="E525" t="inlineStr">
        <is>
          <t>ASKERSUND</t>
        </is>
      </c>
      <c r="F525" t="inlineStr">
        <is>
          <t>Övriga Aktiebolag</t>
        </is>
      </c>
      <c r="G525" t="n">
        <v>8.1</v>
      </c>
      <c r="H525" t="n">
        <v>1</v>
      </c>
      <c r="I525" t="n">
        <v>0</v>
      </c>
      <c r="J525" t="n">
        <v>0</v>
      </c>
      <c r="K525" t="n">
        <v>0</v>
      </c>
      <c r="L525" t="n">
        <v>0</v>
      </c>
      <c r="M525" t="n">
        <v>0</v>
      </c>
      <c r="N525" t="n">
        <v>0</v>
      </c>
      <c r="O525" t="n">
        <v>0</v>
      </c>
      <c r="P525" t="n">
        <v>0</v>
      </c>
      <c r="Q525" t="n">
        <v>1</v>
      </c>
      <c r="R525" s="2" t="inlineStr">
        <is>
          <t>Blåsippa</t>
        </is>
      </c>
      <c r="S525">
        <f>HYPERLINK("https://klasma.github.io/Logging_1882/artfynd/A 22816-2024 artfynd.xlsx", "A 22816-2024")</f>
        <v/>
      </c>
      <c r="T525">
        <f>HYPERLINK("https://klasma.github.io/Logging_1882/kartor/A 22816-2024 karta.png", "A 22816-2024")</f>
        <v/>
      </c>
      <c r="V525">
        <f>HYPERLINK("https://klasma.github.io/Logging_1882/klagomål/A 22816-2024 FSC-klagomål.docx", "A 22816-2024")</f>
        <v/>
      </c>
      <c r="W525">
        <f>HYPERLINK("https://klasma.github.io/Logging_1882/klagomålsmail/A 22816-2024 FSC-klagomål mail.docx", "A 22816-2024")</f>
        <v/>
      </c>
      <c r="X525">
        <f>HYPERLINK("https://klasma.github.io/Logging_1882/tillsyn/A 22816-2024 tillsynsbegäran.docx", "A 22816-2024")</f>
        <v/>
      </c>
      <c r="Y525">
        <f>HYPERLINK("https://klasma.github.io/Logging_1882/tillsynsmail/A 22816-2024 tillsynsbegäran mail.docx", "A 22816-2024")</f>
        <v/>
      </c>
    </row>
    <row r="526" ht="15" customHeight="1">
      <c r="A526" t="inlineStr">
        <is>
          <t>A 22752-2024</t>
        </is>
      </c>
      <c r="B526" s="1" t="n">
        <v>45448</v>
      </c>
      <c r="C526" s="1" t="n">
        <v>45797</v>
      </c>
      <c r="D526" t="inlineStr">
        <is>
          <t>ÖREBRO LÄN</t>
        </is>
      </c>
      <c r="E526" t="inlineStr">
        <is>
          <t>KARLSKOGA</t>
        </is>
      </c>
      <c r="F526" t="inlineStr">
        <is>
          <t>Sveaskog</t>
        </is>
      </c>
      <c r="G526" t="n">
        <v>5</v>
      </c>
      <c r="H526" t="n">
        <v>1</v>
      </c>
      <c r="I526" t="n">
        <v>0</v>
      </c>
      <c r="J526" t="n">
        <v>1</v>
      </c>
      <c r="K526" t="n">
        <v>0</v>
      </c>
      <c r="L526" t="n">
        <v>0</v>
      </c>
      <c r="M526" t="n">
        <v>0</v>
      </c>
      <c r="N526" t="n">
        <v>0</v>
      </c>
      <c r="O526" t="n">
        <v>1</v>
      </c>
      <c r="P526" t="n">
        <v>0</v>
      </c>
      <c r="Q526" t="n">
        <v>1</v>
      </c>
      <c r="R526" s="2" t="inlineStr">
        <is>
          <t>Tretåig hackspett</t>
        </is>
      </c>
      <c r="S526">
        <f>HYPERLINK("https://klasma.github.io/Logging_1883/artfynd/A 22752-2024 artfynd.xlsx", "A 22752-2024")</f>
        <v/>
      </c>
      <c r="T526">
        <f>HYPERLINK("https://klasma.github.io/Logging_1883/kartor/A 22752-2024 karta.png", "A 22752-2024")</f>
        <v/>
      </c>
      <c r="V526">
        <f>HYPERLINK("https://klasma.github.io/Logging_1883/klagomål/A 22752-2024 FSC-klagomål.docx", "A 22752-2024")</f>
        <v/>
      </c>
      <c r="W526">
        <f>HYPERLINK("https://klasma.github.io/Logging_1883/klagomålsmail/A 22752-2024 FSC-klagomål mail.docx", "A 22752-2024")</f>
        <v/>
      </c>
      <c r="X526">
        <f>HYPERLINK("https://klasma.github.io/Logging_1883/tillsyn/A 22752-2024 tillsynsbegäran.docx", "A 22752-2024")</f>
        <v/>
      </c>
      <c r="Y526">
        <f>HYPERLINK("https://klasma.github.io/Logging_1883/tillsynsmail/A 22752-2024 tillsynsbegäran mail.docx", "A 22752-2024")</f>
        <v/>
      </c>
      <c r="Z526">
        <f>HYPERLINK("https://klasma.github.io/Logging_1883/fåglar/A 22752-2024 prioriterade fågelarter.docx", "A 22752-2024")</f>
        <v/>
      </c>
    </row>
    <row r="527" ht="15" customHeight="1">
      <c r="A527" t="inlineStr">
        <is>
          <t>A 24188-2024</t>
        </is>
      </c>
      <c r="B527" s="1" t="n">
        <v>45456</v>
      </c>
      <c r="C527" s="1" t="n">
        <v>45797</v>
      </c>
      <c r="D527" t="inlineStr">
        <is>
          <t>ÖREBRO LÄN</t>
        </is>
      </c>
      <c r="E527" t="inlineStr">
        <is>
          <t>KARLSKOGA</t>
        </is>
      </c>
      <c r="F527" t="inlineStr">
        <is>
          <t>Sveaskog</t>
        </is>
      </c>
      <c r="G527" t="n">
        <v>9</v>
      </c>
      <c r="H527" t="n">
        <v>0</v>
      </c>
      <c r="I527" t="n">
        <v>0</v>
      </c>
      <c r="J527" t="n">
        <v>1</v>
      </c>
      <c r="K527" t="n">
        <v>0</v>
      </c>
      <c r="L527" t="n">
        <v>0</v>
      </c>
      <c r="M527" t="n">
        <v>0</v>
      </c>
      <c r="N527" t="n">
        <v>0</v>
      </c>
      <c r="O527" t="n">
        <v>1</v>
      </c>
      <c r="P527" t="n">
        <v>0</v>
      </c>
      <c r="Q527" t="n">
        <v>1</v>
      </c>
      <c r="R527" s="2" t="inlineStr">
        <is>
          <t>Garnlav</t>
        </is>
      </c>
      <c r="S527">
        <f>HYPERLINK("https://klasma.github.io/Logging_1883/artfynd/A 24188-2024 artfynd.xlsx", "A 24188-2024")</f>
        <v/>
      </c>
      <c r="T527">
        <f>HYPERLINK("https://klasma.github.io/Logging_1883/kartor/A 24188-2024 karta.png", "A 24188-2024")</f>
        <v/>
      </c>
      <c r="V527">
        <f>HYPERLINK("https://klasma.github.io/Logging_1883/klagomål/A 24188-2024 FSC-klagomål.docx", "A 24188-2024")</f>
        <v/>
      </c>
      <c r="W527">
        <f>HYPERLINK("https://klasma.github.io/Logging_1883/klagomålsmail/A 24188-2024 FSC-klagomål mail.docx", "A 24188-2024")</f>
        <v/>
      </c>
      <c r="X527">
        <f>HYPERLINK("https://klasma.github.io/Logging_1883/tillsyn/A 24188-2024 tillsynsbegäran.docx", "A 24188-2024")</f>
        <v/>
      </c>
      <c r="Y527">
        <f>HYPERLINK("https://klasma.github.io/Logging_1883/tillsynsmail/A 24188-2024 tillsynsbegäran mail.docx", "A 24188-2024")</f>
        <v/>
      </c>
    </row>
    <row r="528" ht="15" customHeight="1">
      <c r="A528" t="inlineStr">
        <is>
          <t>A 24791-2024</t>
        </is>
      </c>
      <c r="B528" s="1" t="n">
        <v>45460</v>
      </c>
      <c r="C528" s="1" t="n">
        <v>45797</v>
      </c>
      <c r="D528" t="inlineStr">
        <is>
          <t>ÖREBRO LÄN</t>
        </is>
      </c>
      <c r="E528" t="inlineStr">
        <is>
          <t>LJUSNARSBERG</t>
        </is>
      </c>
      <c r="G528" t="n">
        <v>3.9</v>
      </c>
      <c r="H528" t="n">
        <v>1</v>
      </c>
      <c r="I528" t="n">
        <v>0</v>
      </c>
      <c r="J528" t="n">
        <v>1</v>
      </c>
      <c r="K528" t="n">
        <v>0</v>
      </c>
      <c r="L528" t="n">
        <v>0</v>
      </c>
      <c r="M528" t="n">
        <v>0</v>
      </c>
      <c r="N528" t="n">
        <v>0</v>
      </c>
      <c r="O528" t="n">
        <v>1</v>
      </c>
      <c r="P528" t="n">
        <v>0</v>
      </c>
      <c r="Q528" t="n">
        <v>1</v>
      </c>
      <c r="R528" s="2" t="inlineStr">
        <is>
          <t>Spillkråka</t>
        </is>
      </c>
      <c r="S528">
        <f>HYPERLINK("https://klasma.github.io/Logging_1864/artfynd/A 24791-2024 artfynd.xlsx", "A 24791-2024")</f>
        <v/>
      </c>
      <c r="T528">
        <f>HYPERLINK("https://klasma.github.io/Logging_1864/kartor/A 24791-2024 karta.png", "A 24791-2024")</f>
        <v/>
      </c>
      <c r="V528">
        <f>HYPERLINK("https://klasma.github.io/Logging_1864/klagomål/A 24791-2024 FSC-klagomål.docx", "A 24791-2024")</f>
        <v/>
      </c>
      <c r="W528">
        <f>HYPERLINK("https://klasma.github.io/Logging_1864/klagomålsmail/A 24791-2024 FSC-klagomål mail.docx", "A 24791-2024")</f>
        <v/>
      </c>
      <c r="X528">
        <f>HYPERLINK("https://klasma.github.io/Logging_1864/tillsyn/A 24791-2024 tillsynsbegäran.docx", "A 24791-2024")</f>
        <v/>
      </c>
      <c r="Y528">
        <f>HYPERLINK("https://klasma.github.io/Logging_1864/tillsynsmail/A 24791-2024 tillsynsbegäran mail.docx", "A 24791-2024")</f>
        <v/>
      </c>
      <c r="Z528">
        <f>HYPERLINK("https://klasma.github.io/Logging_1864/fåglar/A 24791-2024 prioriterade fågelarter.docx", "A 24791-2024")</f>
        <v/>
      </c>
    </row>
    <row r="529" ht="15" customHeight="1">
      <c r="A529" t="inlineStr">
        <is>
          <t>A 25221-2024</t>
        </is>
      </c>
      <c r="B529" s="1" t="n">
        <v>45462</v>
      </c>
      <c r="C529" s="1" t="n">
        <v>45797</v>
      </c>
      <c r="D529" t="inlineStr">
        <is>
          <t>ÖREBRO LÄN</t>
        </is>
      </c>
      <c r="E529" t="inlineStr">
        <is>
          <t>LINDESBERG</t>
        </is>
      </c>
      <c r="F529" t="inlineStr">
        <is>
          <t>Sveaskog</t>
        </is>
      </c>
      <c r="G529" t="n">
        <v>3.6</v>
      </c>
      <c r="H529" t="n">
        <v>1</v>
      </c>
      <c r="I529" t="n">
        <v>0</v>
      </c>
      <c r="J529" t="n">
        <v>0</v>
      </c>
      <c r="K529" t="n">
        <v>0</v>
      </c>
      <c r="L529" t="n">
        <v>0</v>
      </c>
      <c r="M529" t="n">
        <v>0</v>
      </c>
      <c r="N529" t="n">
        <v>0</v>
      </c>
      <c r="O529" t="n">
        <v>0</v>
      </c>
      <c r="P529" t="n">
        <v>0</v>
      </c>
      <c r="Q529" t="n">
        <v>1</v>
      </c>
      <c r="R529" s="2" t="inlineStr">
        <is>
          <t>Kungsfågel</t>
        </is>
      </c>
      <c r="S529">
        <f>HYPERLINK("https://klasma.github.io/Logging_1885/artfynd/A 25221-2024 artfynd.xlsx", "A 25221-2024")</f>
        <v/>
      </c>
      <c r="T529">
        <f>HYPERLINK("https://klasma.github.io/Logging_1885/kartor/A 25221-2024 karta.png", "A 25221-2024")</f>
        <v/>
      </c>
      <c r="V529">
        <f>HYPERLINK("https://klasma.github.io/Logging_1885/klagomål/A 25221-2024 FSC-klagomål.docx", "A 25221-2024")</f>
        <v/>
      </c>
      <c r="W529">
        <f>HYPERLINK("https://klasma.github.io/Logging_1885/klagomålsmail/A 25221-2024 FSC-klagomål mail.docx", "A 25221-2024")</f>
        <v/>
      </c>
      <c r="X529">
        <f>HYPERLINK("https://klasma.github.io/Logging_1885/tillsyn/A 25221-2024 tillsynsbegäran.docx", "A 25221-2024")</f>
        <v/>
      </c>
      <c r="Y529">
        <f>HYPERLINK("https://klasma.github.io/Logging_1885/tillsynsmail/A 25221-2024 tillsynsbegäran mail.docx", "A 25221-2024")</f>
        <v/>
      </c>
      <c r="Z529">
        <f>HYPERLINK("https://klasma.github.io/Logging_1885/fåglar/A 25221-2024 prioriterade fågelarter.docx", "A 25221-2024")</f>
        <v/>
      </c>
    </row>
    <row r="530" ht="15" customHeight="1">
      <c r="A530" t="inlineStr">
        <is>
          <t>A 25872-2024</t>
        </is>
      </c>
      <c r="B530" s="1" t="n">
        <v>45467</v>
      </c>
      <c r="C530" s="1" t="n">
        <v>45797</v>
      </c>
      <c r="D530" t="inlineStr">
        <is>
          <t>ÖREBRO LÄN</t>
        </is>
      </c>
      <c r="E530" t="inlineStr">
        <is>
          <t>LAXÅ</t>
        </is>
      </c>
      <c r="F530" t="inlineStr">
        <is>
          <t>Sveaskog</t>
        </is>
      </c>
      <c r="G530" t="n">
        <v>5.6</v>
      </c>
      <c r="H530" t="n">
        <v>1</v>
      </c>
      <c r="I530" t="n">
        <v>0</v>
      </c>
      <c r="J530" t="n">
        <v>1</v>
      </c>
      <c r="K530" t="n">
        <v>0</v>
      </c>
      <c r="L530" t="n">
        <v>0</v>
      </c>
      <c r="M530" t="n">
        <v>0</v>
      </c>
      <c r="N530" t="n">
        <v>0</v>
      </c>
      <c r="O530" t="n">
        <v>1</v>
      </c>
      <c r="P530" t="n">
        <v>0</v>
      </c>
      <c r="Q530" t="n">
        <v>1</v>
      </c>
      <c r="R530" s="2" t="inlineStr">
        <is>
          <t>Spillkråka</t>
        </is>
      </c>
      <c r="S530">
        <f>HYPERLINK("https://klasma.github.io/Logging_1860/artfynd/A 25872-2024 artfynd.xlsx", "A 25872-2024")</f>
        <v/>
      </c>
      <c r="T530">
        <f>HYPERLINK("https://klasma.github.io/Logging_1860/kartor/A 25872-2024 karta.png", "A 25872-2024")</f>
        <v/>
      </c>
      <c r="V530">
        <f>HYPERLINK("https://klasma.github.io/Logging_1860/klagomål/A 25872-2024 FSC-klagomål.docx", "A 25872-2024")</f>
        <v/>
      </c>
      <c r="W530">
        <f>HYPERLINK("https://klasma.github.io/Logging_1860/klagomålsmail/A 25872-2024 FSC-klagomål mail.docx", "A 25872-2024")</f>
        <v/>
      </c>
      <c r="X530">
        <f>HYPERLINK("https://klasma.github.io/Logging_1860/tillsyn/A 25872-2024 tillsynsbegäran.docx", "A 25872-2024")</f>
        <v/>
      </c>
      <c r="Y530">
        <f>HYPERLINK("https://klasma.github.io/Logging_1860/tillsynsmail/A 25872-2024 tillsynsbegäran mail.docx", "A 25872-2024")</f>
        <v/>
      </c>
      <c r="Z530">
        <f>HYPERLINK("https://klasma.github.io/Logging_1860/fåglar/A 25872-2024 prioriterade fågelarter.docx", "A 25872-2024")</f>
        <v/>
      </c>
    </row>
    <row r="531" ht="15" customHeight="1">
      <c r="A531" t="inlineStr">
        <is>
          <t>A 26784-2024</t>
        </is>
      </c>
      <c r="B531" s="1" t="n">
        <v>45470</v>
      </c>
      <c r="C531" s="1" t="n">
        <v>45797</v>
      </c>
      <c r="D531" t="inlineStr">
        <is>
          <t>ÖREBRO LÄN</t>
        </is>
      </c>
      <c r="E531" t="inlineStr">
        <is>
          <t>LAXÅ</t>
        </is>
      </c>
      <c r="F531" t="inlineStr">
        <is>
          <t>Kyrkan</t>
        </is>
      </c>
      <c r="G531" t="n">
        <v>6.5</v>
      </c>
      <c r="H531" t="n">
        <v>0</v>
      </c>
      <c r="I531" t="n">
        <v>0</v>
      </c>
      <c r="J531" t="n">
        <v>0</v>
      </c>
      <c r="K531" t="n">
        <v>1</v>
      </c>
      <c r="L531" t="n">
        <v>0</v>
      </c>
      <c r="M531" t="n">
        <v>0</v>
      </c>
      <c r="N531" t="n">
        <v>0</v>
      </c>
      <c r="O531" t="n">
        <v>1</v>
      </c>
      <c r="P531" t="n">
        <v>1</v>
      </c>
      <c r="Q531" t="n">
        <v>1</v>
      </c>
      <c r="R531" s="2" t="inlineStr">
        <is>
          <t>Violgubbe</t>
        </is>
      </c>
      <c r="S531">
        <f>HYPERLINK("https://klasma.github.io/Logging_1860/artfynd/A 26784-2024 artfynd.xlsx", "A 26784-2024")</f>
        <v/>
      </c>
      <c r="T531">
        <f>HYPERLINK("https://klasma.github.io/Logging_1860/kartor/A 26784-2024 karta.png", "A 26784-2024")</f>
        <v/>
      </c>
      <c r="V531">
        <f>HYPERLINK("https://klasma.github.io/Logging_1860/klagomål/A 26784-2024 FSC-klagomål.docx", "A 26784-2024")</f>
        <v/>
      </c>
      <c r="W531">
        <f>HYPERLINK("https://klasma.github.io/Logging_1860/klagomålsmail/A 26784-2024 FSC-klagomål mail.docx", "A 26784-2024")</f>
        <v/>
      </c>
      <c r="X531">
        <f>HYPERLINK("https://klasma.github.io/Logging_1860/tillsyn/A 26784-2024 tillsynsbegäran.docx", "A 26784-2024")</f>
        <v/>
      </c>
      <c r="Y531">
        <f>HYPERLINK("https://klasma.github.io/Logging_1860/tillsynsmail/A 26784-2024 tillsynsbegäran mail.docx", "A 26784-2024")</f>
        <v/>
      </c>
    </row>
    <row r="532" ht="15" customHeight="1">
      <c r="A532" t="inlineStr">
        <is>
          <t>A 27163-2024</t>
        </is>
      </c>
      <c r="B532" s="1" t="n">
        <v>45471</v>
      </c>
      <c r="C532" s="1" t="n">
        <v>45797</v>
      </c>
      <c r="D532" t="inlineStr">
        <is>
          <t>ÖREBRO LÄN</t>
        </is>
      </c>
      <c r="E532" t="inlineStr">
        <is>
          <t>LINDESBERG</t>
        </is>
      </c>
      <c r="F532" t="inlineStr">
        <is>
          <t>Sveaskog</t>
        </is>
      </c>
      <c r="G532" t="n">
        <v>4.9</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27163-2024 artfynd.xlsx", "A 27163-2024")</f>
        <v/>
      </c>
      <c r="T532">
        <f>HYPERLINK("https://klasma.github.io/Logging_1885/kartor/A 27163-2024 karta.png", "A 27163-2024")</f>
        <v/>
      </c>
      <c r="V532">
        <f>HYPERLINK("https://klasma.github.io/Logging_1885/klagomål/A 27163-2024 FSC-klagomål.docx", "A 27163-2024")</f>
        <v/>
      </c>
      <c r="W532">
        <f>HYPERLINK("https://klasma.github.io/Logging_1885/klagomålsmail/A 27163-2024 FSC-klagomål mail.docx", "A 27163-2024")</f>
        <v/>
      </c>
      <c r="X532">
        <f>HYPERLINK("https://klasma.github.io/Logging_1885/tillsyn/A 27163-2024 tillsynsbegäran.docx", "A 27163-2024")</f>
        <v/>
      </c>
      <c r="Y532">
        <f>HYPERLINK("https://klasma.github.io/Logging_1885/tillsynsmail/A 27163-2024 tillsynsbegäran mail.docx", "A 27163-2024")</f>
        <v/>
      </c>
    </row>
    <row r="533" ht="15" customHeight="1">
      <c r="A533" t="inlineStr">
        <is>
          <t>A 27167-2024</t>
        </is>
      </c>
      <c r="B533" s="1" t="n">
        <v>45471</v>
      </c>
      <c r="C533" s="1" t="n">
        <v>45797</v>
      </c>
      <c r="D533" t="inlineStr">
        <is>
          <t>ÖREBRO LÄN</t>
        </is>
      </c>
      <c r="E533" t="inlineStr">
        <is>
          <t>LINDESBERG</t>
        </is>
      </c>
      <c r="F533" t="inlineStr">
        <is>
          <t>Sveaskog</t>
        </is>
      </c>
      <c r="G533" t="n">
        <v>12.8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27167-2024 artfynd.xlsx", "A 27167-2024")</f>
        <v/>
      </c>
      <c r="T533">
        <f>HYPERLINK("https://klasma.github.io/Logging_1885/kartor/A 27167-2024 karta.png", "A 27167-2024")</f>
        <v/>
      </c>
      <c r="V533">
        <f>HYPERLINK("https://klasma.github.io/Logging_1885/klagomål/A 27167-2024 FSC-klagomål.docx", "A 27167-2024")</f>
        <v/>
      </c>
      <c r="W533">
        <f>HYPERLINK("https://klasma.github.io/Logging_1885/klagomålsmail/A 27167-2024 FSC-klagomål mail.docx", "A 27167-2024")</f>
        <v/>
      </c>
      <c r="X533">
        <f>HYPERLINK("https://klasma.github.io/Logging_1885/tillsyn/A 27167-2024 tillsynsbegäran.docx", "A 27167-2024")</f>
        <v/>
      </c>
      <c r="Y533">
        <f>HYPERLINK("https://klasma.github.io/Logging_1885/tillsynsmail/A 27167-2024 tillsynsbegäran mail.docx", "A 27167-2024")</f>
        <v/>
      </c>
    </row>
    <row r="534" ht="15" customHeight="1">
      <c r="A534" t="inlineStr">
        <is>
          <t>A 27160-2024</t>
        </is>
      </c>
      <c r="B534" s="1" t="n">
        <v>45471</v>
      </c>
      <c r="C534" s="1" t="n">
        <v>45797</v>
      </c>
      <c r="D534" t="inlineStr">
        <is>
          <t>ÖREBRO LÄN</t>
        </is>
      </c>
      <c r="E534" t="inlineStr">
        <is>
          <t>LINDESBERG</t>
        </is>
      </c>
      <c r="F534" t="inlineStr">
        <is>
          <t>Sveaskog</t>
        </is>
      </c>
      <c r="G534" t="n">
        <v>3.8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27160-2024 artfynd.xlsx", "A 27160-2024")</f>
        <v/>
      </c>
      <c r="T534">
        <f>HYPERLINK("https://klasma.github.io/Logging_1885/kartor/A 27160-2024 karta.png", "A 27160-2024")</f>
        <v/>
      </c>
      <c r="V534">
        <f>HYPERLINK("https://klasma.github.io/Logging_1885/klagomål/A 27160-2024 FSC-klagomål.docx", "A 27160-2024")</f>
        <v/>
      </c>
      <c r="W534">
        <f>HYPERLINK("https://klasma.github.io/Logging_1885/klagomålsmail/A 27160-2024 FSC-klagomål mail.docx", "A 27160-2024")</f>
        <v/>
      </c>
      <c r="X534">
        <f>HYPERLINK("https://klasma.github.io/Logging_1885/tillsyn/A 27160-2024 tillsynsbegäran.docx", "A 27160-2024")</f>
        <v/>
      </c>
      <c r="Y534">
        <f>HYPERLINK("https://klasma.github.io/Logging_1885/tillsynsmail/A 27160-2024 tillsynsbegäran mail.docx", "A 27160-2024")</f>
        <v/>
      </c>
    </row>
    <row r="535" ht="15" customHeight="1">
      <c r="A535" t="inlineStr">
        <is>
          <t>A 27157-2024</t>
        </is>
      </c>
      <c r="B535" s="1" t="n">
        <v>45471</v>
      </c>
      <c r="C535" s="1" t="n">
        <v>45797</v>
      </c>
      <c r="D535" t="inlineStr">
        <is>
          <t>ÖREBRO LÄN</t>
        </is>
      </c>
      <c r="E535" t="inlineStr">
        <is>
          <t>LINDESBERG</t>
        </is>
      </c>
      <c r="F535" t="inlineStr">
        <is>
          <t>Sveaskog</t>
        </is>
      </c>
      <c r="G535" t="n">
        <v>8.199999999999999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27157-2024 artfynd.xlsx", "A 27157-2024")</f>
        <v/>
      </c>
      <c r="T535">
        <f>HYPERLINK("https://klasma.github.io/Logging_1885/kartor/A 27157-2024 karta.png", "A 27157-2024")</f>
        <v/>
      </c>
      <c r="V535">
        <f>HYPERLINK("https://klasma.github.io/Logging_1885/klagomål/A 27157-2024 FSC-klagomål.docx", "A 27157-2024")</f>
        <v/>
      </c>
      <c r="W535">
        <f>HYPERLINK("https://klasma.github.io/Logging_1885/klagomålsmail/A 27157-2024 FSC-klagomål mail.docx", "A 27157-2024")</f>
        <v/>
      </c>
      <c r="X535">
        <f>HYPERLINK("https://klasma.github.io/Logging_1885/tillsyn/A 27157-2024 tillsynsbegäran.docx", "A 27157-2024")</f>
        <v/>
      </c>
      <c r="Y535">
        <f>HYPERLINK("https://klasma.github.io/Logging_1885/tillsynsmail/A 27157-2024 tillsynsbegäran mail.docx", "A 27157-2024")</f>
        <v/>
      </c>
    </row>
    <row r="536" ht="15" customHeight="1">
      <c r="A536" t="inlineStr">
        <is>
          <t>A 27161-2024</t>
        </is>
      </c>
      <c r="B536" s="1" t="n">
        <v>45471</v>
      </c>
      <c r="C536" s="1" t="n">
        <v>45797</v>
      </c>
      <c r="D536" t="inlineStr">
        <is>
          <t>ÖREBRO LÄN</t>
        </is>
      </c>
      <c r="E536" t="inlineStr">
        <is>
          <t>LINDESBERG</t>
        </is>
      </c>
      <c r="F536" t="inlineStr">
        <is>
          <t>Sveaskog</t>
        </is>
      </c>
      <c r="G536" t="n">
        <v>2.6</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27161-2024 artfynd.xlsx", "A 27161-2024")</f>
        <v/>
      </c>
      <c r="T536">
        <f>HYPERLINK("https://klasma.github.io/Logging_1885/kartor/A 27161-2024 karta.png", "A 27161-2024")</f>
        <v/>
      </c>
      <c r="V536">
        <f>HYPERLINK("https://klasma.github.io/Logging_1885/klagomål/A 27161-2024 FSC-klagomål.docx", "A 27161-2024")</f>
        <v/>
      </c>
      <c r="W536">
        <f>HYPERLINK("https://klasma.github.io/Logging_1885/klagomålsmail/A 27161-2024 FSC-klagomål mail.docx", "A 27161-2024")</f>
        <v/>
      </c>
      <c r="X536">
        <f>HYPERLINK("https://klasma.github.io/Logging_1885/tillsyn/A 27161-2024 tillsynsbegäran.docx", "A 27161-2024")</f>
        <v/>
      </c>
      <c r="Y536">
        <f>HYPERLINK("https://klasma.github.io/Logging_1885/tillsynsmail/A 27161-2024 tillsynsbegäran mail.docx", "A 27161-2024")</f>
        <v/>
      </c>
    </row>
    <row r="537" ht="15" customHeight="1">
      <c r="A537" t="inlineStr">
        <is>
          <t>A 27900-2024</t>
        </is>
      </c>
      <c r="B537" s="1" t="n">
        <v>45476</v>
      </c>
      <c r="C537" s="1" t="n">
        <v>45797</v>
      </c>
      <c r="D537" t="inlineStr">
        <is>
          <t>ÖREBRO LÄN</t>
        </is>
      </c>
      <c r="E537" t="inlineStr">
        <is>
          <t>LINDESBERG</t>
        </is>
      </c>
      <c r="F537" t="inlineStr">
        <is>
          <t>Sveaskog</t>
        </is>
      </c>
      <c r="G537" t="n">
        <v>4.1</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27900-2024 artfynd.xlsx", "A 27900-2024")</f>
        <v/>
      </c>
      <c r="T537">
        <f>HYPERLINK("https://klasma.github.io/Logging_1885/kartor/A 27900-2024 karta.png", "A 27900-2024")</f>
        <v/>
      </c>
      <c r="V537">
        <f>HYPERLINK("https://klasma.github.io/Logging_1885/klagomål/A 27900-2024 FSC-klagomål.docx", "A 27900-2024")</f>
        <v/>
      </c>
      <c r="W537">
        <f>HYPERLINK("https://klasma.github.io/Logging_1885/klagomålsmail/A 27900-2024 FSC-klagomål mail.docx", "A 27900-2024")</f>
        <v/>
      </c>
      <c r="X537">
        <f>HYPERLINK("https://klasma.github.io/Logging_1885/tillsyn/A 27900-2024 tillsynsbegäran.docx", "A 27900-2024")</f>
        <v/>
      </c>
      <c r="Y537">
        <f>HYPERLINK("https://klasma.github.io/Logging_1885/tillsynsmail/A 27900-2024 tillsynsbegäran mail.docx", "A 27900-2024")</f>
        <v/>
      </c>
    </row>
    <row r="538" ht="15" customHeight="1">
      <c r="A538" t="inlineStr">
        <is>
          <t>A 28474-2024</t>
        </is>
      </c>
      <c r="B538" s="1" t="n">
        <v>45477</v>
      </c>
      <c r="C538" s="1" t="n">
        <v>45797</v>
      </c>
      <c r="D538" t="inlineStr">
        <is>
          <t>ÖREBRO LÄN</t>
        </is>
      </c>
      <c r="E538" t="inlineStr">
        <is>
          <t>LINDESBERG</t>
        </is>
      </c>
      <c r="F538" t="inlineStr">
        <is>
          <t>Sveaskog</t>
        </is>
      </c>
      <c r="G538" t="n">
        <v>5.3</v>
      </c>
      <c r="H538" t="n">
        <v>1</v>
      </c>
      <c r="I538" t="n">
        <v>0</v>
      </c>
      <c r="J538" t="n">
        <v>0</v>
      </c>
      <c r="K538" t="n">
        <v>0</v>
      </c>
      <c r="L538" t="n">
        <v>0</v>
      </c>
      <c r="M538" t="n">
        <v>0</v>
      </c>
      <c r="N538" t="n">
        <v>0</v>
      </c>
      <c r="O538" t="n">
        <v>0</v>
      </c>
      <c r="P538" t="n">
        <v>0</v>
      </c>
      <c r="Q538" t="n">
        <v>1</v>
      </c>
      <c r="R538" s="2" t="inlineStr">
        <is>
          <t>Fläcknycklar</t>
        </is>
      </c>
      <c r="S538">
        <f>HYPERLINK("https://klasma.github.io/Logging_1885/artfynd/A 28474-2024 artfynd.xlsx", "A 28474-2024")</f>
        <v/>
      </c>
      <c r="T538">
        <f>HYPERLINK("https://klasma.github.io/Logging_1885/kartor/A 28474-2024 karta.png", "A 28474-2024")</f>
        <v/>
      </c>
      <c r="V538">
        <f>HYPERLINK("https://klasma.github.io/Logging_1885/klagomål/A 28474-2024 FSC-klagomål.docx", "A 28474-2024")</f>
        <v/>
      </c>
      <c r="W538">
        <f>HYPERLINK("https://klasma.github.io/Logging_1885/klagomålsmail/A 28474-2024 FSC-klagomål mail.docx", "A 28474-2024")</f>
        <v/>
      </c>
      <c r="X538">
        <f>HYPERLINK("https://klasma.github.io/Logging_1885/tillsyn/A 28474-2024 tillsynsbegäran.docx", "A 28474-2024")</f>
        <v/>
      </c>
      <c r="Y538">
        <f>HYPERLINK("https://klasma.github.io/Logging_1885/tillsynsmail/A 28474-2024 tillsynsbegäran mail.docx", "A 28474-2024")</f>
        <v/>
      </c>
    </row>
    <row r="539" ht="15" customHeight="1">
      <c r="A539" t="inlineStr">
        <is>
          <t>A 28598-2024</t>
        </is>
      </c>
      <c r="B539" s="1" t="n">
        <v>45478</v>
      </c>
      <c r="C539" s="1" t="n">
        <v>45797</v>
      </c>
      <c r="D539" t="inlineStr">
        <is>
          <t>ÖREBRO LÄN</t>
        </is>
      </c>
      <c r="E539" t="inlineStr">
        <is>
          <t>HÄLLEFORS</t>
        </is>
      </c>
      <c r="F539" t="inlineStr">
        <is>
          <t>Bergvik skog väst AB</t>
        </is>
      </c>
      <c r="G539" t="n">
        <v>11.3</v>
      </c>
      <c r="H539" t="n">
        <v>0</v>
      </c>
      <c r="I539" t="n">
        <v>0</v>
      </c>
      <c r="J539" t="n">
        <v>1</v>
      </c>
      <c r="K539" t="n">
        <v>0</v>
      </c>
      <c r="L539" t="n">
        <v>0</v>
      </c>
      <c r="M539" t="n">
        <v>0</v>
      </c>
      <c r="N539" t="n">
        <v>0</v>
      </c>
      <c r="O539" t="n">
        <v>1</v>
      </c>
      <c r="P539" t="n">
        <v>0</v>
      </c>
      <c r="Q539" t="n">
        <v>1</v>
      </c>
      <c r="R539" s="2" t="inlineStr">
        <is>
          <t>Brunklöver</t>
        </is>
      </c>
      <c r="S539">
        <f>HYPERLINK("https://klasma.github.io/Logging_1863/artfynd/A 28598-2024 artfynd.xlsx", "A 28598-2024")</f>
        <v/>
      </c>
      <c r="T539">
        <f>HYPERLINK("https://klasma.github.io/Logging_1863/kartor/A 28598-2024 karta.png", "A 28598-2024")</f>
        <v/>
      </c>
      <c r="V539">
        <f>HYPERLINK("https://klasma.github.io/Logging_1863/klagomål/A 28598-2024 FSC-klagomål.docx", "A 28598-2024")</f>
        <v/>
      </c>
      <c r="W539">
        <f>HYPERLINK("https://klasma.github.io/Logging_1863/klagomålsmail/A 28598-2024 FSC-klagomål mail.docx", "A 28598-2024")</f>
        <v/>
      </c>
      <c r="X539">
        <f>HYPERLINK("https://klasma.github.io/Logging_1863/tillsyn/A 28598-2024 tillsynsbegäran.docx", "A 28598-2024")</f>
        <v/>
      </c>
      <c r="Y539">
        <f>HYPERLINK("https://klasma.github.io/Logging_1863/tillsynsmail/A 28598-2024 tillsynsbegäran mail.docx", "A 28598-2024")</f>
        <v/>
      </c>
    </row>
    <row r="540" ht="15" customHeight="1">
      <c r="A540" t="inlineStr">
        <is>
          <t>A 28821-2024</t>
        </is>
      </c>
      <c r="B540" s="1" t="n">
        <v>45478</v>
      </c>
      <c r="C540" s="1" t="n">
        <v>45797</v>
      </c>
      <c r="D540" t="inlineStr">
        <is>
          <t>ÖREBRO LÄN</t>
        </is>
      </c>
      <c r="E540" t="inlineStr">
        <is>
          <t>LEKEBERG</t>
        </is>
      </c>
      <c r="F540" t="inlineStr">
        <is>
          <t>Sveaskog</t>
        </is>
      </c>
      <c r="G540" t="n">
        <v>4.7</v>
      </c>
      <c r="H540" t="n">
        <v>0</v>
      </c>
      <c r="I540" t="n">
        <v>1</v>
      </c>
      <c r="J540" t="n">
        <v>0</v>
      </c>
      <c r="K540" t="n">
        <v>0</v>
      </c>
      <c r="L540" t="n">
        <v>0</v>
      </c>
      <c r="M540" t="n">
        <v>0</v>
      </c>
      <c r="N540" t="n">
        <v>0</v>
      </c>
      <c r="O540" t="n">
        <v>0</v>
      </c>
      <c r="P540" t="n">
        <v>0</v>
      </c>
      <c r="Q540" t="n">
        <v>1</v>
      </c>
      <c r="R540" s="2" t="inlineStr">
        <is>
          <t>Blåmossa</t>
        </is>
      </c>
      <c r="S540">
        <f>HYPERLINK("https://klasma.github.io/Logging_1814/artfynd/A 28821-2024 artfynd.xlsx", "A 28821-2024")</f>
        <v/>
      </c>
      <c r="T540">
        <f>HYPERLINK("https://klasma.github.io/Logging_1814/kartor/A 28821-2024 karta.png", "A 28821-2024")</f>
        <v/>
      </c>
      <c r="V540">
        <f>HYPERLINK("https://klasma.github.io/Logging_1814/klagomål/A 28821-2024 FSC-klagomål.docx", "A 28821-2024")</f>
        <v/>
      </c>
      <c r="W540">
        <f>HYPERLINK("https://klasma.github.io/Logging_1814/klagomålsmail/A 28821-2024 FSC-klagomål mail.docx", "A 28821-2024")</f>
        <v/>
      </c>
      <c r="X540">
        <f>HYPERLINK("https://klasma.github.io/Logging_1814/tillsyn/A 28821-2024 tillsynsbegäran.docx", "A 28821-2024")</f>
        <v/>
      </c>
      <c r="Y540">
        <f>HYPERLINK("https://klasma.github.io/Logging_1814/tillsynsmail/A 28821-2024 tillsynsbegäran mail.docx", "A 28821-2024")</f>
        <v/>
      </c>
    </row>
    <row r="541" ht="15" customHeight="1">
      <c r="A541" t="inlineStr">
        <is>
          <t>A 28569-2024</t>
        </is>
      </c>
      <c r="B541" s="1" t="n">
        <v>45478</v>
      </c>
      <c r="C541" s="1" t="n">
        <v>45797</v>
      </c>
      <c r="D541" t="inlineStr">
        <is>
          <t>ÖREBRO LÄN</t>
        </is>
      </c>
      <c r="E541" t="inlineStr">
        <is>
          <t>LINDESBERG</t>
        </is>
      </c>
      <c r="F541" t="inlineStr">
        <is>
          <t>Sveaskog</t>
        </is>
      </c>
      <c r="G541" t="n">
        <v>2.6</v>
      </c>
      <c r="H541" t="n">
        <v>0</v>
      </c>
      <c r="I541" t="n">
        <v>0</v>
      </c>
      <c r="J541" t="n">
        <v>1</v>
      </c>
      <c r="K541" t="n">
        <v>0</v>
      </c>
      <c r="L541" t="n">
        <v>0</v>
      </c>
      <c r="M541" t="n">
        <v>0</v>
      </c>
      <c r="N541" t="n">
        <v>0</v>
      </c>
      <c r="O541" t="n">
        <v>1</v>
      </c>
      <c r="P541" t="n">
        <v>0</v>
      </c>
      <c r="Q541" t="n">
        <v>1</v>
      </c>
      <c r="R541" s="2" t="inlineStr">
        <is>
          <t>Granticka</t>
        </is>
      </c>
      <c r="S541">
        <f>HYPERLINK("https://klasma.github.io/Logging_1885/artfynd/A 28569-2024 artfynd.xlsx", "A 28569-2024")</f>
        <v/>
      </c>
      <c r="T541">
        <f>HYPERLINK("https://klasma.github.io/Logging_1885/kartor/A 28569-2024 karta.png", "A 28569-2024")</f>
        <v/>
      </c>
      <c r="V541">
        <f>HYPERLINK("https://klasma.github.io/Logging_1885/klagomål/A 28569-2024 FSC-klagomål.docx", "A 28569-2024")</f>
        <v/>
      </c>
      <c r="W541">
        <f>HYPERLINK("https://klasma.github.io/Logging_1885/klagomålsmail/A 28569-2024 FSC-klagomål mail.docx", "A 28569-2024")</f>
        <v/>
      </c>
      <c r="X541">
        <f>HYPERLINK("https://klasma.github.io/Logging_1885/tillsyn/A 28569-2024 tillsynsbegäran.docx", "A 28569-2024")</f>
        <v/>
      </c>
      <c r="Y541">
        <f>HYPERLINK("https://klasma.github.io/Logging_1885/tillsynsmail/A 28569-2024 tillsynsbegäran mail.docx", "A 28569-2024")</f>
        <v/>
      </c>
    </row>
    <row r="542" ht="15" customHeight="1">
      <c r="A542" t="inlineStr">
        <is>
          <t>A 29119-2024</t>
        </is>
      </c>
      <c r="B542" s="1" t="n">
        <v>45482</v>
      </c>
      <c r="C542" s="1" t="n">
        <v>45797</v>
      </c>
      <c r="D542" t="inlineStr">
        <is>
          <t>ÖREBRO LÄN</t>
        </is>
      </c>
      <c r="E542" t="inlineStr">
        <is>
          <t>ASKERSUND</t>
        </is>
      </c>
      <c r="F542" t="inlineStr">
        <is>
          <t>Sveaskog</t>
        </is>
      </c>
      <c r="G542" t="n">
        <v>1</v>
      </c>
      <c r="H542" t="n">
        <v>1</v>
      </c>
      <c r="I542" t="n">
        <v>0</v>
      </c>
      <c r="J542" t="n">
        <v>0</v>
      </c>
      <c r="K542" t="n">
        <v>0</v>
      </c>
      <c r="L542" t="n">
        <v>0</v>
      </c>
      <c r="M542" t="n">
        <v>0</v>
      </c>
      <c r="N542" t="n">
        <v>0</v>
      </c>
      <c r="O542" t="n">
        <v>0</v>
      </c>
      <c r="P542" t="n">
        <v>0</v>
      </c>
      <c r="Q542" t="n">
        <v>1</v>
      </c>
      <c r="R542" s="2" t="inlineStr">
        <is>
          <t>Fläcknycklar</t>
        </is>
      </c>
      <c r="S542">
        <f>HYPERLINK("https://klasma.github.io/Logging_1882/artfynd/A 29119-2024 artfynd.xlsx", "A 29119-2024")</f>
        <v/>
      </c>
      <c r="T542">
        <f>HYPERLINK("https://klasma.github.io/Logging_1882/kartor/A 29119-2024 karta.png", "A 29119-2024")</f>
        <v/>
      </c>
      <c r="V542">
        <f>HYPERLINK("https://klasma.github.io/Logging_1882/klagomål/A 29119-2024 FSC-klagomål.docx", "A 29119-2024")</f>
        <v/>
      </c>
      <c r="W542">
        <f>HYPERLINK("https://klasma.github.io/Logging_1882/klagomålsmail/A 29119-2024 FSC-klagomål mail.docx", "A 29119-2024")</f>
        <v/>
      </c>
      <c r="X542">
        <f>HYPERLINK("https://klasma.github.io/Logging_1882/tillsyn/A 29119-2024 tillsynsbegäran.docx", "A 29119-2024")</f>
        <v/>
      </c>
      <c r="Y542">
        <f>HYPERLINK("https://klasma.github.io/Logging_1882/tillsynsmail/A 29119-2024 tillsynsbegäran mail.docx", "A 29119-2024")</f>
        <v/>
      </c>
    </row>
    <row r="543" ht="15" customHeight="1">
      <c r="A543" t="inlineStr">
        <is>
          <t>A 29721-2024</t>
        </is>
      </c>
      <c r="B543" s="1" t="n">
        <v>45485</v>
      </c>
      <c r="C543" s="1" t="n">
        <v>45797</v>
      </c>
      <c r="D543" t="inlineStr">
        <is>
          <t>ÖREBRO LÄN</t>
        </is>
      </c>
      <c r="E543" t="inlineStr">
        <is>
          <t>ASKERSUND</t>
        </is>
      </c>
      <c r="F543" t="inlineStr">
        <is>
          <t>Sveaskog</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HYPERLINK("https://klasma.github.io/Logging_1882/artfynd/A 29721-2024 artfynd.xlsx", "A 29721-2024")</f>
        <v/>
      </c>
      <c r="T543">
        <f>HYPERLINK("https://klasma.github.io/Logging_1882/kartor/A 29721-2024 karta.png", "A 29721-2024")</f>
        <v/>
      </c>
      <c r="U543">
        <f>HYPERLINK("https://klasma.github.io/Logging_1882/knärot/A 29721-2024 karta knärot.png", "A 29721-2024")</f>
        <v/>
      </c>
      <c r="V543">
        <f>HYPERLINK("https://klasma.github.io/Logging_1882/klagomål/A 29721-2024 FSC-klagomål.docx", "A 29721-2024")</f>
        <v/>
      </c>
      <c r="W543">
        <f>HYPERLINK("https://klasma.github.io/Logging_1882/klagomålsmail/A 29721-2024 FSC-klagomål mail.docx", "A 29721-2024")</f>
        <v/>
      </c>
      <c r="X543">
        <f>HYPERLINK("https://klasma.github.io/Logging_1882/tillsyn/A 29721-2024 tillsynsbegäran.docx", "A 29721-2024")</f>
        <v/>
      </c>
      <c r="Y543">
        <f>HYPERLINK("https://klasma.github.io/Logging_1882/tillsynsmail/A 29721-2024 tillsynsbegäran mail.docx", "A 29721-2024")</f>
        <v/>
      </c>
    </row>
    <row r="544" ht="15" customHeight="1">
      <c r="A544" t="inlineStr">
        <is>
          <t>A 31695-2024</t>
        </is>
      </c>
      <c r="B544" s="1" t="n">
        <v>45508</v>
      </c>
      <c r="C544" s="1" t="n">
        <v>45797</v>
      </c>
      <c r="D544" t="inlineStr">
        <is>
          <t>ÖREBRO LÄN</t>
        </is>
      </c>
      <c r="E544" t="inlineStr">
        <is>
          <t>ÖREBRO</t>
        </is>
      </c>
      <c r="G544" t="n">
        <v>1.3</v>
      </c>
      <c r="H544" t="n">
        <v>1</v>
      </c>
      <c r="I544" t="n">
        <v>1</v>
      </c>
      <c r="J544" t="n">
        <v>0</v>
      </c>
      <c r="K544" t="n">
        <v>0</v>
      </c>
      <c r="L544" t="n">
        <v>0</v>
      </c>
      <c r="M544" t="n">
        <v>0</v>
      </c>
      <c r="N544" t="n">
        <v>0</v>
      </c>
      <c r="O544" t="n">
        <v>0</v>
      </c>
      <c r="P544" t="n">
        <v>0</v>
      </c>
      <c r="Q544" t="n">
        <v>1</v>
      </c>
      <c r="R544" s="2" t="inlineStr">
        <is>
          <t>Skogsknipprot</t>
        </is>
      </c>
      <c r="S544">
        <f>HYPERLINK("https://klasma.github.io/Logging_1880/artfynd/A 31695-2024 artfynd.xlsx", "A 31695-2024")</f>
        <v/>
      </c>
      <c r="T544">
        <f>HYPERLINK("https://klasma.github.io/Logging_1880/kartor/A 31695-2024 karta.png", "A 31695-2024")</f>
        <v/>
      </c>
      <c r="V544">
        <f>HYPERLINK("https://klasma.github.io/Logging_1880/klagomål/A 31695-2024 FSC-klagomål.docx", "A 31695-2024")</f>
        <v/>
      </c>
      <c r="W544">
        <f>HYPERLINK("https://klasma.github.io/Logging_1880/klagomålsmail/A 31695-2024 FSC-klagomål mail.docx", "A 31695-2024")</f>
        <v/>
      </c>
      <c r="X544">
        <f>HYPERLINK("https://klasma.github.io/Logging_1880/tillsyn/A 31695-2024 tillsynsbegäran.docx", "A 31695-2024")</f>
        <v/>
      </c>
      <c r="Y544">
        <f>HYPERLINK("https://klasma.github.io/Logging_1880/tillsynsmail/A 31695-2024 tillsynsbegäran mail.docx", "A 31695-2024")</f>
        <v/>
      </c>
    </row>
    <row r="545" ht="15" customHeight="1">
      <c r="A545" t="inlineStr">
        <is>
          <t>A 32037-2024</t>
        </is>
      </c>
      <c r="B545" s="1" t="n">
        <v>45510</v>
      </c>
      <c r="C545" s="1" t="n">
        <v>45797</v>
      </c>
      <c r="D545" t="inlineStr">
        <is>
          <t>ÖREBRO LÄN</t>
        </is>
      </c>
      <c r="E545" t="inlineStr">
        <is>
          <t>ASKERSUND</t>
        </is>
      </c>
      <c r="G545" t="n">
        <v>8.199999999999999</v>
      </c>
      <c r="H545" t="n">
        <v>0</v>
      </c>
      <c r="I545" t="n">
        <v>1</v>
      </c>
      <c r="J545" t="n">
        <v>0</v>
      </c>
      <c r="K545" t="n">
        <v>0</v>
      </c>
      <c r="L545" t="n">
        <v>0</v>
      </c>
      <c r="M545" t="n">
        <v>0</v>
      </c>
      <c r="N545" t="n">
        <v>0</v>
      </c>
      <c r="O545" t="n">
        <v>0</v>
      </c>
      <c r="P545" t="n">
        <v>0</v>
      </c>
      <c r="Q545" t="n">
        <v>1</v>
      </c>
      <c r="R545" s="2" t="inlineStr">
        <is>
          <t>Svart trolldruva</t>
        </is>
      </c>
      <c r="S545">
        <f>HYPERLINK("https://klasma.github.io/Logging_1882/artfynd/A 32037-2024 artfynd.xlsx", "A 32037-2024")</f>
        <v/>
      </c>
      <c r="T545">
        <f>HYPERLINK("https://klasma.github.io/Logging_1882/kartor/A 32037-2024 karta.png", "A 32037-2024")</f>
        <v/>
      </c>
      <c r="V545">
        <f>HYPERLINK("https://klasma.github.io/Logging_1882/klagomål/A 32037-2024 FSC-klagomål.docx", "A 32037-2024")</f>
        <v/>
      </c>
      <c r="W545">
        <f>HYPERLINK("https://klasma.github.io/Logging_1882/klagomålsmail/A 32037-2024 FSC-klagomål mail.docx", "A 32037-2024")</f>
        <v/>
      </c>
      <c r="X545">
        <f>HYPERLINK("https://klasma.github.io/Logging_1882/tillsyn/A 32037-2024 tillsynsbegäran.docx", "A 32037-2024")</f>
        <v/>
      </c>
      <c r="Y545">
        <f>HYPERLINK("https://klasma.github.io/Logging_1882/tillsynsmail/A 32037-2024 tillsynsbegäran mail.docx", "A 32037-2024")</f>
        <v/>
      </c>
    </row>
    <row r="546" ht="15" customHeight="1">
      <c r="A546" t="inlineStr">
        <is>
          <t>A 32543-2024</t>
        </is>
      </c>
      <c r="B546" s="1" t="n">
        <v>45513</v>
      </c>
      <c r="C546" s="1" t="n">
        <v>45797</v>
      </c>
      <c r="D546" t="inlineStr">
        <is>
          <t>ÖREBRO LÄN</t>
        </is>
      </c>
      <c r="E546" t="inlineStr">
        <is>
          <t>HALLSBERG</t>
        </is>
      </c>
      <c r="G546" t="n">
        <v>10</v>
      </c>
      <c r="H546" t="n">
        <v>1</v>
      </c>
      <c r="I546" t="n">
        <v>0</v>
      </c>
      <c r="J546" t="n">
        <v>1</v>
      </c>
      <c r="K546" t="n">
        <v>0</v>
      </c>
      <c r="L546" t="n">
        <v>0</v>
      </c>
      <c r="M546" t="n">
        <v>0</v>
      </c>
      <c r="N546" t="n">
        <v>0</v>
      </c>
      <c r="O546" t="n">
        <v>1</v>
      </c>
      <c r="P546" t="n">
        <v>0</v>
      </c>
      <c r="Q546" t="n">
        <v>1</v>
      </c>
      <c r="R546" s="2" t="inlineStr">
        <is>
          <t>Talltita</t>
        </is>
      </c>
      <c r="S546">
        <f>HYPERLINK("https://klasma.github.io/Logging_1861/artfynd/A 32543-2024 artfynd.xlsx", "A 32543-2024")</f>
        <v/>
      </c>
      <c r="T546">
        <f>HYPERLINK("https://klasma.github.io/Logging_1861/kartor/A 32543-2024 karta.png", "A 32543-2024")</f>
        <v/>
      </c>
      <c r="V546">
        <f>HYPERLINK("https://klasma.github.io/Logging_1861/klagomål/A 32543-2024 FSC-klagomål.docx", "A 32543-2024")</f>
        <v/>
      </c>
      <c r="W546">
        <f>HYPERLINK("https://klasma.github.io/Logging_1861/klagomålsmail/A 32543-2024 FSC-klagomål mail.docx", "A 32543-2024")</f>
        <v/>
      </c>
      <c r="X546">
        <f>HYPERLINK("https://klasma.github.io/Logging_1861/tillsyn/A 32543-2024 tillsynsbegäran.docx", "A 32543-2024")</f>
        <v/>
      </c>
      <c r="Y546">
        <f>HYPERLINK("https://klasma.github.io/Logging_1861/tillsynsmail/A 32543-2024 tillsynsbegäran mail.docx", "A 32543-2024")</f>
        <v/>
      </c>
      <c r="Z546">
        <f>HYPERLINK("https://klasma.github.io/Logging_1861/fåglar/A 32543-2024 prioriterade fågelarter.docx", "A 32543-2024")</f>
        <v/>
      </c>
    </row>
    <row r="547" ht="15" customHeight="1">
      <c r="A547" t="inlineStr">
        <is>
          <t>A 32547-2024</t>
        </is>
      </c>
      <c r="B547" s="1" t="n">
        <v>45513</v>
      </c>
      <c r="C547" s="1" t="n">
        <v>45797</v>
      </c>
      <c r="D547" t="inlineStr">
        <is>
          <t>ÖREBRO LÄN</t>
        </is>
      </c>
      <c r="E547" t="inlineStr">
        <is>
          <t>HALLSBERG</t>
        </is>
      </c>
      <c r="G547" t="n">
        <v>3</v>
      </c>
      <c r="H547" t="n">
        <v>0</v>
      </c>
      <c r="I547" t="n">
        <v>1</v>
      </c>
      <c r="J547" t="n">
        <v>0</v>
      </c>
      <c r="K547" t="n">
        <v>0</v>
      </c>
      <c r="L547" t="n">
        <v>0</v>
      </c>
      <c r="M547" t="n">
        <v>0</v>
      </c>
      <c r="N547" t="n">
        <v>0</v>
      </c>
      <c r="O547" t="n">
        <v>0</v>
      </c>
      <c r="P547" t="n">
        <v>0</v>
      </c>
      <c r="Q547" t="n">
        <v>1</v>
      </c>
      <c r="R547" s="2" t="inlineStr">
        <is>
          <t>Strutbräken</t>
        </is>
      </c>
      <c r="S547">
        <f>HYPERLINK("https://klasma.github.io/Logging_1861/artfynd/A 32547-2024 artfynd.xlsx", "A 32547-2024")</f>
        <v/>
      </c>
      <c r="T547">
        <f>HYPERLINK("https://klasma.github.io/Logging_1861/kartor/A 32547-2024 karta.png", "A 32547-2024")</f>
        <v/>
      </c>
      <c r="V547">
        <f>HYPERLINK("https://klasma.github.io/Logging_1861/klagomål/A 32547-2024 FSC-klagomål.docx", "A 32547-2024")</f>
        <v/>
      </c>
      <c r="W547">
        <f>HYPERLINK("https://klasma.github.io/Logging_1861/klagomålsmail/A 32547-2024 FSC-klagomål mail.docx", "A 32547-2024")</f>
        <v/>
      </c>
      <c r="X547">
        <f>HYPERLINK("https://klasma.github.io/Logging_1861/tillsyn/A 32547-2024 tillsynsbegäran.docx", "A 32547-2024")</f>
        <v/>
      </c>
      <c r="Y547">
        <f>HYPERLINK("https://klasma.github.io/Logging_1861/tillsynsmail/A 32547-2024 tillsynsbegäran mail.docx", "A 32547-2024")</f>
        <v/>
      </c>
    </row>
    <row r="548" ht="15" customHeight="1">
      <c r="A548" t="inlineStr">
        <is>
          <t>A 32732-2024</t>
        </is>
      </c>
      <c r="B548" s="1" t="n">
        <v>45516</v>
      </c>
      <c r="C548" s="1" t="n">
        <v>45797</v>
      </c>
      <c r="D548" t="inlineStr">
        <is>
          <t>ÖREBRO LÄN</t>
        </is>
      </c>
      <c r="E548" t="inlineStr">
        <is>
          <t>LINDESBERG</t>
        </is>
      </c>
      <c r="F548" t="inlineStr">
        <is>
          <t>Sveaskog</t>
        </is>
      </c>
      <c r="G548" t="n">
        <v>1.1</v>
      </c>
      <c r="H548" t="n">
        <v>0</v>
      </c>
      <c r="I548" t="n">
        <v>1</v>
      </c>
      <c r="J548" t="n">
        <v>0</v>
      </c>
      <c r="K548" t="n">
        <v>0</v>
      </c>
      <c r="L548" t="n">
        <v>0</v>
      </c>
      <c r="M548" t="n">
        <v>0</v>
      </c>
      <c r="N548" t="n">
        <v>0</v>
      </c>
      <c r="O548" t="n">
        <v>0</v>
      </c>
      <c r="P548" t="n">
        <v>0</v>
      </c>
      <c r="Q548" t="n">
        <v>1</v>
      </c>
      <c r="R548" s="2" t="inlineStr">
        <is>
          <t>Skinnlav</t>
        </is>
      </c>
      <c r="S548">
        <f>HYPERLINK("https://klasma.github.io/Logging_1885/artfynd/A 32732-2024 artfynd.xlsx", "A 32732-2024")</f>
        <v/>
      </c>
      <c r="T548">
        <f>HYPERLINK("https://klasma.github.io/Logging_1885/kartor/A 32732-2024 karta.png", "A 32732-2024")</f>
        <v/>
      </c>
      <c r="V548">
        <f>HYPERLINK("https://klasma.github.io/Logging_1885/klagomål/A 32732-2024 FSC-klagomål.docx", "A 32732-2024")</f>
        <v/>
      </c>
      <c r="W548">
        <f>HYPERLINK("https://klasma.github.io/Logging_1885/klagomålsmail/A 32732-2024 FSC-klagomål mail.docx", "A 32732-2024")</f>
        <v/>
      </c>
      <c r="X548">
        <f>HYPERLINK("https://klasma.github.io/Logging_1885/tillsyn/A 32732-2024 tillsynsbegäran.docx", "A 32732-2024")</f>
        <v/>
      </c>
      <c r="Y548">
        <f>HYPERLINK("https://klasma.github.io/Logging_1885/tillsynsmail/A 32732-2024 tillsynsbegäran mail.docx", "A 32732-2024")</f>
        <v/>
      </c>
    </row>
    <row r="549" ht="15" customHeight="1">
      <c r="A549" t="inlineStr">
        <is>
          <t>A 33286-2024</t>
        </is>
      </c>
      <c r="B549" s="1" t="n">
        <v>45518</v>
      </c>
      <c r="C549" s="1" t="n">
        <v>45797</v>
      </c>
      <c r="D549" t="inlineStr">
        <is>
          <t>ÖREBRO LÄN</t>
        </is>
      </c>
      <c r="E549" t="inlineStr">
        <is>
          <t>LINDESBERG</t>
        </is>
      </c>
      <c r="F549" t="inlineStr">
        <is>
          <t>Sveaskog</t>
        </is>
      </c>
      <c r="G549" t="n">
        <v>2.1</v>
      </c>
      <c r="H549" t="n">
        <v>0</v>
      </c>
      <c r="I549" t="n">
        <v>1</v>
      </c>
      <c r="J549" t="n">
        <v>0</v>
      </c>
      <c r="K549" t="n">
        <v>0</v>
      </c>
      <c r="L549" t="n">
        <v>0</v>
      </c>
      <c r="M549" t="n">
        <v>0</v>
      </c>
      <c r="N549" t="n">
        <v>0</v>
      </c>
      <c r="O549" t="n">
        <v>0</v>
      </c>
      <c r="P549" t="n">
        <v>0</v>
      </c>
      <c r="Q549" t="n">
        <v>1</v>
      </c>
      <c r="R549" s="2" t="inlineStr">
        <is>
          <t>Vedticka</t>
        </is>
      </c>
      <c r="S549">
        <f>HYPERLINK("https://klasma.github.io/Logging_1885/artfynd/A 33286-2024 artfynd.xlsx", "A 33286-2024")</f>
        <v/>
      </c>
      <c r="T549">
        <f>HYPERLINK("https://klasma.github.io/Logging_1885/kartor/A 33286-2024 karta.png", "A 33286-2024")</f>
        <v/>
      </c>
      <c r="V549">
        <f>HYPERLINK("https://klasma.github.io/Logging_1885/klagomål/A 33286-2024 FSC-klagomål.docx", "A 33286-2024")</f>
        <v/>
      </c>
      <c r="W549">
        <f>HYPERLINK("https://klasma.github.io/Logging_1885/klagomålsmail/A 33286-2024 FSC-klagomål mail.docx", "A 33286-2024")</f>
        <v/>
      </c>
      <c r="X549">
        <f>HYPERLINK("https://klasma.github.io/Logging_1885/tillsyn/A 33286-2024 tillsynsbegäran.docx", "A 33286-2024")</f>
        <v/>
      </c>
      <c r="Y549">
        <f>HYPERLINK("https://klasma.github.io/Logging_1885/tillsynsmail/A 33286-2024 tillsynsbegäran mail.docx", "A 33286-2024")</f>
        <v/>
      </c>
    </row>
    <row r="550" ht="15" customHeight="1">
      <c r="A550" t="inlineStr">
        <is>
          <t>A 33415-2024</t>
        </is>
      </c>
      <c r="B550" s="1" t="n">
        <v>45519</v>
      </c>
      <c r="C550" s="1" t="n">
        <v>45797</v>
      </c>
      <c r="D550" t="inlineStr">
        <is>
          <t>ÖREBRO LÄN</t>
        </is>
      </c>
      <c r="E550" t="inlineStr">
        <is>
          <t>ASKERSUND</t>
        </is>
      </c>
      <c r="G550" t="n">
        <v>7.7</v>
      </c>
      <c r="H550" t="n">
        <v>0</v>
      </c>
      <c r="I550" t="n">
        <v>1</v>
      </c>
      <c r="J550" t="n">
        <v>0</v>
      </c>
      <c r="K550" t="n">
        <v>0</v>
      </c>
      <c r="L550" t="n">
        <v>0</v>
      </c>
      <c r="M550" t="n">
        <v>0</v>
      </c>
      <c r="N550" t="n">
        <v>0</v>
      </c>
      <c r="O550" t="n">
        <v>0</v>
      </c>
      <c r="P550" t="n">
        <v>0</v>
      </c>
      <c r="Q550" t="n">
        <v>1</v>
      </c>
      <c r="R550" s="2" t="inlineStr">
        <is>
          <t>Rävticka</t>
        </is>
      </c>
      <c r="S550">
        <f>HYPERLINK("https://klasma.github.io/Logging_1882/artfynd/A 33415-2024 artfynd.xlsx", "A 33415-2024")</f>
        <v/>
      </c>
      <c r="T550">
        <f>HYPERLINK("https://klasma.github.io/Logging_1882/kartor/A 33415-2024 karta.png", "A 33415-2024")</f>
        <v/>
      </c>
      <c r="V550">
        <f>HYPERLINK("https://klasma.github.io/Logging_1882/klagomål/A 33415-2024 FSC-klagomål.docx", "A 33415-2024")</f>
        <v/>
      </c>
      <c r="W550">
        <f>HYPERLINK("https://klasma.github.io/Logging_1882/klagomålsmail/A 33415-2024 FSC-klagomål mail.docx", "A 33415-2024")</f>
        <v/>
      </c>
      <c r="X550">
        <f>HYPERLINK("https://klasma.github.io/Logging_1882/tillsyn/A 33415-2024 tillsynsbegäran.docx", "A 33415-2024")</f>
        <v/>
      </c>
      <c r="Y550">
        <f>HYPERLINK("https://klasma.github.io/Logging_1882/tillsynsmail/A 33415-2024 tillsynsbegäran mail.docx", "A 33415-2024")</f>
        <v/>
      </c>
    </row>
    <row r="551" ht="15" customHeight="1">
      <c r="A551" t="inlineStr">
        <is>
          <t>A 34285-2024</t>
        </is>
      </c>
      <c r="B551" s="1" t="n">
        <v>45524</v>
      </c>
      <c r="C551" s="1" t="n">
        <v>45797</v>
      </c>
      <c r="D551" t="inlineStr">
        <is>
          <t>ÖREBRO LÄN</t>
        </is>
      </c>
      <c r="E551" t="inlineStr">
        <is>
          <t>LAXÅ</t>
        </is>
      </c>
      <c r="G551" t="n">
        <v>0.5</v>
      </c>
      <c r="H551" t="n">
        <v>0</v>
      </c>
      <c r="I551" t="n">
        <v>0</v>
      </c>
      <c r="J551" t="n">
        <v>1</v>
      </c>
      <c r="K551" t="n">
        <v>0</v>
      </c>
      <c r="L551" t="n">
        <v>0</v>
      </c>
      <c r="M551" t="n">
        <v>0</v>
      </c>
      <c r="N551" t="n">
        <v>0</v>
      </c>
      <c r="O551" t="n">
        <v>1</v>
      </c>
      <c r="P551" t="n">
        <v>0</v>
      </c>
      <c r="Q551" t="n">
        <v>1</v>
      </c>
      <c r="R551" s="2" t="inlineStr">
        <is>
          <t>Vedtrappmossa</t>
        </is>
      </c>
      <c r="S551">
        <f>HYPERLINK("https://klasma.github.io/Logging_1860/artfynd/A 34285-2024 artfynd.xlsx", "A 34285-2024")</f>
        <v/>
      </c>
      <c r="T551">
        <f>HYPERLINK("https://klasma.github.io/Logging_1860/kartor/A 34285-2024 karta.png", "A 34285-2024")</f>
        <v/>
      </c>
      <c r="V551">
        <f>HYPERLINK("https://klasma.github.io/Logging_1860/klagomål/A 34285-2024 FSC-klagomål.docx", "A 34285-2024")</f>
        <v/>
      </c>
      <c r="W551">
        <f>HYPERLINK("https://klasma.github.io/Logging_1860/klagomålsmail/A 34285-2024 FSC-klagomål mail.docx", "A 34285-2024")</f>
        <v/>
      </c>
      <c r="X551">
        <f>HYPERLINK("https://klasma.github.io/Logging_1860/tillsyn/A 34285-2024 tillsynsbegäran.docx", "A 34285-2024")</f>
        <v/>
      </c>
      <c r="Y551">
        <f>HYPERLINK("https://klasma.github.io/Logging_1860/tillsynsmail/A 34285-2024 tillsynsbegäran mail.docx", "A 34285-2024")</f>
        <v/>
      </c>
    </row>
    <row r="552" ht="15" customHeight="1">
      <c r="A552" t="inlineStr">
        <is>
          <t>A 34515-2024</t>
        </is>
      </c>
      <c r="B552" s="1" t="n">
        <v>45525</v>
      </c>
      <c r="C552" s="1" t="n">
        <v>45797</v>
      </c>
      <c r="D552" t="inlineStr">
        <is>
          <t>ÖREBRO LÄN</t>
        </is>
      </c>
      <c r="E552" t="inlineStr">
        <is>
          <t>ASKERSUND</t>
        </is>
      </c>
      <c r="F552" t="inlineStr">
        <is>
          <t>Sveaskog</t>
        </is>
      </c>
      <c r="G552" t="n">
        <v>1.5</v>
      </c>
      <c r="H552" t="n">
        <v>1</v>
      </c>
      <c r="I552" t="n">
        <v>0</v>
      </c>
      <c r="J552" t="n">
        <v>0</v>
      </c>
      <c r="K552" t="n">
        <v>0</v>
      </c>
      <c r="L552" t="n">
        <v>0</v>
      </c>
      <c r="M552" t="n">
        <v>0</v>
      </c>
      <c r="N552" t="n">
        <v>0</v>
      </c>
      <c r="O552" t="n">
        <v>0</v>
      </c>
      <c r="P552" t="n">
        <v>0</v>
      </c>
      <c r="Q552" t="n">
        <v>1</v>
      </c>
      <c r="R552" s="2" t="inlineStr">
        <is>
          <t>Gröngöling</t>
        </is>
      </c>
      <c r="S552">
        <f>HYPERLINK("https://klasma.github.io/Logging_1882/artfynd/A 34515-2024 artfynd.xlsx", "A 34515-2024")</f>
        <v/>
      </c>
      <c r="T552">
        <f>HYPERLINK("https://klasma.github.io/Logging_1882/kartor/A 34515-2024 karta.png", "A 34515-2024")</f>
        <v/>
      </c>
      <c r="V552">
        <f>HYPERLINK("https://klasma.github.io/Logging_1882/klagomål/A 34515-2024 FSC-klagomål.docx", "A 34515-2024")</f>
        <v/>
      </c>
      <c r="W552">
        <f>HYPERLINK("https://klasma.github.io/Logging_1882/klagomålsmail/A 34515-2024 FSC-klagomål mail.docx", "A 34515-2024")</f>
        <v/>
      </c>
      <c r="X552">
        <f>HYPERLINK("https://klasma.github.io/Logging_1882/tillsyn/A 34515-2024 tillsynsbegäran.docx", "A 34515-2024")</f>
        <v/>
      </c>
      <c r="Y552">
        <f>HYPERLINK("https://klasma.github.io/Logging_1882/tillsynsmail/A 34515-2024 tillsynsbegäran mail.docx", "A 34515-2024")</f>
        <v/>
      </c>
      <c r="Z552">
        <f>HYPERLINK("https://klasma.github.io/Logging_1882/fåglar/A 34515-2024 prioriterade fågelarter.docx", "A 34515-2024")</f>
        <v/>
      </c>
    </row>
    <row r="553" ht="15" customHeight="1">
      <c r="A553" t="inlineStr">
        <is>
          <t>A 36669-2024</t>
        </is>
      </c>
      <c r="B553" s="1" t="n">
        <v>45537</v>
      </c>
      <c r="C553" s="1" t="n">
        <v>45797</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36669-2024 artfynd.xlsx", "A 36669-2024")</f>
        <v/>
      </c>
      <c r="T553">
        <f>HYPERLINK("https://klasma.github.io/Logging_1885/kartor/A 36669-2024 karta.png", "A 36669-2024")</f>
        <v/>
      </c>
      <c r="V553">
        <f>HYPERLINK("https://klasma.github.io/Logging_1885/klagomål/A 36669-2024 FSC-klagomål.docx", "A 36669-2024")</f>
        <v/>
      </c>
      <c r="W553">
        <f>HYPERLINK("https://klasma.github.io/Logging_1885/klagomålsmail/A 36669-2024 FSC-klagomål mail.docx", "A 36669-2024")</f>
        <v/>
      </c>
      <c r="X553">
        <f>HYPERLINK("https://klasma.github.io/Logging_1885/tillsyn/A 36669-2024 tillsynsbegäran.docx", "A 36669-2024")</f>
        <v/>
      </c>
      <c r="Y553">
        <f>HYPERLINK("https://klasma.github.io/Logging_1885/tillsynsmail/A 36669-2024 tillsynsbegäran mail.docx", "A 36669-2024")</f>
        <v/>
      </c>
    </row>
    <row r="554" ht="15" customHeight="1">
      <c r="A554" t="inlineStr">
        <is>
          <t>A 36668-2024</t>
        </is>
      </c>
      <c r="B554" s="1" t="n">
        <v>45537</v>
      </c>
      <c r="C554" s="1" t="n">
        <v>45797</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36668-2024 artfynd.xlsx", "A 36668-2024")</f>
        <v/>
      </c>
      <c r="T554">
        <f>HYPERLINK("https://klasma.github.io/Logging_1885/kartor/A 36668-2024 karta.png", "A 36668-2024")</f>
        <v/>
      </c>
      <c r="V554">
        <f>HYPERLINK("https://klasma.github.io/Logging_1885/klagomål/A 36668-2024 FSC-klagomål.docx", "A 36668-2024")</f>
        <v/>
      </c>
      <c r="W554">
        <f>HYPERLINK("https://klasma.github.io/Logging_1885/klagomålsmail/A 36668-2024 FSC-klagomål mail.docx", "A 36668-2024")</f>
        <v/>
      </c>
      <c r="X554">
        <f>HYPERLINK("https://klasma.github.io/Logging_1885/tillsyn/A 36668-2024 tillsynsbegäran.docx", "A 36668-2024")</f>
        <v/>
      </c>
      <c r="Y554">
        <f>HYPERLINK("https://klasma.github.io/Logging_1885/tillsynsmail/A 36668-2024 tillsynsbegäran mail.docx", "A 36668-2024")</f>
        <v/>
      </c>
    </row>
    <row r="555" ht="15" customHeight="1">
      <c r="A555" t="inlineStr">
        <is>
          <t>A 39105-2024</t>
        </is>
      </c>
      <c r="B555" s="1" t="n">
        <v>45548</v>
      </c>
      <c r="C555" s="1" t="n">
        <v>45797</v>
      </c>
      <c r="D555" t="inlineStr">
        <is>
          <t>ÖREBRO LÄN</t>
        </is>
      </c>
      <c r="E555" t="inlineStr">
        <is>
          <t>HÄLLEFORS</t>
        </is>
      </c>
      <c r="G555" t="n">
        <v>3.3</v>
      </c>
      <c r="H555" t="n">
        <v>0</v>
      </c>
      <c r="I555" t="n">
        <v>0</v>
      </c>
      <c r="J555" t="n">
        <v>0</v>
      </c>
      <c r="K555" t="n">
        <v>1</v>
      </c>
      <c r="L555" t="n">
        <v>0</v>
      </c>
      <c r="M555" t="n">
        <v>0</v>
      </c>
      <c r="N555" t="n">
        <v>0</v>
      </c>
      <c r="O555" t="n">
        <v>1</v>
      </c>
      <c r="P555" t="n">
        <v>1</v>
      </c>
      <c r="Q555" t="n">
        <v>1</v>
      </c>
      <c r="R555" s="2" t="inlineStr">
        <is>
          <t>Trollsmultron</t>
        </is>
      </c>
      <c r="S555">
        <f>HYPERLINK("https://klasma.github.io/Logging_1863/artfynd/A 39105-2024 artfynd.xlsx", "A 39105-2024")</f>
        <v/>
      </c>
      <c r="T555">
        <f>HYPERLINK("https://klasma.github.io/Logging_1863/kartor/A 39105-2024 karta.png", "A 39105-2024")</f>
        <v/>
      </c>
      <c r="V555">
        <f>HYPERLINK("https://klasma.github.io/Logging_1863/klagomål/A 39105-2024 FSC-klagomål.docx", "A 39105-2024")</f>
        <v/>
      </c>
      <c r="W555">
        <f>HYPERLINK("https://klasma.github.io/Logging_1863/klagomålsmail/A 39105-2024 FSC-klagomål mail.docx", "A 39105-2024")</f>
        <v/>
      </c>
      <c r="X555">
        <f>HYPERLINK("https://klasma.github.io/Logging_1863/tillsyn/A 39105-2024 tillsynsbegäran.docx", "A 39105-2024")</f>
        <v/>
      </c>
      <c r="Y555">
        <f>HYPERLINK("https://klasma.github.io/Logging_1863/tillsynsmail/A 39105-2024 tillsynsbegäran mail.docx", "A 39105-2024")</f>
        <v/>
      </c>
    </row>
    <row r="556" ht="15" customHeight="1">
      <c r="A556" t="inlineStr">
        <is>
          <t>A 39138-2024</t>
        </is>
      </c>
      <c r="B556" s="1" t="n">
        <v>45548</v>
      </c>
      <c r="C556" s="1" t="n">
        <v>45797</v>
      </c>
      <c r="D556" t="inlineStr">
        <is>
          <t>ÖREBRO LÄN</t>
        </is>
      </c>
      <c r="E556" t="inlineStr">
        <is>
          <t>LINDESBERG</t>
        </is>
      </c>
      <c r="F556" t="inlineStr">
        <is>
          <t>Sveaskog</t>
        </is>
      </c>
      <c r="G556" t="n">
        <v>2.3</v>
      </c>
      <c r="H556" t="n">
        <v>0</v>
      </c>
      <c r="I556" t="n">
        <v>1</v>
      </c>
      <c r="J556" t="n">
        <v>0</v>
      </c>
      <c r="K556" t="n">
        <v>0</v>
      </c>
      <c r="L556" t="n">
        <v>0</v>
      </c>
      <c r="M556" t="n">
        <v>0</v>
      </c>
      <c r="N556" t="n">
        <v>0</v>
      </c>
      <c r="O556" t="n">
        <v>0</v>
      </c>
      <c r="P556" t="n">
        <v>0</v>
      </c>
      <c r="Q556" t="n">
        <v>1</v>
      </c>
      <c r="R556" s="2" t="inlineStr">
        <is>
          <t>Brandticka</t>
        </is>
      </c>
      <c r="S556">
        <f>HYPERLINK("https://klasma.github.io/Logging_1885/artfynd/A 39138-2024 artfynd.xlsx", "A 39138-2024")</f>
        <v/>
      </c>
      <c r="T556">
        <f>HYPERLINK("https://klasma.github.io/Logging_1885/kartor/A 39138-2024 karta.png", "A 39138-2024")</f>
        <v/>
      </c>
      <c r="V556">
        <f>HYPERLINK("https://klasma.github.io/Logging_1885/klagomål/A 39138-2024 FSC-klagomål.docx", "A 39138-2024")</f>
        <v/>
      </c>
      <c r="W556">
        <f>HYPERLINK("https://klasma.github.io/Logging_1885/klagomålsmail/A 39138-2024 FSC-klagomål mail.docx", "A 39138-2024")</f>
        <v/>
      </c>
      <c r="X556">
        <f>HYPERLINK("https://klasma.github.io/Logging_1885/tillsyn/A 39138-2024 tillsynsbegäran.docx", "A 39138-2024")</f>
        <v/>
      </c>
      <c r="Y556">
        <f>HYPERLINK("https://klasma.github.io/Logging_1885/tillsynsmail/A 39138-2024 tillsynsbegäran mail.docx", "A 39138-2024")</f>
        <v/>
      </c>
    </row>
    <row r="557" ht="15" customHeight="1">
      <c r="A557" t="inlineStr">
        <is>
          <t>A 40306-2024</t>
        </is>
      </c>
      <c r="B557" s="1" t="n">
        <v>45554</v>
      </c>
      <c r="C557" s="1" t="n">
        <v>45797</v>
      </c>
      <c r="D557" t="inlineStr">
        <is>
          <t>ÖREBRO LÄN</t>
        </is>
      </c>
      <c r="E557" t="inlineStr">
        <is>
          <t>LINDESBERG</t>
        </is>
      </c>
      <c r="F557" t="inlineStr">
        <is>
          <t>Sveaskog</t>
        </is>
      </c>
      <c r="G557" t="n">
        <v>0.9</v>
      </c>
      <c r="H557" t="n">
        <v>0</v>
      </c>
      <c r="I557" t="n">
        <v>1</v>
      </c>
      <c r="J557" t="n">
        <v>0</v>
      </c>
      <c r="K557" t="n">
        <v>0</v>
      </c>
      <c r="L557" t="n">
        <v>0</v>
      </c>
      <c r="M557" t="n">
        <v>0</v>
      </c>
      <c r="N557" t="n">
        <v>0</v>
      </c>
      <c r="O557" t="n">
        <v>0</v>
      </c>
      <c r="P557" t="n">
        <v>0</v>
      </c>
      <c r="Q557" t="n">
        <v>1</v>
      </c>
      <c r="R557" s="2" t="inlineStr">
        <is>
          <t>Dropptaggsvamp</t>
        </is>
      </c>
      <c r="S557">
        <f>HYPERLINK("https://klasma.github.io/Logging_1885/artfynd/A 40306-2024 artfynd.xlsx", "A 40306-2024")</f>
        <v/>
      </c>
      <c r="T557">
        <f>HYPERLINK("https://klasma.github.io/Logging_1885/kartor/A 40306-2024 karta.png", "A 40306-2024")</f>
        <v/>
      </c>
      <c r="V557">
        <f>HYPERLINK("https://klasma.github.io/Logging_1885/klagomål/A 40306-2024 FSC-klagomål.docx", "A 40306-2024")</f>
        <v/>
      </c>
      <c r="W557">
        <f>HYPERLINK("https://klasma.github.io/Logging_1885/klagomålsmail/A 40306-2024 FSC-klagomål mail.docx", "A 40306-2024")</f>
        <v/>
      </c>
      <c r="X557">
        <f>HYPERLINK("https://klasma.github.io/Logging_1885/tillsyn/A 40306-2024 tillsynsbegäran.docx", "A 40306-2024")</f>
        <v/>
      </c>
      <c r="Y557">
        <f>HYPERLINK("https://klasma.github.io/Logging_1885/tillsynsmail/A 40306-2024 tillsynsbegäran mail.docx", "A 40306-2024")</f>
        <v/>
      </c>
    </row>
    <row r="558" ht="15" customHeight="1">
      <c r="A558" t="inlineStr">
        <is>
          <t>A 41135-2024</t>
        </is>
      </c>
      <c r="B558" s="1" t="n">
        <v>45559</v>
      </c>
      <c r="C558" s="1" t="n">
        <v>45797</v>
      </c>
      <c r="D558" t="inlineStr">
        <is>
          <t>ÖREBRO LÄN</t>
        </is>
      </c>
      <c r="E558" t="inlineStr">
        <is>
          <t>ASKERSUND</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HYPERLINK("https://klasma.github.io/Logging_1882/artfynd/A 41135-2024 artfynd.xlsx", "A 41135-2024")</f>
        <v/>
      </c>
      <c r="T558">
        <f>HYPERLINK("https://klasma.github.io/Logging_1882/kartor/A 41135-2024 karta.png", "A 41135-2024")</f>
        <v/>
      </c>
      <c r="V558">
        <f>HYPERLINK("https://klasma.github.io/Logging_1882/klagomål/A 41135-2024 FSC-klagomål.docx", "A 41135-2024")</f>
        <v/>
      </c>
      <c r="W558">
        <f>HYPERLINK("https://klasma.github.io/Logging_1882/klagomålsmail/A 41135-2024 FSC-klagomål mail.docx", "A 41135-2024")</f>
        <v/>
      </c>
      <c r="X558">
        <f>HYPERLINK("https://klasma.github.io/Logging_1882/tillsyn/A 41135-2024 tillsynsbegäran.docx", "A 41135-2024")</f>
        <v/>
      </c>
      <c r="Y558">
        <f>HYPERLINK("https://klasma.github.io/Logging_1882/tillsynsmail/A 41135-2024 tillsynsbegäran mail.docx", "A 41135-2024")</f>
        <v/>
      </c>
    </row>
    <row r="559" ht="15" customHeight="1">
      <c r="A559" t="inlineStr">
        <is>
          <t>A 41241-2024</t>
        </is>
      </c>
      <c r="B559" s="1" t="n">
        <v>45559</v>
      </c>
      <c r="C559" s="1" t="n">
        <v>45797</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41609-2024</t>
        </is>
      </c>
      <c r="B560" s="1" t="n">
        <v>45560</v>
      </c>
      <c r="C560" s="1" t="n">
        <v>45797</v>
      </c>
      <c r="D560" t="inlineStr">
        <is>
          <t>ÖREBRO LÄN</t>
        </is>
      </c>
      <c r="E560" t="inlineStr">
        <is>
          <t>LJUSNARSBERG</t>
        </is>
      </c>
      <c r="G560" t="n">
        <v>51.2</v>
      </c>
      <c r="H560" t="n">
        <v>0</v>
      </c>
      <c r="I560" t="n">
        <v>0</v>
      </c>
      <c r="J560" t="n">
        <v>1</v>
      </c>
      <c r="K560" t="n">
        <v>0</v>
      </c>
      <c r="L560" t="n">
        <v>0</v>
      </c>
      <c r="M560" t="n">
        <v>0</v>
      </c>
      <c r="N560" t="n">
        <v>0</v>
      </c>
      <c r="O560" t="n">
        <v>1</v>
      </c>
      <c r="P560" t="n">
        <v>0</v>
      </c>
      <c r="Q560" t="n">
        <v>1</v>
      </c>
      <c r="R560" s="2" t="inlineStr">
        <is>
          <t>Garnlav</t>
        </is>
      </c>
      <c r="S560">
        <f>HYPERLINK("https://klasma.github.io/Logging_1864/artfynd/A 41609-2024 artfynd.xlsx", "A 41609-2024")</f>
        <v/>
      </c>
      <c r="T560">
        <f>HYPERLINK("https://klasma.github.io/Logging_1864/kartor/A 41609-2024 karta.png", "A 41609-2024")</f>
        <v/>
      </c>
      <c r="V560">
        <f>HYPERLINK("https://klasma.github.io/Logging_1864/klagomål/A 41609-2024 FSC-klagomål.docx", "A 41609-2024")</f>
        <v/>
      </c>
      <c r="W560">
        <f>HYPERLINK("https://klasma.github.io/Logging_1864/klagomålsmail/A 41609-2024 FSC-klagomål mail.docx", "A 41609-2024")</f>
        <v/>
      </c>
      <c r="X560">
        <f>HYPERLINK("https://klasma.github.io/Logging_1864/tillsyn/A 41609-2024 tillsynsbegäran.docx", "A 41609-2024")</f>
        <v/>
      </c>
      <c r="Y560">
        <f>HYPERLINK("https://klasma.github.io/Logging_1864/tillsynsmail/A 41609-2024 tillsynsbegäran mail.docx", "A 41609-2024")</f>
        <v/>
      </c>
    </row>
    <row r="561" ht="15" customHeight="1">
      <c r="A561" t="inlineStr">
        <is>
          <t>A 44769-2024</t>
        </is>
      </c>
      <c r="B561" s="1" t="n">
        <v>45574</v>
      </c>
      <c r="C561" s="1" t="n">
        <v>45797</v>
      </c>
      <c r="D561" t="inlineStr">
        <is>
          <t>ÖREBRO LÄN</t>
        </is>
      </c>
      <c r="E561" t="inlineStr">
        <is>
          <t>KARLSKOGA</t>
        </is>
      </c>
      <c r="F561" t="inlineStr">
        <is>
          <t>Sveaskog</t>
        </is>
      </c>
      <c r="G561" t="n">
        <v>7.4</v>
      </c>
      <c r="H561" t="n">
        <v>1</v>
      </c>
      <c r="I561" t="n">
        <v>0</v>
      </c>
      <c r="J561" t="n">
        <v>0</v>
      </c>
      <c r="K561" t="n">
        <v>1</v>
      </c>
      <c r="L561" t="n">
        <v>0</v>
      </c>
      <c r="M561" t="n">
        <v>0</v>
      </c>
      <c r="N561" t="n">
        <v>0</v>
      </c>
      <c r="O561" t="n">
        <v>1</v>
      </c>
      <c r="P561" t="n">
        <v>1</v>
      </c>
      <c r="Q561" t="n">
        <v>1</v>
      </c>
      <c r="R561" s="2" t="inlineStr">
        <is>
          <t>Kricka</t>
        </is>
      </c>
      <c r="S561">
        <f>HYPERLINK("https://klasma.github.io/Logging_1883/artfynd/A 44769-2024 artfynd.xlsx", "A 44769-2024")</f>
        <v/>
      </c>
      <c r="T561">
        <f>HYPERLINK("https://klasma.github.io/Logging_1883/kartor/A 44769-2024 karta.png", "A 44769-2024")</f>
        <v/>
      </c>
      <c r="V561">
        <f>HYPERLINK("https://klasma.github.io/Logging_1883/klagomål/A 44769-2024 FSC-klagomål.docx", "A 44769-2024")</f>
        <v/>
      </c>
      <c r="W561">
        <f>HYPERLINK("https://klasma.github.io/Logging_1883/klagomålsmail/A 44769-2024 FSC-klagomål mail.docx", "A 44769-2024")</f>
        <v/>
      </c>
      <c r="X561">
        <f>HYPERLINK("https://klasma.github.io/Logging_1883/tillsyn/A 44769-2024 tillsynsbegäran.docx", "A 44769-2024")</f>
        <v/>
      </c>
      <c r="Y561">
        <f>HYPERLINK("https://klasma.github.io/Logging_1883/tillsynsmail/A 44769-2024 tillsynsbegäran mail.docx", "A 44769-2024")</f>
        <v/>
      </c>
      <c r="Z561">
        <f>HYPERLINK("https://klasma.github.io/Logging_1883/fåglar/A 44769-2024 prioriterade fågelarter.docx", "A 44769-2024")</f>
        <v/>
      </c>
    </row>
    <row r="562" ht="15" customHeight="1">
      <c r="A562" t="inlineStr">
        <is>
          <t>A 44781-2024</t>
        </is>
      </c>
      <c r="B562" s="1" t="n">
        <v>45574</v>
      </c>
      <c r="C562" s="1" t="n">
        <v>45797</v>
      </c>
      <c r="D562" t="inlineStr">
        <is>
          <t>ÖREBRO LÄN</t>
        </is>
      </c>
      <c r="E562" t="inlineStr">
        <is>
          <t>HÄLLEFORS</t>
        </is>
      </c>
      <c r="F562" t="inlineStr">
        <is>
          <t>Sveaskog</t>
        </is>
      </c>
      <c r="G562" t="n">
        <v>2.7</v>
      </c>
      <c r="H562" t="n">
        <v>0</v>
      </c>
      <c r="I562" t="n">
        <v>1</v>
      </c>
      <c r="J562" t="n">
        <v>0</v>
      </c>
      <c r="K562" t="n">
        <v>0</v>
      </c>
      <c r="L562" t="n">
        <v>0</v>
      </c>
      <c r="M562" t="n">
        <v>0</v>
      </c>
      <c r="N562" t="n">
        <v>0</v>
      </c>
      <c r="O562" t="n">
        <v>0</v>
      </c>
      <c r="P562" t="n">
        <v>0</v>
      </c>
      <c r="Q562" t="n">
        <v>1</v>
      </c>
      <c r="R562" s="2" t="inlineStr">
        <is>
          <t>Rödgul trumpetsvamp</t>
        </is>
      </c>
      <c r="S562">
        <f>HYPERLINK("https://klasma.github.io/Logging_1863/artfynd/A 44781-2024 artfynd.xlsx", "A 44781-2024")</f>
        <v/>
      </c>
      <c r="T562">
        <f>HYPERLINK("https://klasma.github.io/Logging_1863/kartor/A 44781-2024 karta.png", "A 44781-2024")</f>
        <v/>
      </c>
      <c r="V562">
        <f>HYPERLINK("https://klasma.github.io/Logging_1863/klagomål/A 44781-2024 FSC-klagomål.docx", "A 44781-2024")</f>
        <v/>
      </c>
      <c r="W562">
        <f>HYPERLINK("https://klasma.github.io/Logging_1863/klagomålsmail/A 44781-2024 FSC-klagomål mail.docx", "A 44781-2024")</f>
        <v/>
      </c>
      <c r="X562">
        <f>HYPERLINK("https://klasma.github.io/Logging_1863/tillsyn/A 44781-2024 tillsynsbegäran.docx", "A 44781-2024")</f>
        <v/>
      </c>
      <c r="Y562">
        <f>HYPERLINK("https://klasma.github.io/Logging_1863/tillsynsmail/A 44781-2024 tillsynsbegäran mail.docx", "A 44781-2024")</f>
        <v/>
      </c>
    </row>
    <row r="563" ht="15" customHeight="1">
      <c r="A563" t="inlineStr">
        <is>
          <t>A 44785-2024</t>
        </is>
      </c>
      <c r="B563" s="1" t="n">
        <v>45574</v>
      </c>
      <c r="C563" s="1" t="n">
        <v>45797</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Rödgul trumpetsvamp</t>
        </is>
      </c>
      <c r="S563">
        <f>HYPERLINK("https://klasma.github.io/Logging_1885/artfynd/A 44785-2024 artfynd.xlsx", "A 44785-2024")</f>
        <v/>
      </c>
      <c r="T563">
        <f>HYPERLINK("https://klasma.github.io/Logging_1885/kartor/A 44785-2024 karta.png", "A 44785-2024")</f>
        <v/>
      </c>
      <c r="V563">
        <f>HYPERLINK("https://klasma.github.io/Logging_1885/klagomål/A 44785-2024 FSC-klagomål.docx", "A 44785-2024")</f>
        <v/>
      </c>
      <c r="W563">
        <f>HYPERLINK("https://klasma.github.io/Logging_1885/klagomålsmail/A 44785-2024 FSC-klagomål mail.docx", "A 44785-2024")</f>
        <v/>
      </c>
      <c r="X563">
        <f>HYPERLINK("https://klasma.github.io/Logging_1885/tillsyn/A 44785-2024 tillsynsbegäran.docx", "A 44785-2024")</f>
        <v/>
      </c>
      <c r="Y563">
        <f>HYPERLINK("https://klasma.github.io/Logging_1885/tillsynsmail/A 44785-2024 tillsynsbegäran mail.docx", "A 44785-2024")</f>
        <v/>
      </c>
    </row>
    <row r="564" ht="15" customHeight="1">
      <c r="A564" t="inlineStr">
        <is>
          <t>A 44744-2024</t>
        </is>
      </c>
      <c r="B564" s="1" t="n">
        <v>45574</v>
      </c>
      <c r="C564" s="1" t="n">
        <v>45797</v>
      </c>
      <c r="D564" t="inlineStr">
        <is>
          <t>ÖREBRO LÄN</t>
        </is>
      </c>
      <c r="E564" t="inlineStr">
        <is>
          <t>ÖREBRO</t>
        </is>
      </c>
      <c r="G564" t="n">
        <v>11.6</v>
      </c>
      <c r="H564" t="n">
        <v>1</v>
      </c>
      <c r="I564" t="n">
        <v>0</v>
      </c>
      <c r="J564" t="n">
        <v>0</v>
      </c>
      <c r="K564" t="n">
        <v>0</v>
      </c>
      <c r="L564" t="n">
        <v>0</v>
      </c>
      <c r="M564" t="n">
        <v>0</v>
      </c>
      <c r="N564" t="n">
        <v>0</v>
      </c>
      <c r="O564" t="n">
        <v>0</v>
      </c>
      <c r="P564" t="n">
        <v>0</v>
      </c>
      <c r="Q564" t="n">
        <v>1</v>
      </c>
      <c r="R564" s="2" t="inlineStr">
        <is>
          <t>Revlummer</t>
        </is>
      </c>
      <c r="S564">
        <f>HYPERLINK("https://klasma.github.io/Logging_1880/artfynd/A 44744-2024 artfynd.xlsx", "A 44744-2024")</f>
        <v/>
      </c>
      <c r="T564">
        <f>HYPERLINK("https://klasma.github.io/Logging_1880/kartor/A 44744-2024 karta.png", "A 44744-2024")</f>
        <v/>
      </c>
      <c r="V564">
        <f>HYPERLINK("https://klasma.github.io/Logging_1880/klagomål/A 44744-2024 FSC-klagomål.docx", "A 44744-2024")</f>
        <v/>
      </c>
      <c r="W564">
        <f>HYPERLINK("https://klasma.github.io/Logging_1880/klagomålsmail/A 44744-2024 FSC-klagomål mail.docx", "A 44744-2024")</f>
        <v/>
      </c>
      <c r="X564">
        <f>HYPERLINK("https://klasma.github.io/Logging_1880/tillsyn/A 44744-2024 tillsynsbegäran.docx", "A 44744-2024")</f>
        <v/>
      </c>
      <c r="Y564">
        <f>HYPERLINK("https://klasma.github.io/Logging_1880/tillsynsmail/A 44744-2024 tillsynsbegäran mail.docx", "A 44744-2024")</f>
        <v/>
      </c>
    </row>
    <row r="565" ht="15" customHeight="1">
      <c r="A565" t="inlineStr">
        <is>
          <t>A 44792-2024</t>
        </is>
      </c>
      <c r="B565" s="1" t="n">
        <v>45574</v>
      </c>
      <c r="C565" s="1" t="n">
        <v>45797</v>
      </c>
      <c r="D565" t="inlineStr">
        <is>
          <t>ÖREBRO LÄN</t>
        </is>
      </c>
      <c r="E565" t="inlineStr">
        <is>
          <t>LINDESBERG</t>
        </is>
      </c>
      <c r="F565" t="inlineStr">
        <is>
          <t>Sveaskog</t>
        </is>
      </c>
      <c r="G565" t="n">
        <v>3.7</v>
      </c>
      <c r="H565" t="n">
        <v>1</v>
      </c>
      <c r="I565" t="n">
        <v>0</v>
      </c>
      <c r="J565" t="n">
        <v>0</v>
      </c>
      <c r="K565" t="n">
        <v>0</v>
      </c>
      <c r="L565" t="n">
        <v>0</v>
      </c>
      <c r="M565" t="n">
        <v>0</v>
      </c>
      <c r="N565" t="n">
        <v>0</v>
      </c>
      <c r="O565" t="n">
        <v>0</v>
      </c>
      <c r="P565" t="n">
        <v>0</v>
      </c>
      <c r="Q565" t="n">
        <v>1</v>
      </c>
      <c r="R565" s="2" t="inlineStr">
        <is>
          <t>Fläcknycklar</t>
        </is>
      </c>
      <c r="S565">
        <f>HYPERLINK("https://klasma.github.io/Logging_1885/artfynd/A 44792-2024 artfynd.xlsx", "A 44792-2024")</f>
        <v/>
      </c>
      <c r="T565">
        <f>HYPERLINK("https://klasma.github.io/Logging_1885/kartor/A 44792-2024 karta.png", "A 44792-2024")</f>
        <v/>
      </c>
      <c r="V565">
        <f>HYPERLINK("https://klasma.github.io/Logging_1885/klagomål/A 44792-2024 FSC-klagomål.docx", "A 44792-2024")</f>
        <v/>
      </c>
      <c r="W565">
        <f>HYPERLINK("https://klasma.github.io/Logging_1885/klagomålsmail/A 44792-2024 FSC-klagomål mail.docx", "A 44792-2024")</f>
        <v/>
      </c>
      <c r="X565">
        <f>HYPERLINK("https://klasma.github.io/Logging_1885/tillsyn/A 44792-2024 tillsynsbegäran.docx", "A 44792-2024")</f>
        <v/>
      </c>
      <c r="Y565">
        <f>HYPERLINK("https://klasma.github.io/Logging_1885/tillsynsmail/A 44792-2024 tillsynsbegäran mail.docx", "A 44792-2024")</f>
        <v/>
      </c>
    </row>
    <row r="566" ht="15" customHeight="1">
      <c r="A566" t="inlineStr">
        <is>
          <t>A 44888-2024</t>
        </is>
      </c>
      <c r="B566" s="1" t="n">
        <v>45575</v>
      </c>
      <c r="C566" s="1" t="n">
        <v>45797</v>
      </c>
      <c r="D566" t="inlineStr">
        <is>
          <t>ÖREBRO LÄN</t>
        </is>
      </c>
      <c r="E566" t="inlineStr">
        <is>
          <t>ASKERSUND</t>
        </is>
      </c>
      <c r="F566" t="inlineStr">
        <is>
          <t>Sveaskog</t>
        </is>
      </c>
      <c r="G566" t="n">
        <v>2.4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44888-2024 artfynd.xlsx", "A 44888-2024")</f>
        <v/>
      </c>
      <c r="T566">
        <f>HYPERLINK("https://klasma.github.io/Logging_1882/kartor/A 44888-2024 karta.png", "A 44888-2024")</f>
        <v/>
      </c>
      <c r="V566">
        <f>HYPERLINK("https://klasma.github.io/Logging_1882/klagomål/A 44888-2024 FSC-klagomål.docx", "A 44888-2024")</f>
        <v/>
      </c>
      <c r="W566">
        <f>HYPERLINK("https://klasma.github.io/Logging_1882/klagomålsmail/A 44888-2024 FSC-klagomål mail.docx", "A 44888-2024")</f>
        <v/>
      </c>
      <c r="X566">
        <f>HYPERLINK("https://klasma.github.io/Logging_1882/tillsyn/A 44888-2024 tillsynsbegäran.docx", "A 44888-2024")</f>
        <v/>
      </c>
      <c r="Y566">
        <f>HYPERLINK("https://klasma.github.io/Logging_1882/tillsynsmail/A 44888-2024 tillsynsbegäran mail.docx", "A 44888-2024")</f>
        <v/>
      </c>
    </row>
    <row r="567" ht="15" customHeight="1">
      <c r="A567" t="inlineStr">
        <is>
          <t>A 44891-2024</t>
        </is>
      </c>
      <c r="B567" s="1" t="n">
        <v>45575</v>
      </c>
      <c r="C567" s="1" t="n">
        <v>45797</v>
      </c>
      <c r="D567" t="inlineStr">
        <is>
          <t>ÖREBRO LÄN</t>
        </is>
      </c>
      <c r="E567" t="inlineStr">
        <is>
          <t>ASKERSUND</t>
        </is>
      </c>
      <c r="F567" t="inlineStr">
        <is>
          <t>Sveaskog</t>
        </is>
      </c>
      <c r="G567" t="n">
        <v>1.4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44891-2024 artfynd.xlsx", "A 44891-2024")</f>
        <v/>
      </c>
      <c r="T567">
        <f>HYPERLINK("https://klasma.github.io/Logging_1882/kartor/A 44891-2024 karta.png", "A 44891-2024")</f>
        <v/>
      </c>
      <c r="V567">
        <f>HYPERLINK("https://klasma.github.io/Logging_1882/klagomål/A 44891-2024 FSC-klagomål.docx", "A 44891-2024")</f>
        <v/>
      </c>
      <c r="W567">
        <f>HYPERLINK("https://klasma.github.io/Logging_1882/klagomålsmail/A 44891-2024 FSC-klagomål mail.docx", "A 44891-2024")</f>
        <v/>
      </c>
      <c r="X567">
        <f>HYPERLINK("https://klasma.github.io/Logging_1882/tillsyn/A 44891-2024 tillsynsbegäran.docx", "A 44891-2024")</f>
        <v/>
      </c>
      <c r="Y567">
        <f>HYPERLINK("https://klasma.github.io/Logging_1882/tillsynsmail/A 44891-2024 tillsynsbegäran mail.docx", "A 44891-2024")</f>
        <v/>
      </c>
    </row>
    <row r="568" ht="15" customHeight="1">
      <c r="A568" t="inlineStr">
        <is>
          <t>A 46325-2024</t>
        </is>
      </c>
      <c r="B568" s="1" t="n">
        <v>45581</v>
      </c>
      <c r="C568" s="1" t="n">
        <v>45797</v>
      </c>
      <c r="D568" t="inlineStr">
        <is>
          <t>ÖREBRO LÄN</t>
        </is>
      </c>
      <c r="E568" t="inlineStr">
        <is>
          <t>HALLSBERG</t>
        </is>
      </c>
      <c r="F568" t="inlineStr">
        <is>
          <t>Övriga Aktiebolag</t>
        </is>
      </c>
      <c r="G568" t="n">
        <v>1.9</v>
      </c>
      <c r="H568" t="n">
        <v>1</v>
      </c>
      <c r="I568" t="n">
        <v>0</v>
      </c>
      <c r="J568" t="n">
        <v>0</v>
      </c>
      <c r="K568" t="n">
        <v>0</v>
      </c>
      <c r="L568" t="n">
        <v>0</v>
      </c>
      <c r="M568" t="n">
        <v>0</v>
      </c>
      <c r="N568" t="n">
        <v>0</v>
      </c>
      <c r="O568" t="n">
        <v>0</v>
      </c>
      <c r="P568" t="n">
        <v>0</v>
      </c>
      <c r="Q568" t="n">
        <v>1</v>
      </c>
      <c r="R568" s="2" t="inlineStr">
        <is>
          <t>Grönvit nattviol</t>
        </is>
      </c>
      <c r="S568">
        <f>HYPERLINK("https://klasma.github.io/Logging_1861/artfynd/A 46325-2024 artfynd.xlsx", "A 46325-2024")</f>
        <v/>
      </c>
      <c r="T568">
        <f>HYPERLINK("https://klasma.github.io/Logging_1861/kartor/A 46325-2024 karta.png", "A 46325-2024")</f>
        <v/>
      </c>
      <c r="V568">
        <f>HYPERLINK("https://klasma.github.io/Logging_1861/klagomål/A 46325-2024 FSC-klagomål.docx", "A 46325-2024")</f>
        <v/>
      </c>
      <c r="W568">
        <f>HYPERLINK("https://klasma.github.io/Logging_1861/klagomålsmail/A 46325-2024 FSC-klagomål mail.docx", "A 46325-2024")</f>
        <v/>
      </c>
      <c r="X568">
        <f>HYPERLINK("https://klasma.github.io/Logging_1861/tillsyn/A 46325-2024 tillsynsbegäran.docx", "A 46325-2024")</f>
        <v/>
      </c>
      <c r="Y568">
        <f>HYPERLINK("https://klasma.github.io/Logging_1861/tillsynsmail/A 46325-2024 tillsynsbegäran mail.docx", "A 46325-2024")</f>
        <v/>
      </c>
    </row>
    <row r="569" ht="15" customHeight="1">
      <c r="A569" t="inlineStr">
        <is>
          <t>A 46582-2024</t>
        </is>
      </c>
      <c r="B569" s="1" t="n">
        <v>45582</v>
      </c>
      <c r="C569" s="1" t="n">
        <v>45797</v>
      </c>
      <c r="D569" t="inlineStr">
        <is>
          <t>ÖREBRO LÄN</t>
        </is>
      </c>
      <c r="E569" t="inlineStr">
        <is>
          <t>ÖREBRO</t>
        </is>
      </c>
      <c r="G569" t="n">
        <v>4</v>
      </c>
      <c r="H569" t="n">
        <v>1</v>
      </c>
      <c r="I569" t="n">
        <v>0</v>
      </c>
      <c r="J569" t="n">
        <v>1</v>
      </c>
      <c r="K569" t="n">
        <v>0</v>
      </c>
      <c r="L569" t="n">
        <v>0</v>
      </c>
      <c r="M569" t="n">
        <v>0</v>
      </c>
      <c r="N569" t="n">
        <v>0</v>
      </c>
      <c r="O569" t="n">
        <v>1</v>
      </c>
      <c r="P569" t="n">
        <v>0</v>
      </c>
      <c r="Q569" t="n">
        <v>1</v>
      </c>
      <c r="R569" s="2" t="inlineStr">
        <is>
          <t>Spillkråka</t>
        </is>
      </c>
      <c r="S569">
        <f>HYPERLINK("https://klasma.github.io/Logging_1880/artfynd/A 46582-2024 artfynd.xlsx", "A 46582-2024")</f>
        <v/>
      </c>
      <c r="T569">
        <f>HYPERLINK("https://klasma.github.io/Logging_1880/kartor/A 46582-2024 karta.png", "A 46582-2024")</f>
        <v/>
      </c>
      <c r="V569">
        <f>HYPERLINK("https://klasma.github.io/Logging_1880/klagomål/A 46582-2024 FSC-klagomål.docx", "A 46582-2024")</f>
        <v/>
      </c>
      <c r="W569">
        <f>HYPERLINK("https://klasma.github.io/Logging_1880/klagomålsmail/A 46582-2024 FSC-klagomål mail.docx", "A 46582-2024")</f>
        <v/>
      </c>
      <c r="X569">
        <f>HYPERLINK("https://klasma.github.io/Logging_1880/tillsyn/A 46582-2024 tillsynsbegäran.docx", "A 46582-2024")</f>
        <v/>
      </c>
      <c r="Y569">
        <f>HYPERLINK("https://klasma.github.io/Logging_1880/tillsynsmail/A 46582-2024 tillsynsbegäran mail.docx", "A 46582-2024")</f>
        <v/>
      </c>
      <c r="Z569">
        <f>HYPERLINK("https://klasma.github.io/Logging_1880/fåglar/A 46582-2024 prioriterade fågelarter.docx", "A 46582-2024")</f>
        <v/>
      </c>
    </row>
    <row r="570" ht="15" customHeight="1">
      <c r="A570" t="inlineStr">
        <is>
          <t>A 47159-2024</t>
        </is>
      </c>
      <c r="B570" s="1" t="n">
        <v>45586</v>
      </c>
      <c r="C570" s="1" t="n">
        <v>45797</v>
      </c>
      <c r="D570" t="inlineStr">
        <is>
          <t>ÖREBRO LÄN</t>
        </is>
      </c>
      <c r="E570" t="inlineStr">
        <is>
          <t>LINDESBERG</t>
        </is>
      </c>
      <c r="F570" t="inlineStr">
        <is>
          <t>Sveaskog</t>
        </is>
      </c>
      <c r="G570" t="n">
        <v>6.7</v>
      </c>
      <c r="H570" t="n">
        <v>0</v>
      </c>
      <c r="I570" t="n">
        <v>0</v>
      </c>
      <c r="J570" t="n">
        <v>1</v>
      </c>
      <c r="K570" t="n">
        <v>0</v>
      </c>
      <c r="L570" t="n">
        <v>0</v>
      </c>
      <c r="M570" t="n">
        <v>0</v>
      </c>
      <c r="N570" t="n">
        <v>0</v>
      </c>
      <c r="O570" t="n">
        <v>1</v>
      </c>
      <c r="P570" t="n">
        <v>0</v>
      </c>
      <c r="Q570" t="n">
        <v>1</v>
      </c>
      <c r="R570" s="2" t="inlineStr">
        <is>
          <t>Garnlav</t>
        </is>
      </c>
      <c r="S570">
        <f>HYPERLINK("https://klasma.github.io/Logging_1885/artfynd/A 47159-2024 artfynd.xlsx", "A 47159-2024")</f>
        <v/>
      </c>
      <c r="T570">
        <f>HYPERLINK("https://klasma.github.io/Logging_1885/kartor/A 47159-2024 karta.png", "A 47159-2024")</f>
        <v/>
      </c>
      <c r="V570">
        <f>HYPERLINK("https://klasma.github.io/Logging_1885/klagomål/A 47159-2024 FSC-klagomål.docx", "A 47159-2024")</f>
        <v/>
      </c>
      <c r="W570">
        <f>HYPERLINK("https://klasma.github.io/Logging_1885/klagomålsmail/A 47159-2024 FSC-klagomål mail.docx", "A 47159-2024")</f>
        <v/>
      </c>
      <c r="X570">
        <f>HYPERLINK("https://klasma.github.io/Logging_1885/tillsyn/A 47159-2024 tillsynsbegäran.docx", "A 47159-2024")</f>
        <v/>
      </c>
      <c r="Y570">
        <f>HYPERLINK("https://klasma.github.io/Logging_1885/tillsynsmail/A 47159-2024 tillsynsbegäran mail.docx", "A 47159-2024")</f>
        <v/>
      </c>
    </row>
    <row r="571" ht="15" customHeight="1">
      <c r="A571" t="inlineStr">
        <is>
          <t>A 47348-2024</t>
        </is>
      </c>
      <c r="B571" s="1" t="n">
        <v>45587</v>
      </c>
      <c r="C571" s="1" t="n">
        <v>45797</v>
      </c>
      <c r="D571" t="inlineStr">
        <is>
          <t>ÖREBRO LÄN</t>
        </is>
      </c>
      <c r="E571" t="inlineStr">
        <is>
          <t>ASKERSUND</t>
        </is>
      </c>
      <c r="F571" t="inlineStr">
        <is>
          <t>Sveaskog</t>
        </is>
      </c>
      <c r="G571" t="n">
        <v>6.9</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HYPERLINK("https://klasma.github.io/Logging_1882/artfynd/A 47348-2024 artfynd.xlsx", "A 47348-2024")</f>
        <v/>
      </c>
      <c r="T571">
        <f>HYPERLINK("https://klasma.github.io/Logging_1882/kartor/A 47348-2024 karta.png", "A 47348-2024")</f>
        <v/>
      </c>
      <c r="V571">
        <f>HYPERLINK("https://klasma.github.io/Logging_1882/klagomål/A 47348-2024 FSC-klagomål.docx", "A 47348-2024")</f>
        <v/>
      </c>
      <c r="W571">
        <f>HYPERLINK("https://klasma.github.io/Logging_1882/klagomålsmail/A 47348-2024 FSC-klagomål mail.docx", "A 47348-2024")</f>
        <v/>
      </c>
      <c r="X571">
        <f>HYPERLINK("https://klasma.github.io/Logging_1882/tillsyn/A 47348-2024 tillsynsbegäran.docx", "A 47348-2024")</f>
        <v/>
      </c>
      <c r="Y571">
        <f>HYPERLINK("https://klasma.github.io/Logging_1882/tillsynsmail/A 47348-2024 tillsynsbegäran mail.docx", "A 47348-2024")</f>
        <v/>
      </c>
    </row>
    <row r="572" ht="15" customHeight="1">
      <c r="A572" t="inlineStr">
        <is>
          <t>A 47917-2024</t>
        </is>
      </c>
      <c r="B572" s="1" t="n">
        <v>45589</v>
      </c>
      <c r="C572" s="1" t="n">
        <v>45797</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47917-2024 artfynd.xlsx", "A 47917-2024")</f>
        <v/>
      </c>
      <c r="T572">
        <f>HYPERLINK("https://klasma.github.io/Logging_1862/kartor/A 47917-2024 karta.png", "A 47917-2024")</f>
        <v/>
      </c>
      <c r="V572">
        <f>HYPERLINK("https://klasma.github.io/Logging_1862/klagomål/A 47917-2024 FSC-klagomål.docx", "A 47917-2024")</f>
        <v/>
      </c>
      <c r="W572">
        <f>HYPERLINK("https://klasma.github.io/Logging_1862/klagomålsmail/A 47917-2024 FSC-klagomål mail.docx", "A 47917-2024")</f>
        <v/>
      </c>
      <c r="X572">
        <f>HYPERLINK("https://klasma.github.io/Logging_1862/tillsyn/A 47917-2024 tillsynsbegäran.docx", "A 47917-2024")</f>
        <v/>
      </c>
      <c r="Y572">
        <f>HYPERLINK("https://klasma.github.io/Logging_1862/tillsynsmail/A 47917-2024 tillsynsbegäran mail.docx", "A 47917-2024")</f>
        <v/>
      </c>
    </row>
    <row r="573" ht="15" customHeight="1">
      <c r="A573" t="inlineStr">
        <is>
          <t>A 47915-2024</t>
        </is>
      </c>
      <c r="B573" s="1" t="n">
        <v>45589</v>
      </c>
      <c r="C573" s="1" t="n">
        <v>45797</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47915-2024 artfynd.xlsx", "A 47915-2024")</f>
        <v/>
      </c>
      <c r="T573">
        <f>HYPERLINK("https://klasma.github.io/Logging_1862/kartor/A 47915-2024 karta.png", "A 47915-2024")</f>
        <v/>
      </c>
      <c r="V573">
        <f>HYPERLINK("https://klasma.github.io/Logging_1862/klagomål/A 47915-2024 FSC-klagomål.docx", "A 47915-2024")</f>
        <v/>
      </c>
      <c r="W573">
        <f>HYPERLINK("https://klasma.github.io/Logging_1862/klagomålsmail/A 47915-2024 FSC-klagomål mail.docx", "A 47915-2024")</f>
        <v/>
      </c>
      <c r="X573">
        <f>HYPERLINK("https://klasma.github.io/Logging_1862/tillsyn/A 47915-2024 tillsynsbegäran.docx", "A 47915-2024")</f>
        <v/>
      </c>
      <c r="Y573">
        <f>HYPERLINK("https://klasma.github.io/Logging_1862/tillsynsmail/A 47915-2024 tillsynsbegäran mail.docx", "A 47915-2024")</f>
        <v/>
      </c>
    </row>
    <row r="574" ht="15" customHeight="1">
      <c r="A574" t="inlineStr">
        <is>
          <t>A 49878-2024</t>
        </is>
      </c>
      <c r="B574" s="1" t="n">
        <v>45597</v>
      </c>
      <c r="C574" s="1" t="n">
        <v>45797</v>
      </c>
      <c r="D574" t="inlineStr">
        <is>
          <t>ÖREBRO LÄN</t>
        </is>
      </c>
      <c r="E574" t="inlineStr">
        <is>
          <t>LAXÅ</t>
        </is>
      </c>
      <c r="F574" t="inlineStr">
        <is>
          <t>Sveaskog</t>
        </is>
      </c>
      <c r="G574" t="n">
        <v>2.4</v>
      </c>
      <c r="H574" t="n">
        <v>0</v>
      </c>
      <c r="I574" t="n">
        <v>1</v>
      </c>
      <c r="J574" t="n">
        <v>0</v>
      </c>
      <c r="K574" t="n">
        <v>0</v>
      </c>
      <c r="L574" t="n">
        <v>0</v>
      </c>
      <c r="M574" t="n">
        <v>0</v>
      </c>
      <c r="N574" t="n">
        <v>0</v>
      </c>
      <c r="O574" t="n">
        <v>0</v>
      </c>
      <c r="P574" t="n">
        <v>0</v>
      </c>
      <c r="Q574" t="n">
        <v>1</v>
      </c>
      <c r="R574" s="2" t="inlineStr">
        <is>
          <t>Blåmossa</t>
        </is>
      </c>
      <c r="S574">
        <f>HYPERLINK("https://klasma.github.io/Logging_1860/artfynd/A 49878-2024 artfynd.xlsx", "A 49878-2024")</f>
        <v/>
      </c>
      <c r="T574">
        <f>HYPERLINK("https://klasma.github.io/Logging_1860/kartor/A 49878-2024 karta.png", "A 49878-2024")</f>
        <v/>
      </c>
      <c r="V574">
        <f>HYPERLINK("https://klasma.github.io/Logging_1860/klagomål/A 49878-2024 FSC-klagomål.docx", "A 49878-2024")</f>
        <v/>
      </c>
      <c r="W574">
        <f>HYPERLINK("https://klasma.github.io/Logging_1860/klagomålsmail/A 49878-2024 FSC-klagomål mail.docx", "A 49878-2024")</f>
        <v/>
      </c>
      <c r="X574">
        <f>HYPERLINK("https://klasma.github.io/Logging_1860/tillsyn/A 49878-2024 tillsynsbegäran.docx", "A 49878-2024")</f>
        <v/>
      </c>
      <c r="Y574">
        <f>HYPERLINK("https://klasma.github.io/Logging_1860/tillsynsmail/A 49878-2024 tillsynsbegäran mail.docx", "A 49878-2024")</f>
        <v/>
      </c>
    </row>
    <row r="575" ht="15" customHeight="1">
      <c r="A575" t="inlineStr">
        <is>
          <t>A 51620-2024</t>
        </is>
      </c>
      <c r="B575" s="1" t="n">
        <v>45604</v>
      </c>
      <c r="C575" s="1" t="n">
        <v>45797</v>
      </c>
      <c r="D575" t="inlineStr">
        <is>
          <t>ÖREBRO LÄN</t>
        </is>
      </c>
      <c r="E575" t="inlineStr">
        <is>
          <t>ASKERSUND</t>
        </is>
      </c>
      <c r="F575" t="inlineStr">
        <is>
          <t>Sveaskog</t>
        </is>
      </c>
      <c r="G575" t="n">
        <v>6.1</v>
      </c>
      <c r="H575" t="n">
        <v>1</v>
      </c>
      <c r="I575" t="n">
        <v>0</v>
      </c>
      <c r="J575" t="n">
        <v>0</v>
      </c>
      <c r="K575" t="n">
        <v>0</v>
      </c>
      <c r="L575" t="n">
        <v>1</v>
      </c>
      <c r="M575" t="n">
        <v>0</v>
      </c>
      <c r="N575" t="n">
        <v>0</v>
      </c>
      <c r="O575" t="n">
        <v>1</v>
      </c>
      <c r="P575" t="n">
        <v>1</v>
      </c>
      <c r="Q575" t="n">
        <v>1</v>
      </c>
      <c r="R575" s="2" t="inlineStr">
        <is>
          <t>Mosippa</t>
        </is>
      </c>
      <c r="S575">
        <f>HYPERLINK("https://klasma.github.io/Logging_1882/artfynd/A 51620-2024 artfynd.xlsx", "A 51620-2024")</f>
        <v/>
      </c>
      <c r="T575">
        <f>HYPERLINK("https://klasma.github.io/Logging_1882/kartor/A 51620-2024 karta.png", "A 51620-2024")</f>
        <v/>
      </c>
      <c r="V575">
        <f>HYPERLINK("https://klasma.github.io/Logging_1882/klagomål/A 51620-2024 FSC-klagomål.docx", "A 51620-2024")</f>
        <v/>
      </c>
      <c r="W575">
        <f>HYPERLINK("https://klasma.github.io/Logging_1882/klagomålsmail/A 51620-2024 FSC-klagomål mail.docx", "A 51620-2024")</f>
        <v/>
      </c>
      <c r="X575">
        <f>HYPERLINK("https://klasma.github.io/Logging_1882/tillsyn/A 51620-2024 tillsynsbegäran.docx", "A 51620-2024")</f>
        <v/>
      </c>
      <c r="Y575">
        <f>HYPERLINK("https://klasma.github.io/Logging_1882/tillsynsmail/A 51620-2024 tillsynsbegäran mail.docx", "A 51620-2024")</f>
        <v/>
      </c>
    </row>
    <row r="576" ht="15" customHeight="1">
      <c r="A576" t="inlineStr">
        <is>
          <t>A 52451-2024</t>
        </is>
      </c>
      <c r="B576" s="1" t="n">
        <v>45609</v>
      </c>
      <c r="C576" s="1" t="n">
        <v>45797</v>
      </c>
      <c r="D576" t="inlineStr">
        <is>
          <t>ÖREBRO LÄN</t>
        </is>
      </c>
      <c r="E576" t="inlineStr">
        <is>
          <t>KARLSKOGA</t>
        </is>
      </c>
      <c r="F576" t="inlineStr">
        <is>
          <t>Sveaskog</t>
        </is>
      </c>
      <c r="G576" t="n">
        <v>4.7</v>
      </c>
      <c r="H576" t="n">
        <v>0</v>
      </c>
      <c r="I576" t="n">
        <v>1</v>
      </c>
      <c r="J576" t="n">
        <v>0</v>
      </c>
      <c r="K576" t="n">
        <v>0</v>
      </c>
      <c r="L576" t="n">
        <v>0</v>
      </c>
      <c r="M576" t="n">
        <v>0</v>
      </c>
      <c r="N576" t="n">
        <v>0</v>
      </c>
      <c r="O576" t="n">
        <v>0</v>
      </c>
      <c r="P576" t="n">
        <v>0</v>
      </c>
      <c r="Q576" t="n">
        <v>1</v>
      </c>
      <c r="R576" s="2" t="inlineStr">
        <is>
          <t>Dofttråding</t>
        </is>
      </c>
      <c r="S576">
        <f>HYPERLINK("https://klasma.github.io/Logging_1883/artfynd/A 52451-2024 artfynd.xlsx", "A 52451-2024")</f>
        <v/>
      </c>
      <c r="T576">
        <f>HYPERLINK("https://klasma.github.io/Logging_1883/kartor/A 52451-2024 karta.png", "A 52451-2024")</f>
        <v/>
      </c>
      <c r="V576">
        <f>HYPERLINK("https://klasma.github.io/Logging_1883/klagomål/A 52451-2024 FSC-klagomål.docx", "A 52451-2024")</f>
        <v/>
      </c>
      <c r="W576">
        <f>HYPERLINK("https://klasma.github.io/Logging_1883/klagomålsmail/A 52451-2024 FSC-klagomål mail.docx", "A 52451-2024")</f>
        <v/>
      </c>
      <c r="X576">
        <f>HYPERLINK("https://klasma.github.io/Logging_1883/tillsyn/A 52451-2024 tillsynsbegäran.docx", "A 52451-2024")</f>
        <v/>
      </c>
      <c r="Y576">
        <f>HYPERLINK("https://klasma.github.io/Logging_1883/tillsynsmail/A 52451-2024 tillsynsbegäran mail.docx", "A 52451-2024")</f>
        <v/>
      </c>
    </row>
    <row r="577" ht="15" customHeight="1">
      <c r="A577" t="inlineStr">
        <is>
          <t>A 52476-2024</t>
        </is>
      </c>
      <c r="B577" s="1" t="n">
        <v>45609</v>
      </c>
      <c r="C577" s="1" t="n">
        <v>45797</v>
      </c>
      <c r="D577" t="inlineStr">
        <is>
          <t>ÖREBRO LÄN</t>
        </is>
      </c>
      <c r="E577" t="inlineStr">
        <is>
          <t>ÖREBRO</t>
        </is>
      </c>
      <c r="G577" t="n">
        <v>8.699999999999999</v>
      </c>
      <c r="H577" t="n">
        <v>1</v>
      </c>
      <c r="I577" t="n">
        <v>0</v>
      </c>
      <c r="J577" t="n">
        <v>1</v>
      </c>
      <c r="K577" t="n">
        <v>0</v>
      </c>
      <c r="L577" t="n">
        <v>0</v>
      </c>
      <c r="M577" t="n">
        <v>0</v>
      </c>
      <c r="N577" t="n">
        <v>0</v>
      </c>
      <c r="O577" t="n">
        <v>1</v>
      </c>
      <c r="P577" t="n">
        <v>0</v>
      </c>
      <c r="Q577" t="n">
        <v>1</v>
      </c>
      <c r="R577" s="2" t="inlineStr">
        <is>
          <t>Spillkråka</t>
        </is>
      </c>
      <c r="S577">
        <f>HYPERLINK("https://klasma.github.io/Logging_1880/artfynd/A 52476-2024 artfynd.xlsx", "A 52476-2024")</f>
        <v/>
      </c>
      <c r="T577">
        <f>HYPERLINK("https://klasma.github.io/Logging_1880/kartor/A 52476-2024 karta.png", "A 52476-2024")</f>
        <v/>
      </c>
      <c r="V577">
        <f>HYPERLINK("https://klasma.github.io/Logging_1880/klagomål/A 52476-2024 FSC-klagomål.docx", "A 52476-2024")</f>
        <v/>
      </c>
      <c r="W577">
        <f>HYPERLINK("https://klasma.github.io/Logging_1880/klagomålsmail/A 52476-2024 FSC-klagomål mail.docx", "A 52476-2024")</f>
        <v/>
      </c>
      <c r="X577">
        <f>HYPERLINK("https://klasma.github.io/Logging_1880/tillsyn/A 52476-2024 tillsynsbegäran.docx", "A 52476-2024")</f>
        <v/>
      </c>
      <c r="Y577">
        <f>HYPERLINK("https://klasma.github.io/Logging_1880/tillsynsmail/A 52476-2024 tillsynsbegäran mail.docx", "A 52476-2024")</f>
        <v/>
      </c>
      <c r="Z577">
        <f>HYPERLINK("https://klasma.github.io/Logging_1880/fåglar/A 52476-2024 prioriterade fågelarter.docx", "A 52476-2024")</f>
        <v/>
      </c>
    </row>
    <row r="578" ht="15" customHeight="1">
      <c r="A578" t="inlineStr">
        <is>
          <t>A 53598-2024</t>
        </is>
      </c>
      <c r="B578" s="1" t="n">
        <v>45614</v>
      </c>
      <c r="C578" s="1" t="n">
        <v>45797</v>
      </c>
      <c r="D578" t="inlineStr">
        <is>
          <t>ÖREBRO LÄN</t>
        </is>
      </c>
      <c r="E578" t="inlineStr">
        <is>
          <t>LINDESBERG</t>
        </is>
      </c>
      <c r="G578" t="n">
        <v>3.1</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53598-2024 artfynd.xlsx", "A 53598-2024")</f>
        <v/>
      </c>
      <c r="T578">
        <f>HYPERLINK("https://klasma.github.io/Logging_1885/kartor/A 53598-2024 karta.png", "A 53598-2024")</f>
        <v/>
      </c>
      <c r="V578">
        <f>HYPERLINK("https://klasma.github.io/Logging_1885/klagomål/A 53598-2024 FSC-klagomål.docx", "A 53598-2024")</f>
        <v/>
      </c>
      <c r="W578">
        <f>HYPERLINK("https://klasma.github.io/Logging_1885/klagomålsmail/A 53598-2024 FSC-klagomål mail.docx", "A 53598-2024")</f>
        <v/>
      </c>
      <c r="X578">
        <f>HYPERLINK("https://klasma.github.io/Logging_1885/tillsyn/A 53598-2024 tillsynsbegäran.docx", "A 53598-2024")</f>
        <v/>
      </c>
      <c r="Y578">
        <f>HYPERLINK("https://klasma.github.io/Logging_1885/tillsynsmail/A 53598-2024 tillsynsbegäran mail.docx", "A 53598-2024")</f>
        <v/>
      </c>
    </row>
    <row r="579" ht="15" customHeight="1">
      <c r="A579" t="inlineStr">
        <is>
          <t>A 53600-2024</t>
        </is>
      </c>
      <c r="B579" s="1" t="n">
        <v>45614</v>
      </c>
      <c r="C579" s="1" t="n">
        <v>45797</v>
      </c>
      <c r="D579" t="inlineStr">
        <is>
          <t>ÖREBRO LÄN</t>
        </is>
      </c>
      <c r="E579" t="inlineStr">
        <is>
          <t>LINDESBERG</t>
        </is>
      </c>
      <c r="G579" t="n">
        <v>2.2</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53600-2024 artfynd.xlsx", "A 53600-2024")</f>
        <v/>
      </c>
      <c r="T579">
        <f>HYPERLINK("https://klasma.github.io/Logging_1885/kartor/A 53600-2024 karta.png", "A 53600-2024")</f>
        <v/>
      </c>
      <c r="V579">
        <f>HYPERLINK("https://klasma.github.io/Logging_1885/klagomål/A 53600-2024 FSC-klagomål.docx", "A 53600-2024")</f>
        <v/>
      </c>
      <c r="W579">
        <f>HYPERLINK("https://klasma.github.io/Logging_1885/klagomålsmail/A 53600-2024 FSC-klagomål mail.docx", "A 53600-2024")</f>
        <v/>
      </c>
      <c r="X579">
        <f>HYPERLINK("https://klasma.github.io/Logging_1885/tillsyn/A 53600-2024 tillsynsbegäran.docx", "A 53600-2024")</f>
        <v/>
      </c>
      <c r="Y579">
        <f>HYPERLINK("https://klasma.github.io/Logging_1885/tillsynsmail/A 53600-2024 tillsynsbegäran mail.docx", "A 53600-2024")</f>
        <v/>
      </c>
    </row>
    <row r="580" ht="15" customHeight="1">
      <c r="A580" t="inlineStr">
        <is>
          <t>A 54857-2024</t>
        </is>
      </c>
      <c r="B580" s="1" t="n">
        <v>45618</v>
      </c>
      <c r="C580" s="1" t="n">
        <v>45797</v>
      </c>
      <c r="D580" t="inlineStr">
        <is>
          <t>ÖREBRO LÄN</t>
        </is>
      </c>
      <c r="E580" t="inlineStr">
        <is>
          <t>LINDESBERG</t>
        </is>
      </c>
      <c r="F580" t="inlineStr">
        <is>
          <t>Sveaskog</t>
        </is>
      </c>
      <c r="G580" t="n">
        <v>6.1</v>
      </c>
      <c r="H580" t="n">
        <v>0</v>
      </c>
      <c r="I580" t="n">
        <v>0</v>
      </c>
      <c r="J580" t="n">
        <v>1</v>
      </c>
      <c r="K580" t="n">
        <v>0</v>
      </c>
      <c r="L580" t="n">
        <v>0</v>
      </c>
      <c r="M580" t="n">
        <v>0</v>
      </c>
      <c r="N580" t="n">
        <v>0</v>
      </c>
      <c r="O580" t="n">
        <v>1</v>
      </c>
      <c r="P580" t="n">
        <v>0</v>
      </c>
      <c r="Q580" t="n">
        <v>1</v>
      </c>
      <c r="R580" s="2" t="inlineStr">
        <is>
          <t>Sexfläckig bastardsvärmare</t>
        </is>
      </c>
      <c r="S580">
        <f>HYPERLINK("https://klasma.github.io/Logging_1885/artfynd/A 54857-2024 artfynd.xlsx", "A 54857-2024")</f>
        <v/>
      </c>
      <c r="T580">
        <f>HYPERLINK("https://klasma.github.io/Logging_1885/kartor/A 54857-2024 karta.png", "A 54857-2024")</f>
        <v/>
      </c>
      <c r="V580">
        <f>HYPERLINK("https://klasma.github.io/Logging_1885/klagomål/A 54857-2024 FSC-klagomål.docx", "A 54857-2024")</f>
        <v/>
      </c>
      <c r="W580">
        <f>HYPERLINK("https://klasma.github.io/Logging_1885/klagomålsmail/A 54857-2024 FSC-klagomål mail.docx", "A 54857-2024")</f>
        <v/>
      </c>
      <c r="X580">
        <f>HYPERLINK("https://klasma.github.io/Logging_1885/tillsyn/A 54857-2024 tillsynsbegäran.docx", "A 54857-2024")</f>
        <v/>
      </c>
      <c r="Y580">
        <f>HYPERLINK("https://klasma.github.io/Logging_1885/tillsynsmail/A 54857-2024 tillsynsbegäran mail.docx", "A 54857-2024")</f>
        <v/>
      </c>
    </row>
    <row r="581" ht="15" customHeight="1">
      <c r="A581" t="inlineStr">
        <is>
          <t>A 55286-2024</t>
        </is>
      </c>
      <c r="B581" s="1" t="n">
        <v>45621</v>
      </c>
      <c r="C581" s="1" t="n">
        <v>45797</v>
      </c>
      <c r="D581" t="inlineStr">
        <is>
          <t>ÖREBRO LÄN</t>
        </is>
      </c>
      <c r="E581" t="inlineStr">
        <is>
          <t>KUMLA</t>
        </is>
      </c>
      <c r="G581" t="n">
        <v>2.3</v>
      </c>
      <c r="H581" t="n">
        <v>1</v>
      </c>
      <c r="I581" t="n">
        <v>0</v>
      </c>
      <c r="J581" t="n">
        <v>1</v>
      </c>
      <c r="K581" t="n">
        <v>0</v>
      </c>
      <c r="L581" t="n">
        <v>0</v>
      </c>
      <c r="M581" t="n">
        <v>0</v>
      </c>
      <c r="N581" t="n">
        <v>0</v>
      </c>
      <c r="O581" t="n">
        <v>1</v>
      </c>
      <c r="P581" t="n">
        <v>0</v>
      </c>
      <c r="Q581" t="n">
        <v>1</v>
      </c>
      <c r="R581" s="2" t="inlineStr">
        <is>
          <t>Grönsångare</t>
        </is>
      </c>
      <c r="S581">
        <f>HYPERLINK("https://klasma.github.io/Logging_1881/artfynd/A 55286-2024 artfynd.xlsx", "A 55286-2024")</f>
        <v/>
      </c>
      <c r="T581">
        <f>HYPERLINK("https://klasma.github.io/Logging_1881/kartor/A 55286-2024 karta.png", "A 55286-2024")</f>
        <v/>
      </c>
      <c r="V581">
        <f>HYPERLINK("https://klasma.github.io/Logging_1881/klagomål/A 55286-2024 FSC-klagomål.docx", "A 55286-2024")</f>
        <v/>
      </c>
      <c r="W581">
        <f>HYPERLINK("https://klasma.github.io/Logging_1881/klagomålsmail/A 55286-2024 FSC-klagomål mail.docx", "A 55286-2024")</f>
        <v/>
      </c>
      <c r="X581">
        <f>HYPERLINK("https://klasma.github.io/Logging_1881/tillsyn/A 55286-2024 tillsynsbegäran.docx", "A 55286-2024")</f>
        <v/>
      </c>
      <c r="Y581">
        <f>HYPERLINK("https://klasma.github.io/Logging_1881/tillsynsmail/A 55286-2024 tillsynsbegäran mail.docx", "A 55286-2024")</f>
        <v/>
      </c>
      <c r="Z581">
        <f>HYPERLINK("https://klasma.github.io/Logging_1881/fåglar/A 55286-2024 prioriterade fågelarter.docx", "A 55286-2024")</f>
        <v/>
      </c>
    </row>
    <row r="582" ht="15" customHeight="1">
      <c r="A582" t="inlineStr">
        <is>
          <t>A 55749-2024</t>
        </is>
      </c>
      <c r="B582" s="1" t="n">
        <v>45623</v>
      </c>
      <c r="C582" s="1" t="n">
        <v>45797</v>
      </c>
      <c r="D582" t="inlineStr">
        <is>
          <t>ÖREBRO LÄN</t>
        </is>
      </c>
      <c r="E582" t="inlineStr">
        <is>
          <t>HÄLLEFORS</t>
        </is>
      </c>
      <c r="F582" t="inlineStr">
        <is>
          <t>Bergvik skog väst AB</t>
        </is>
      </c>
      <c r="G582" t="n">
        <v>2.9</v>
      </c>
      <c r="H582" t="n">
        <v>0</v>
      </c>
      <c r="I582" t="n">
        <v>0</v>
      </c>
      <c r="J582" t="n">
        <v>1</v>
      </c>
      <c r="K582" t="n">
        <v>0</v>
      </c>
      <c r="L582" t="n">
        <v>0</v>
      </c>
      <c r="M582" t="n">
        <v>0</v>
      </c>
      <c r="N582" t="n">
        <v>0</v>
      </c>
      <c r="O582" t="n">
        <v>1</v>
      </c>
      <c r="P582" t="n">
        <v>0</v>
      </c>
      <c r="Q582" t="n">
        <v>1</v>
      </c>
      <c r="R582" s="2" t="inlineStr">
        <is>
          <t>Garnlav</t>
        </is>
      </c>
      <c r="S582">
        <f>HYPERLINK("https://klasma.github.io/Logging_1863/artfynd/A 55749-2024 artfynd.xlsx", "A 55749-2024")</f>
        <v/>
      </c>
      <c r="T582">
        <f>HYPERLINK("https://klasma.github.io/Logging_1863/kartor/A 55749-2024 karta.png", "A 55749-2024")</f>
        <v/>
      </c>
      <c r="V582">
        <f>HYPERLINK("https://klasma.github.io/Logging_1863/klagomål/A 55749-2024 FSC-klagomål.docx", "A 55749-2024")</f>
        <v/>
      </c>
      <c r="W582">
        <f>HYPERLINK("https://klasma.github.io/Logging_1863/klagomålsmail/A 55749-2024 FSC-klagomål mail.docx", "A 55749-2024")</f>
        <v/>
      </c>
      <c r="X582">
        <f>HYPERLINK("https://klasma.github.io/Logging_1863/tillsyn/A 55749-2024 tillsynsbegäran.docx", "A 55749-2024")</f>
        <v/>
      </c>
      <c r="Y582">
        <f>HYPERLINK("https://klasma.github.io/Logging_1863/tillsynsmail/A 55749-2024 tillsynsbegäran mail.docx", "A 55749-2024")</f>
        <v/>
      </c>
    </row>
    <row r="583" ht="15" customHeight="1">
      <c r="A583" t="inlineStr">
        <is>
          <t>A 55805-2024</t>
        </is>
      </c>
      <c r="B583" s="1" t="n">
        <v>45623</v>
      </c>
      <c r="C583" s="1" t="n">
        <v>45797</v>
      </c>
      <c r="D583" t="inlineStr">
        <is>
          <t>ÖREBRO LÄN</t>
        </is>
      </c>
      <c r="E583" t="inlineStr">
        <is>
          <t>ÖREBRO</t>
        </is>
      </c>
      <c r="G583" t="n">
        <v>1.8</v>
      </c>
      <c r="H583" t="n">
        <v>1</v>
      </c>
      <c r="I583" t="n">
        <v>0</v>
      </c>
      <c r="J583" t="n">
        <v>0</v>
      </c>
      <c r="K583" t="n">
        <v>0</v>
      </c>
      <c r="L583" t="n">
        <v>0</v>
      </c>
      <c r="M583" t="n">
        <v>0</v>
      </c>
      <c r="N583" t="n">
        <v>0</v>
      </c>
      <c r="O583" t="n">
        <v>0</v>
      </c>
      <c r="P583" t="n">
        <v>0</v>
      </c>
      <c r="Q583" t="n">
        <v>1</v>
      </c>
      <c r="R583" s="2" t="inlineStr">
        <is>
          <t>Kungsfågel</t>
        </is>
      </c>
      <c r="S583">
        <f>HYPERLINK("https://klasma.github.io/Logging_1880/artfynd/A 55805-2024 artfynd.xlsx", "A 55805-2024")</f>
        <v/>
      </c>
      <c r="T583">
        <f>HYPERLINK("https://klasma.github.io/Logging_1880/kartor/A 55805-2024 karta.png", "A 55805-2024")</f>
        <v/>
      </c>
      <c r="V583">
        <f>HYPERLINK("https://klasma.github.io/Logging_1880/klagomål/A 55805-2024 FSC-klagomål.docx", "A 55805-2024")</f>
        <v/>
      </c>
      <c r="W583">
        <f>HYPERLINK("https://klasma.github.io/Logging_1880/klagomålsmail/A 55805-2024 FSC-klagomål mail.docx", "A 55805-2024")</f>
        <v/>
      </c>
      <c r="X583">
        <f>HYPERLINK("https://klasma.github.io/Logging_1880/tillsyn/A 55805-2024 tillsynsbegäran.docx", "A 55805-2024")</f>
        <v/>
      </c>
      <c r="Y583">
        <f>HYPERLINK("https://klasma.github.io/Logging_1880/tillsynsmail/A 55805-2024 tillsynsbegäran mail.docx", "A 55805-2024")</f>
        <v/>
      </c>
      <c r="Z583">
        <f>HYPERLINK("https://klasma.github.io/Logging_1880/fåglar/A 55805-2024 prioriterade fågelarter.docx", "A 55805-2024")</f>
        <v/>
      </c>
    </row>
    <row r="584" ht="15" customHeight="1">
      <c r="A584" t="inlineStr">
        <is>
          <t>A 55904-2024</t>
        </is>
      </c>
      <c r="B584" s="1" t="n">
        <v>45623</v>
      </c>
      <c r="C584" s="1" t="n">
        <v>45797</v>
      </c>
      <c r="D584" t="inlineStr">
        <is>
          <t>ÖREBRO LÄN</t>
        </is>
      </c>
      <c r="E584" t="inlineStr">
        <is>
          <t>ÖREBRO</t>
        </is>
      </c>
      <c r="G584" t="n">
        <v>1.2</v>
      </c>
      <c r="H584" t="n">
        <v>1</v>
      </c>
      <c r="I584" t="n">
        <v>0</v>
      </c>
      <c r="J584" t="n">
        <v>0</v>
      </c>
      <c r="K584" t="n">
        <v>0</v>
      </c>
      <c r="L584" t="n">
        <v>0</v>
      </c>
      <c r="M584" t="n">
        <v>0</v>
      </c>
      <c r="N584" t="n">
        <v>0</v>
      </c>
      <c r="O584" t="n">
        <v>0</v>
      </c>
      <c r="P584" t="n">
        <v>0</v>
      </c>
      <c r="Q584" t="n">
        <v>1</v>
      </c>
      <c r="R584" s="2" t="inlineStr">
        <is>
          <t>Trana</t>
        </is>
      </c>
      <c r="S584">
        <f>HYPERLINK("https://klasma.github.io/Logging_1880/artfynd/A 55904-2024 artfynd.xlsx", "A 55904-2024")</f>
        <v/>
      </c>
      <c r="T584">
        <f>HYPERLINK("https://klasma.github.io/Logging_1880/kartor/A 55904-2024 karta.png", "A 55904-2024")</f>
        <v/>
      </c>
      <c r="V584">
        <f>HYPERLINK("https://klasma.github.io/Logging_1880/klagomål/A 55904-2024 FSC-klagomål.docx", "A 55904-2024")</f>
        <v/>
      </c>
      <c r="W584">
        <f>HYPERLINK("https://klasma.github.io/Logging_1880/klagomålsmail/A 55904-2024 FSC-klagomål mail.docx", "A 55904-2024")</f>
        <v/>
      </c>
      <c r="X584">
        <f>HYPERLINK("https://klasma.github.io/Logging_1880/tillsyn/A 55904-2024 tillsynsbegäran.docx", "A 55904-2024")</f>
        <v/>
      </c>
      <c r="Y584">
        <f>HYPERLINK("https://klasma.github.io/Logging_1880/tillsynsmail/A 55904-2024 tillsynsbegäran mail.docx", "A 55904-2024")</f>
        <v/>
      </c>
      <c r="Z584">
        <f>HYPERLINK("https://klasma.github.io/Logging_1880/fåglar/A 55904-2024 prioriterade fågelarter.docx", "A 55904-2024")</f>
        <v/>
      </c>
    </row>
    <row r="585" ht="15" customHeight="1">
      <c r="A585" t="inlineStr">
        <is>
          <t>A 56179-2024</t>
        </is>
      </c>
      <c r="B585" s="1" t="n">
        <v>45623</v>
      </c>
      <c r="C585" s="1" t="n">
        <v>45797</v>
      </c>
      <c r="D585" t="inlineStr">
        <is>
          <t>ÖREBRO LÄN</t>
        </is>
      </c>
      <c r="E585" t="inlineStr">
        <is>
          <t>LJUSNARSBERG</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HYPERLINK("https://klasma.github.io/Logging_1864/artfynd/A 56179-2024 artfynd.xlsx", "A 56179-2024")</f>
        <v/>
      </c>
      <c r="T585">
        <f>HYPERLINK("https://klasma.github.io/Logging_1864/kartor/A 56179-2024 karta.png", "A 56179-2024")</f>
        <v/>
      </c>
      <c r="V585">
        <f>HYPERLINK("https://klasma.github.io/Logging_1864/klagomål/A 56179-2024 FSC-klagomål.docx", "A 56179-2024")</f>
        <v/>
      </c>
      <c r="W585">
        <f>HYPERLINK("https://klasma.github.io/Logging_1864/klagomålsmail/A 56179-2024 FSC-klagomål mail.docx", "A 56179-2024")</f>
        <v/>
      </c>
      <c r="X585">
        <f>HYPERLINK("https://klasma.github.io/Logging_1864/tillsyn/A 56179-2024 tillsynsbegäran.docx", "A 56179-2024")</f>
        <v/>
      </c>
      <c r="Y585">
        <f>HYPERLINK("https://klasma.github.io/Logging_1864/tillsynsmail/A 56179-2024 tillsynsbegäran mail.docx", "A 56179-2024")</f>
        <v/>
      </c>
    </row>
    <row r="586" ht="15" customHeight="1">
      <c r="A586" t="inlineStr">
        <is>
          <t>A 57427-2024</t>
        </is>
      </c>
      <c r="B586" s="1" t="n">
        <v>45629</v>
      </c>
      <c r="C586" s="1" t="n">
        <v>45797</v>
      </c>
      <c r="D586" t="inlineStr">
        <is>
          <t>ÖREBRO LÄN</t>
        </is>
      </c>
      <c r="E586" t="inlineStr">
        <is>
          <t>ASKERSUND</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HYPERLINK("https://klasma.github.io/Logging_1882/artfynd/A 57427-2024 artfynd.xlsx", "A 57427-2024")</f>
        <v/>
      </c>
      <c r="T586">
        <f>HYPERLINK("https://klasma.github.io/Logging_1882/kartor/A 57427-2024 karta.png", "A 57427-2024")</f>
        <v/>
      </c>
      <c r="V586">
        <f>HYPERLINK("https://klasma.github.io/Logging_1882/klagomål/A 57427-2024 FSC-klagomål.docx", "A 57427-2024")</f>
        <v/>
      </c>
      <c r="W586">
        <f>HYPERLINK("https://klasma.github.io/Logging_1882/klagomålsmail/A 57427-2024 FSC-klagomål mail.docx", "A 57427-2024")</f>
        <v/>
      </c>
      <c r="X586">
        <f>HYPERLINK("https://klasma.github.io/Logging_1882/tillsyn/A 57427-2024 tillsynsbegäran.docx", "A 57427-2024")</f>
        <v/>
      </c>
      <c r="Y586">
        <f>HYPERLINK("https://klasma.github.io/Logging_1882/tillsynsmail/A 57427-2024 tillsynsbegäran mail.docx", "A 57427-2024")</f>
        <v/>
      </c>
    </row>
    <row r="587" ht="15" customHeight="1">
      <c r="A587" t="inlineStr">
        <is>
          <t>A 57837-2024</t>
        </is>
      </c>
      <c r="B587" s="1" t="n">
        <v>45631</v>
      </c>
      <c r="C587" s="1" t="n">
        <v>45797</v>
      </c>
      <c r="D587" t="inlineStr">
        <is>
          <t>ÖREBRO LÄN</t>
        </is>
      </c>
      <c r="E587" t="inlineStr">
        <is>
          <t>ÖREBRO</t>
        </is>
      </c>
      <c r="G587" t="n">
        <v>3.9</v>
      </c>
      <c r="H587" t="n">
        <v>1</v>
      </c>
      <c r="I587" t="n">
        <v>0</v>
      </c>
      <c r="J587" t="n">
        <v>1</v>
      </c>
      <c r="K587" t="n">
        <v>0</v>
      </c>
      <c r="L587" t="n">
        <v>0</v>
      </c>
      <c r="M587" t="n">
        <v>0</v>
      </c>
      <c r="N587" t="n">
        <v>0</v>
      </c>
      <c r="O587" t="n">
        <v>1</v>
      </c>
      <c r="P587" t="n">
        <v>0</v>
      </c>
      <c r="Q587" t="n">
        <v>1</v>
      </c>
      <c r="R587" s="2" t="inlineStr">
        <is>
          <t>Duvhök</t>
        </is>
      </c>
      <c r="S587">
        <f>HYPERLINK("https://klasma.github.io/Logging_1880/artfynd/A 57837-2024 artfynd.xlsx", "A 57837-2024")</f>
        <v/>
      </c>
      <c r="T587">
        <f>HYPERLINK("https://klasma.github.io/Logging_1880/kartor/A 57837-2024 karta.png", "A 57837-2024")</f>
        <v/>
      </c>
      <c r="V587">
        <f>HYPERLINK("https://klasma.github.io/Logging_1880/klagomål/A 57837-2024 FSC-klagomål.docx", "A 57837-2024")</f>
        <v/>
      </c>
      <c r="W587">
        <f>HYPERLINK("https://klasma.github.io/Logging_1880/klagomålsmail/A 57837-2024 FSC-klagomål mail.docx", "A 57837-2024")</f>
        <v/>
      </c>
      <c r="X587">
        <f>HYPERLINK("https://klasma.github.io/Logging_1880/tillsyn/A 57837-2024 tillsynsbegäran.docx", "A 57837-2024")</f>
        <v/>
      </c>
      <c r="Y587">
        <f>HYPERLINK("https://klasma.github.io/Logging_1880/tillsynsmail/A 57837-2024 tillsynsbegäran mail.docx", "A 57837-2024")</f>
        <v/>
      </c>
      <c r="Z587">
        <f>HYPERLINK("https://klasma.github.io/Logging_1880/fåglar/A 57837-2024 prioriterade fågelarter.docx", "A 57837-2024")</f>
        <v/>
      </c>
    </row>
    <row r="588" ht="15" customHeight="1">
      <c r="A588" t="inlineStr">
        <is>
          <t>A 57920-2024</t>
        </is>
      </c>
      <c r="B588" s="1" t="n">
        <v>45631</v>
      </c>
      <c r="C588" s="1" t="n">
        <v>45797</v>
      </c>
      <c r="D588" t="inlineStr">
        <is>
          <t>ÖREBRO LÄN</t>
        </is>
      </c>
      <c r="E588" t="inlineStr">
        <is>
          <t>ÖREBRO</t>
        </is>
      </c>
      <c r="G588" t="n">
        <v>2.3</v>
      </c>
      <c r="H588" t="n">
        <v>1</v>
      </c>
      <c r="I588" t="n">
        <v>0</v>
      </c>
      <c r="J588" t="n">
        <v>0</v>
      </c>
      <c r="K588" t="n">
        <v>0</v>
      </c>
      <c r="L588" t="n">
        <v>0</v>
      </c>
      <c r="M588" t="n">
        <v>0</v>
      </c>
      <c r="N588" t="n">
        <v>0</v>
      </c>
      <c r="O588" t="n">
        <v>0</v>
      </c>
      <c r="P588" t="n">
        <v>0</v>
      </c>
      <c r="Q588" t="n">
        <v>1</v>
      </c>
      <c r="R588" s="2" t="inlineStr">
        <is>
          <t>Kungsfågel</t>
        </is>
      </c>
      <c r="S588">
        <f>HYPERLINK("https://klasma.github.io/Logging_1880/artfynd/A 57920-2024 artfynd.xlsx", "A 57920-2024")</f>
        <v/>
      </c>
      <c r="T588">
        <f>HYPERLINK("https://klasma.github.io/Logging_1880/kartor/A 57920-2024 karta.png", "A 57920-2024")</f>
        <v/>
      </c>
      <c r="V588">
        <f>HYPERLINK("https://klasma.github.io/Logging_1880/klagomål/A 57920-2024 FSC-klagomål.docx", "A 57920-2024")</f>
        <v/>
      </c>
      <c r="W588">
        <f>HYPERLINK("https://klasma.github.io/Logging_1880/klagomålsmail/A 57920-2024 FSC-klagomål mail.docx", "A 57920-2024")</f>
        <v/>
      </c>
      <c r="X588">
        <f>HYPERLINK("https://klasma.github.io/Logging_1880/tillsyn/A 57920-2024 tillsynsbegäran.docx", "A 57920-2024")</f>
        <v/>
      </c>
      <c r="Y588">
        <f>HYPERLINK("https://klasma.github.io/Logging_1880/tillsynsmail/A 57920-2024 tillsynsbegäran mail.docx", "A 57920-2024")</f>
        <v/>
      </c>
      <c r="Z588">
        <f>HYPERLINK("https://klasma.github.io/Logging_1880/fåglar/A 57920-2024 prioriterade fågelarter.docx", "A 57920-2024")</f>
        <v/>
      </c>
    </row>
    <row r="589" ht="15" customHeight="1">
      <c r="A589" t="inlineStr">
        <is>
          <t>A 61129-2024</t>
        </is>
      </c>
      <c r="B589" s="1" t="n">
        <v>45645</v>
      </c>
      <c r="C589" s="1" t="n">
        <v>45797</v>
      </c>
      <c r="D589" t="inlineStr">
        <is>
          <t>ÖREBRO LÄN</t>
        </is>
      </c>
      <c r="E589" t="inlineStr">
        <is>
          <t>LINDESBERG</t>
        </is>
      </c>
      <c r="F589" t="inlineStr">
        <is>
          <t>Sveaskog</t>
        </is>
      </c>
      <c r="G589" t="n">
        <v>6.6</v>
      </c>
      <c r="H589" t="n">
        <v>1</v>
      </c>
      <c r="I589" t="n">
        <v>0</v>
      </c>
      <c r="J589" t="n">
        <v>1</v>
      </c>
      <c r="K589" t="n">
        <v>0</v>
      </c>
      <c r="L589" t="n">
        <v>0</v>
      </c>
      <c r="M589" t="n">
        <v>0</v>
      </c>
      <c r="N589" t="n">
        <v>0</v>
      </c>
      <c r="O589" t="n">
        <v>1</v>
      </c>
      <c r="P589" t="n">
        <v>0</v>
      </c>
      <c r="Q589" t="n">
        <v>1</v>
      </c>
      <c r="R589" s="2" t="inlineStr">
        <is>
          <t>Tretåig hackspett</t>
        </is>
      </c>
      <c r="S589">
        <f>HYPERLINK("https://klasma.github.io/Logging_1885/artfynd/A 61129-2024 artfynd.xlsx", "A 61129-2024")</f>
        <v/>
      </c>
      <c r="T589">
        <f>HYPERLINK("https://klasma.github.io/Logging_1885/kartor/A 61129-2024 karta.png", "A 61129-2024")</f>
        <v/>
      </c>
      <c r="V589">
        <f>HYPERLINK("https://klasma.github.io/Logging_1885/klagomål/A 61129-2024 FSC-klagomål.docx", "A 61129-2024")</f>
        <v/>
      </c>
      <c r="W589">
        <f>HYPERLINK("https://klasma.github.io/Logging_1885/klagomålsmail/A 61129-2024 FSC-klagomål mail.docx", "A 61129-2024")</f>
        <v/>
      </c>
      <c r="X589">
        <f>HYPERLINK("https://klasma.github.io/Logging_1885/tillsyn/A 61129-2024 tillsynsbegäran.docx", "A 61129-2024")</f>
        <v/>
      </c>
      <c r="Y589">
        <f>HYPERLINK("https://klasma.github.io/Logging_1885/tillsynsmail/A 61129-2024 tillsynsbegäran mail.docx", "A 61129-2024")</f>
        <v/>
      </c>
      <c r="Z589">
        <f>HYPERLINK("https://klasma.github.io/Logging_1885/fåglar/A 61129-2024 prioriterade fågelarter.docx", "A 61129-2024")</f>
        <v/>
      </c>
    </row>
    <row r="590" ht="15" customHeight="1">
      <c r="A590" t="inlineStr">
        <is>
          <t>A 61132-2024</t>
        </is>
      </c>
      <c r="B590" s="1" t="n">
        <v>45645</v>
      </c>
      <c r="C590" s="1" t="n">
        <v>45797</v>
      </c>
      <c r="D590" t="inlineStr">
        <is>
          <t>ÖREBRO LÄN</t>
        </is>
      </c>
      <c r="E590" t="inlineStr">
        <is>
          <t>LINDESBERG</t>
        </is>
      </c>
      <c r="F590" t="inlineStr">
        <is>
          <t>Sveaskog</t>
        </is>
      </c>
      <c r="G590" t="n">
        <v>2.5</v>
      </c>
      <c r="H590" t="n">
        <v>0</v>
      </c>
      <c r="I590" t="n">
        <v>1</v>
      </c>
      <c r="J590" t="n">
        <v>0</v>
      </c>
      <c r="K590" t="n">
        <v>0</v>
      </c>
      <c r="L590" t="n">
        <v>0</v>
      </c>
      <c r="M590" t="n">
        <v>0</v>
      </c>
      <c r="N590" t="n">
        <v>0</v>
      </c>
      <c r="O590" t="n">
        <v>0</v>
      </c>
      <c r="P590" t="n">
        <v>0</v>
      </c>
      <c r="Q590" t="n">
        <v>1</v>
      </c>
      <c r="R590" s="2" t="inlineStr">
        <is>
          <t>Bollvitmossa</t>
        </is>
      </c>
      <c r="S590">
        <f>HYPERLINK("https://klasma.github.io/Logging_1885/artfynd/A 61132-2024 artfynd.xlsx", "A 61132-2024")</f>
        <v/>
      </c>
      <c r="T590">
        <f>HYPERLINK("https://klasma.github.io/Logging_1885/kartor/A 61132-2024 karta.png", "A 61132-2024")</f>
        <v/>
      </c>
      <c r="V590">
        <f>HYPERLINK("https://klasma.github.io/Logging_1885/klagomål/A 61132-2024 FSC-klagomål.docx", "A 61132-2024")</f>
        <v/>
      </c>
      <c r="W590">
        <f>HYPERLINK("https://klasma.github.io/Logging_1885/klagomålsmail/A 61132-2024 FSC-klagomål mail.docx", "A 61132-2024")</f>
        <v/>
      </c>
      <c r="X590">
        <f>HYPERLINK("https://klasma.github.io/Logging_1885/tillsyn/A 61132-2024 tillsynsbegäran.docx", "A 61132-2024")</f>
        <v/>
      </c>
      <c r="Y590">
        <f>HYPERLINK("https://klasma.github.io/Logging_1885/tillsynsmail/A 61132-2024 tillsynsbegäran mail.docx", "A 61132-2024")</f>
        <v/>
      </c>
    </row>
    <row r="591" ht="15" customHeight="1">
      <c r="A591" t="inlineStr">
        <is>
          <t>A 62084-2024</t>
        </is>
      </c>
      <c r="B591" s="1" t="n">
        <v>45656</v>
      </c>
      <c r="C591" s="1" t="n">
        <v>45797</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62084-2024 artfynd.xlsx", "A 62084-2024")</f>
        <v/>
      </c>
      <c r="T591">
        <f>HYPERLINK("https://klasma.github.io/Logging_1882/kartor/A 62084-2024 karta.png", "A 62084-2024")</f>
        <v/>
      </c>
      <c r="V591">
        <f>HYPERLINK("https://klasma.github.io/Logging_1882/klagomål/A 62084-2024 FSC-klagomål.docx", "A 62084-2024")</f>
        <v/>
      </c>
      <c r="W591">
        <f>HYPERLINK("https://klasma.github.io/Logging_1882/klagomålsmail/A 62084-2024 FSC-klagomål mail.docx", "A 62084-2024")</f>
        <v/>
      </c>
      <c r="X591">
        <f>HYPERLINK("https://klasma.github.io/Logging_1882/tillsyn/A 62084-2024 tillsynsbegäran.docx", "A 62084-2024")</f>
        <v/>
      </c>
      <c r="Y591">
        <f>HYPERLINK("https://klasma.github.io/Logging_1882/tillsynsmail/A 62084-2024 tillsynsbegäran mail.docx", "A 62084-2024")</f>
        <v/>
      </c>
    </row>
    <row r="592" ht="15" customHeight="1">
      <c r="A592" t="inlineStr">
        <is>
          <t>A 290-2025</t>
        </is>
      </c>
      <c r="B592" s="1" t="n">
        <v>45656</v>
      </c>
      <c r="C592" s="1" t="n">
        <v>45797</v>
      </c>
      <c r="D592" t="inlineStr">
        <is>
          <t>ÖREBRO LÄN</t>
        </is>
      </c>
      <c r="E592" t="inlineStr">
        <is>
          <t>LEKEBERG</t>
        </is>
      </c>
      <c r="G592" t="n">
        <v>3.9</v>
      </c>
      <c r="H592" t="n">
        <v>0</v>
      </c>
      <c r="I592" t="n">
        <v>1</v>
      </c>
      <c r="J592" t="n">
        <v>0</v>
      </c>
      <c r="K592" t="n">
        <v>0</v>
      </c>
      <c r="L592" t="n">
        <v>0</v>
      </c>
      <c r="M592" t="n">
        <v>0</v>
      </c>
      <c r="N592" t="n">
        <v>0</v>
      </c>
      <c r="O592" t="n">
        <v>0</v>
      </c>
      <c r="P592" t="n">
        <v>0</v>
      </c>
      <c r="Q592" t="n">
        <v>1</v>
      </c>
      <c r="R592" s="2" t="inlineStr">
        <is>
          <t>Brandticka</t>
        </is>
      </c>
      <c r="S592">
        <f>HYPERLINK("https://klasma.github.io/Logging_1814/artfynd/A 290-2025 artfynd.xlsx", "A 290-2025")</f>
        <v/>
      </c>
      <c r="T592">
        <f>HYPERLINK("https://klasma.github.io/Logging_1814/kartor/A 290-2025 karta.png", "A 290-2025")</f>
        <v/>
      </c>
      <c r="V592">
        <f>HYPERLINK("https://klasma.github.io/Logging_1814/klagomål/A 290-2025 FSC-klagomål.docx", "A 290-2025")</f>
        <v/>
      </c>
      <c r="W592">
        <f>HYPERLINK("https://klasma.github.io/Logging_1814/klagomålsmail/A 290-2025 FSC-klagomål mail.docx", "A 290-2025")</f>
        <v/>
      </c>
      <c r="X592">
        <f>HYPERLINK("https://klasma.github.io/Logging_1814/tillsyn/A 290-2025 tillsynsbegäran.docx", "A 290-2025")</f>
        <v/>
      </c>
      <c r="Y592">
        <f>HYPERLINK("https://klasma.github.io/Logging_1814/tillsynsmail/A 290-2025 tillsynsbegäran mail.docx", "A 290-2025")</f>
        <v/>
      </c>
    </row>
    <row r="593" ht="15" customHeight="1">
      <c r="A593" t="inlineStr">
        <is>
          <t>A 62086-2024</t>
        </is>
      </c>
      <c r="B593" s="1" t="n">
        <v>45656</v>
      </c>
      <c r="C593" s="1" t="n">
        <v>45797</v>
      </c>
      <c r="D593" t="inlineStr">
        <is>
          <t>ÖREBRO LÄN</t>
        </is>
      </c>
      <c r="E593" t="inlineStr">
        <is>
          <t>ASKERSUND</t>
        </is>
      </c>
      <c r="G593" t="n">
        <v>0.8</v>
      </c>
      <c r="H593" t="n">
        <v>0</v>
      </c>
      <c r="I593" t="n">
        <v>1</v>
      </c>
      <c r="J593" t="n">
        <v>0</v>
      </c>
      <c r="K593" t="n">
        <v>0</v>
      </c>
      <c r="L593" t="n">
        <v>0</v>
      </c>
      <c r="M593" t="n">
        <v>0</v>
      </c>
      <c r="N593" t="n">
        <v>0</v>
      </c>
      <c r="O593" t="n">
        <v>0</v>
      </c>
      <c r="P593" t="n">
        <v>0</v>
      </c>
      <c r="Q593" t="n">
        <v>1</v>
      </c>
      <c r="R593" s="2" t="inlineStr">
        <is>
          <t>Ängsvaxskivling</t>
        </is>
      </c>
      <c r="S593">
        <f>HYPERLINK("https://klasma.github.io/Logging_1882/artfynd/A 62086-2024 artfynd.xlsx", "A 62086-2024")</f>
        <v/>
      </c>
      <c r="T593">
        <f>HYPERLINK("https://klasma.github.io/Logging_1882/kartor/A 62086-2024 karta.png", "A 62086-2024")</f>
        <v/>
      </c>
      <c r="V593">
        <f>HYPERLINK("https://klasma.github.io/Logging_1882/klagomål/A 62086-2024 FSC-klagomål.docx", "A 62086-2024")</f>
        <v/>
      </c>
      <c r="W593">
        <f>HYPERLINK("https://klasma.github.io/Logging_1882/klagomålsmail/A 62086-2024 FSC-klagomål mail.docx", "A 62086-2024")</f>
        <v/>
      </c>
      <c r="X593">
        <f>HYPERLINK("https://klasma.github.io/Logging_1882/tillsyn/A 62086-2024 tillsynsbegäran.docx", "A 62086-2024")</f>
        <v/>
      </c>
      <c r="Y593">
        <f>HYPERLINK("https://klasma.github.io/Logging_1882/tillsynsmail/A 62086-2024 tillsynsbegäran mail.docx", "A 62086-2024")</f>
        <v/>
      </c>
    </row>
    <row r="594" ht="15" customHeight="1">
      <c r="A594" t="inlineStr">
        <is>
          <t>A 368-2025</t>
        </is>
      </c>
      <c r="B594" s="1" t="n">
        <v>45661</v>
      </c>
      <c r="C594" s="1" t="n">
        <v>45797</v>
      </c>
      <c r="D594" t="inlineStr">
        <is>
          <t>ÖREBRO LÄN</t>
        </is>
      </c>
      <c r="E594" t="inlineStr">
        <is>
          <t>KARLSKOGA</t>
        </is>
      </c>
      <c r="G594" t="n">
        <v>2.2</v>
      </c>
      <c r="H594" t="n">
        <v>0</v>
      </c>
      <c r="I594" t="n">
        <v>1</v>
      </c>
      <c r="J594" t="n">
        <v>0</v>
      </c>
      <c r="K594" t="n">
        <v>0</v>
      </c>
      <c r="L594" t="n">
        <v>0</v>
      </c>
      <c r="M594" t="n">
        <v>0</v>
      </c>
      <c r="N594" t="n">
        <v>0</v>
      </c>
      <c r="O594" t="n">
        <v>0</v>
      </c>
      <c r="P594" t="n">
        <v>0</v>
      </c>
      <c r="Q594" t="n">
        <v>1</v>
      </c>
      <c r="R594" s="2" t="inlineStr">
        <is>
          <t>Stor aspticka</t>
        </is>
      </c>
      <c r="S594">
        <f>HYPERLINK("https://klasma.github.io/Logging_1883/artfynd/A 368-2025 artfynd.xlsx", "A 368-2025")</f>
        <v/>
      </c>
      <c r="T594">
        <f>HYPERLINK("https://klasma.github.io/Logging_1883/kartor/A 368-2025 karta.png", "A 368-2025")</f>
        <v/>
      </c>
      <c r="V594">
        <f>HYPERLINK("https://klasma.github.io/Logging_1883/klagomål/A 368-2025 FSC-klagomål.docx", "A 368-2025")</f>
        <v/>
      </c>
      <c r="W594">
        <f>HYPERLINK("https://klasma.github.io/Logging_1883/klagomålsmail/A 368-2025 FSC-klagomål mail.docx", "A 368-2025")</f>
        <v/>
      </c>
      <c r="X594">
        <f>HYPERLINK("https://klasma.github.io/Logging_1883/tillsyn/A 368-2025 tillsynsbegäran.docx", "A 368-2025")</f>
        <v/>
      </c>
      <c r="Y594">
        <f>HYPERLINK("https://klasma.github.io/Logging_1883/tillsynsmail/A 368-2025 tillsynsbegäran mail.docx", "A 368-2025")</f>
        <v/>
      </c>
    </row>
    <row r="595" ht="15" customHeight="1">
      <c r="A595" t="inlineStr">
        <is>
          <t>A 421-2025</t>
        </is>
      </c>
      <c r="B595" s="1" t="n">
        <v>45663</v>
      </c>
      <c r="C595" s="1" t="n">
        <v>45797</v>
      </c>
      <c r="D595" t="inlineStr">
        <is>
          <t>ÖREBRO LÄN</t>
        </is>
      </c>
      <c r="E595" t="inlineStr">
        <is>
          <t>HÄLLEFORS</t>
        </is>
      </c>
      <c r="F595" t="inlineStr">
        <is>
          <t>Bergvik skog väst AB</t>
        </is>
      </c>
      <c r="G595" t="n">
        <v>13.3</v>
      </c>
      <c r="H595" t="n">
        <v>0</v>
      </c>
      <c r="I595" t="n">
        <v>1</v>
      </c>
      <c r="J595" t="n">
        <v>0</v>
      </c>
      <c r="K595" t="n">
        <v>0</v>
      </c>
      <c r="L595" t="n">
        <v>0</v>
      </c>
      <c r="M595" t="n">
        <v>0</v>
      </c>
      <c r="N595" t="n">
        <v>0</v>
      </c>
      <c r="O595" t="n">
        <v>0</v>
      </c>
      <c r="P595" t="n">
        <v>0</v>
      </c>
      <c r="Q595" t="n">
        <v>1</v>
      </c>
      <c r="R595" s="2" t="inlineStr">
        <is>
          <t>Blek stjärnmossa</t>
        </is>
      </c>
      <c r="S595">
        <f>HYPERLINK("https://klasma.github.io/Logging_1863/artfynd/A 421-2025 artfynd.xlsx", "A 421-2025")</f>
        <v/>
      </c>
      <c r="T595">
        <f>HYPERLINK("https://klasma.github.io/Logging_1863/kartor/A 421-2025 karta.png", "A 421-2025")</f>
        <v/>
      </c>
      <c r="V595">
        <f>HYPERLINK("https://klasma.github.io/Logging_1863/klagomål/A 421-2025 FSC-klagomål.docx", "A 421-2025")</f>
        <v/>
      </c>
      <c r="W595">
        <f>HYPERLINK("https://klasma.github.io/Logging_1863/klagomålsmail/A 421-2025 FSC-klagomål mail.docx", "A 421-2025")</f>
        <v/>
      </c>
      <c r="X595">
        <f>HYPERLINK("https://klasma.github.io/Logging_1863/tillsyn/A 421-2025 tillsynsbegäran.docx", "A 421-2025")</f>
        <v/>
      </c>
      <c r="Y595">
        <f>HYPERLINK("https://klasma.github.io/Logging_1863/tillsynsmail/A 421-2025 tillsynsbegäran mail.docx", "A 421-2025")</f>
        <v/>
      </c>
    </row>
    <row r="596" ht="15" customHeight="1">
      <c r="A596" t="inlineStr">
        <is>
          <t>A 1520-2025</t>
        </is>
      </c>
      <c r="B596" s="1" t="n">
        <v>45670</v>
      </c>
      <c r="C596" s="1" t="n">
        <v>45797</v>
      </c>
      <c r="D596" t="inlineStr">
        <is>
          <t>ÖREBRO LÄN</t>
        </is>
      </c>
      <c r="E596" t="inlineStr">
        <is>
          <t>NORA</t>
        </is>
      </c>
      <c r="G596" t="n">
        <v>5.9</v>
      </c>
      <c r="H596" t="n">
        <v>0</v>
      </c>
      <c r="I596" t="n">
        <v>0</v>
      </c>
      <c r="J596" t="n">
        <v>1</v>
      </c>
      <c r="K596" t="n">
        <v>0</v>
      </c>
      <c r="L596" t="n">
        <v>0</v>
      </c>
      <c r="M596" t="n">
        <v>0</v>
      </c>
      <c r="N596" t="n">
        <v>0</v>
      </c>
      <c r="O596" t="n">
        <v>1</v>
      </c>
      <c r="P596" t="n">
        <v>0</v>
      </c>
      <c r="Q596" t="n">
        <v>1</v>
      </c>
      <c r="R596" s="2" t="inlineStr">
        <is>
          <t>Svinrot</t>
        </is>
      </c>
      <c r="S596">
        <f>HYPERLINK("https://klasma.github.io/Logging_1884/artfynd/A 1520-2025 artfynd.xlsx", "A 1520-2025")</f>
        <v/>
      </c>
      <c r="T596">
        <f>HYPERLINK("https://klasma.github.io/Logging_1884/kartor/A 1520-2025 karta.png", "A 1520-2025")</f>
        <v/>
      </c>
      <c r="V596">
        <f>HYPERLINK("https://klasma.github.io/Logging_1884/klagomål/A 1520-2025 FSC-klagomål.docx", "A 1520-2025")</f>
        <v/>
      </c>
      <c r="W596">
        <f>HYPERLINK("https://klasma.github.io/Logging_1884/klagomålsmail/A 1520-2025 FSC-klagomål mail.docx", "A 1520-2025")</f>
        <v/>
      </c>
      <c r="X596">
        <f>HYPERLINK("https://klasma.github.io/Logging_1884/tillsyn/A 1520-2025 tillsynsbegäran.docx", "A 1520-2025")</f>
        <v/>
      </c>
      <c r="Y596">
        <f>HYPERLINK("https://klasma.github.io/Logging_1884/tillsynsmail/A 1520-2025 tillsynsbegäran mail.docx", "A 1520-2025")</f>
        <v/>
      </c>
    </row>
    <row r="597" ht="15" customHeight="1">
      <c r="A597" t="inlineStr">
        <is>
          <t>A 1585-2025</t>
        </is>
      </c>
      <c r="B597" s="1" t="n">
        <v>45670</v>
      </c>
      <c r="C597" s="1" t="n">
        <v>45797</v>
      </c>
      <c r="D597" t="inlineStr">
        <is>
          <t>ÖREBRO LÄN</t>
        </is>
      </c>
      <c r="E597" t="inlineStr">
        <is>
          <t>HÄLLEFORS</t>
        </is>
      </c>
      <c r="F597" t="inlineStr">
        <is>
          <t>Sveaskog</t>
        </is>
      </c>
      <c r="G597" t="n">
        <v>2.8</v>
      </c>
      <c r="H597" t="n">
        <v>1</v>
      </c>
      <c r="I597" t="n">
        <v>0</v>
      </c>
      <c r="J597" t="n">
        <v>0</v>
      </c>
      <c r="K597" t="n">
        <v>0</v>
      </c>
      <c r="L597" t="n">
        <v>0</v>
      </c>
      <c r="M597" t="n">
        <v>0</v>
      </c>
      <c r="N597" t="n">
        <v>0</v>
      </c>
      <c r="O597" t="n">
        <v>0</v>
      </c>
      <c r="P597" t="n">
        <v>0</v>
      </c>
      <c r="Q597" t="n">
        <v>1</v>
      </c>
      <c r="R597" s="2" t="inlineStr">
        <is>
          <t>Tjäder</t>
        </is>
      </c>
      <c r="S597">
        <f>HYPERLINK("https://klasma.github.io/Logging_1863/artfynd/A 1585-2025 artfynd.xlsx", "A 1585-2025")</f>
        <v/>
      </c>
      <c r="T597">
        <f>HYPERLINK("https://klasma.github.io/Logging_1863/kartor/A 1585-2025 karta.png", "A 1585-2025")</f>
        <v/>
      </c>
      <c r="V597">
        <f>HYPERLINK("https://klasma.github.io/Logging_1863/klagomål/A 1585-2025 FSC-klagomål.docx", "A 1585-2025")</f>
        <v/>
      </c>
      <c r="W597">
        <f>HYPERLINK("https://klasma.github.io/Logging_1863/klagomålsmail/A 1585-2025 FSC-klagomål mail.docx", "A 1585-2025")</f>
        <v/>
      </c>
      <c r="X597">
        <f>HYPERLINK("https://klasma.github.io/Logging_1863/tillsyn/A 1585-2025 tillsynsbegäran.docx", "A 1585-2025")</f>
        <v/>
      </c>
      <c r="Y597">
        <f>HYPERLINK("https://klasma.github.io/Logging_1863/tillsynsmail/A 1585-2025 tillsynsbegäran mail.docx", "A 1585-2025")</f>
        <v/>
      </c>
      <c r="Z597">
        <f>HYPERLINK("https://klasma.github.io/Logging_1863/fåglar/A 1585-2025 prioriterade fågelarter.docx", "A 1585-2025")</f>
        <v/>
      </c>
    </row>
    <row r="598" ht="15" customHeight="1">
      <c r="A598" t="inlineStr">
        <is>
          <t>A 4683-2025</t>
        </is>
      </c>
      <c r="B598" s="1" t="n">
        <v>45687</v>
      </c>
      <c r="C598" s="1" t="n">
        <v>45797</v>
      </c>
      <c r="D598" t="inlineStr">
        <is>
          <t>ÖREBRO LÄN</t>
        </is>
      </c>
      <c r="E598" t="inlineStr">
        <is>
          <t>ASKERSUND</t>
        </is>
      </c>
      <c r="G598" t="n">
        <v>1.2</v>
      </c>
      <c r="H598" t="n">
        <v>1</v>
      </c>
      <c r="I598" t="n">
        <v>0</v>
      </c>
      <c r="J598" t="n">
        <v>0</v>
      </c>
      <c r="K598" t="n">
        <v>0</v>
      </c>
      <c r="L598" t="n">
        <v>0</v>
      </c>
      <c r="M598" t="n">
        <v>0</v>
      </c>
      <c r="N598" t="n">
        <v>0</v>
      </c>
      <c r="O598" t="n">
        <v>0</v>
      </c>
      <c r="P598" t="n">
        <v>0</v>
      </c>
      <c r="Q598" t="n">
        <v>1</v>
      </c>
      <c r="R598" s="2" t="inlineStr">
        <is>
          <t>Mattlummer</t>
        </is>
      </c>
      <c r="S598">
        <f>HYPERLINK("https://klasma.github.io/Logging_1882/artfynd/A 4683-2025 artfynd.xlsx", "A 4683-2025")</f>
        <v/>
      </c>
      <c r="T598">
        <f>HYPERLINK("https://klasma.github.io/Logging_1882/kartor/A 4683-2025 karta.png", "A 4683-2025")</f>
        <v/>
      </c>
      <c r="V598">
        <f>HYPERLINK("https://klasma.github.io/Logging_1882/klagomål/A 4683-2025 FSC-klagomål.docx", "A 4683-2025")</f>
        <v/>
      </c>
      <c r="W598">
        <f>HYPERLINK("https://klasma.github.io/Logging_1882/klagomålsmail/A 4683-2025 FSC-klagomål mail.docx", "A 4683-2025")</f>
        <v/>
      </c>
      <c r="X598">
        <f>HYPERLINK("https://klasma.github.io/Logging_1882/tillsyn/A 4683-2025 tillsynsbegäran.docx", "A 4683-2025")</f>
        <v/>
      </c>
      <c r="Y598">
        <f>HYPERLINK("https://klasma.github.io/Logging_1882/tillsynsmail/A 4683-2025 tillsynsbegäran mail.docx", "A 4683-2025")</f>
        <v/>
      </c>
    </row>
    <row r="599" ht="15" customHeight="1">
      <c r="A599" t="inlineStr">
        <is>
          <t>A 5244-2025</t>
        </is>
      </c>
      <c r="B599" s="1" t="n">
        <v>45692</v>
      </c>
      <c r="C599" s="1" t="n">
        <v>45797</v>
      </c>
      <c r="D599" t="inlineStr">
        <is>
          <t>ÖREBRO LÄN</t>
        </is>
      </c>
      <c r="E599" t="inlineStr">
        <is>
          <t>HÄLLEFORS</t>
        </is>
      </c>
      <c r="F599" t="inlineStr">
        <is>
          <t>Bergvik skog väst AB</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HYPERLINK("https://klasma.github.io/Logging_1863/artfynd/A 5244-2025 artfynd.xlsx", "A 5244-2025")</f>
        <v/>
      </c>
      <c r="T599">
        <f>HYPERLINK("https://klasma.github.io/Logging_1863/kartor/A 5244-2025 karta.png", "A 5244-2025")</f>
        <v/>
      </c>
      <c r="V599">
        <f>HYPERLINK("https://klasma.github.io/Logging_1863/klagomål/A 5244-2025 FSC-klagomål.docx", "A 5244-2025")</f>
        <v/>
      </c>
      <c r="W599">
        <f>HYPERLINK("https://klasma.github.io/Logging_1863/klagomålsmail/A 5244-2025 FSC-klagomål mail.docx", "A 5244-2025")</f>
        <v/>
      </c>
      <c r="X599">
        <f>HYPERLINK("https://klasma.github.io/Logging_1863/tillsyn/A 5244-2025 tillsynsbegäran.docx", "A 5244-2025")</f>
        <v/>
      </c>
      <c r="Y599">
        <f>HYPERLINK("https://klasma.github.io/Logging_1863/tillsynsmail/A 5244-2025 tillsynsbegäran mail.docx", "A 5244-2025")</f>
        <v/>
      </c>
    </row>
    <row r="600" ht="15" customHeight="1">
      <c r="A600" t="inlineStr">
        <is>
          <t>A 7470-2025</t>
        </is>
      </c>
      <c r="B600" s="1" t="n">
        <v>45705</v>
      </c>
      <c r="C600" s="1" t="n">
        <v>45797</v>
      </c>
      <c r="D600" t="inlineStr">
        <is>
          <t>ÖREBRO LÄN</t>
        </is>
      </c>
      <c r="E600" t="inlineStr">
        <is>
          <t>HALLSBERG</t>
        </is>
      </c>
      <c r="G600" t="n">
        <v>8.5</v>
      </c>
      <c r="H600" t="n">
        <v>0</v>
      </c>
      <c r="I600" t="n">
        <v>1</v>
      </c>
      <c r="J600" t="n">
        <v>0</v>
      </c>
      <c r="K600" t="n">
        <v>0</v>
      </c>
      <c r="L600" t="n">
        <v>0</v>
      </c>
      <c r="M600" t="n">
        <v>0</v>
      </c>
      <c r="N600" t="n">
        <v>0</v>
      </c>
      <c r="O600" t="n">
        <v>0</v>
      </c>
      <c r="P600" t="n">
        <v>0</v>
      </c>
      <c r="Q600" t="n">
        <v>1</v>
      </c>
      <c r="R600" s="2" t="inlineStr">
        <is>
          <t>Dropptaggsvamp</t>
        </is>
      </c>
      <c r="S600">
        <f>HYPERLINK("https://klasma.github.io/Logging_1861/artfynd/A 7470-2025 artfynd.xlsx", "A 7470-2025")</f>
        <v/>
      </c>
      <c r="T600">
        <f>HYPERLINK("https://klasma.github.io/Logging_1861/kartor/A 7470-2025 karta.png", "A 7470-2025")</f>
        <v/>
      </c>
      <c r="V600">
        <f>HYPERLINK("https://klasma.github.io/Logging_1861/klagomål/A 7470-2025 FSC-klagomål.docx", "A 7470-2025")</f>
        <v/>
      </c>
      <c r="W600">
        <f>HYPERLINK("https://klasma.github.io/Logging_1861/klagomålsmail/A 7470-2025 FSC-klagomål mail.docx", "A 7470-2025")</f>
        <v/>
      </c>
      <c r="X600">
        <f>HYPERLINK("https://klasma.github.io/Logging_1861/tillsyn/A 7470-2025 tillsynsbegäran.docx", "A 7470-2025")</f>
        <v/>
      </c>
      <c r="Y600">
        <f>HYPERLINK("https://klasma.github.io/Logging_1861/tillsynsmail/A 7470-2025 tillsynsbegäran mail.docx", "A 7470-2025")</f>
        <v/>
      </c>
    </row>
    <row r="601" ht="15" customHeight="1">
      <c r="A601" t="inlineStr">
        <is>
          <t>A 7845-2025</t>
        </is>
      </c>
      <c r="B601" s="1" t="n">
        <v>45706</v>
      </c>
      <c r="C601" s="1" t="n">
        <v>45797</v>
      </c>
      <c r="D601" t="inlineStr">
        <is>
          <t>ÖREBRO LÄN</t>
        </is>
      </c>
      <c r="E601" t="inlineStr">
        <is>
          <t>ASKERSUND</t>
        </is>
      </c>
      <c r="F601" t="inlineStr">
        <is>
          <t>Kyrkan</t>
        </is>
      </c>
      <c r="G601" t="n">
        <v>6.1</v>
      </c>
      <c r="H601" t="n">
        <v>1</v>
      </c>
      <c r="I601" t="n">
        <v>0</v>
      </c>
      <c r="J601" t="n">
        <v>0</v>
      </c>
      <c r="K601" t="n">
        <v>0</v>
      </c>
      <c r="L601" t="n">
        <v>0</v>
      </c>
      <c r="M601" t="n">
        <v>0</v>
      </c>
      <c r="N601" t="n">
        <v>0</v>
      </c>
      <c r="O601" t="n">
        <v>0</v>
      </c>
      <c r="P601" t="n">
        <v>0</v>
      </c>
      <c r="Q601" t="n">
        <v>1</v>
      </c>
      <c r="R601" s="2" t="inlineStr">
        <is>
          <t>Revlummer</t>
        </is>
      </c>
      <c r="S601">
        <f>HYPERLINK("https://klasma.github.io/Logging_1882/artfynd/A 7845-2025 artfynd.xlsx", "A 7845-2025")</f>
        <v/>
      </c>
      <c r="T601">
        <f>HYPERLINK("https://klasma.github.io/Logging_1882/kartor/A 7845-2025 karta.png", "A 7845-2025")</f>
        <v/>
      </c>
      <c r="V601">
        <f>HYPERLINK("https://klasma.github.io/Logging_1882/klagomål/A 7845-2025 FSC-klagomål.docx", "A 7845-2025")</f>
        <v/>
      </c>
      <c r="W601">
        <f>HYPERLINK("https://klasma.github.io/Logging_1882/klagomålsmail/A 7845-2025 FSC-klagomål mail.docx", "A 7845-2025")</f>
        <v/>
      </c>
      <c r="X601">
        <f>HYPERLINK("https://klasma.github.io/Logging_1882/tillsyn/A 7845-2025 tillsynsbegäran.docx", "A 7845-2025")</f>
        <v/>
      </c>
      <c r="Y601">
        <f>HYPERLINK("https://klasma.github.io/Logging_1882/tillsynsmail/A 7845-2025 tillsynsbegäran mail.docx", "A 7845-2025")</f>
        <v/>
      </c>
    </row>
    <row r="602" ht="15" customHeight="1">
      <c r="A602" t="inlineStr">
        <is>
          <t>A 8532-2025</t>
        </is>
      </c>
      <c r="B602" s="1" t="n">
        <v>45709</v>
      </c>
      <c r="C602" s="1" t="n">
        <v>45797</v>
      </c>
      <c r="D602" t="inlineStr">
        <is>
          <t>ÖREBRO LÄN</t>
        </is>
      </c>
      <c r="E602" t="inlineStr">
        <is>
          <t>LAXÅ</t>
        </is>
      </c>
      <c r="F602" t="inlineStr">
        <is>
          <t>Sveaskog</t>
        </is>
      </c>
      <c r="G602" t="n">
        <v>2.1</v>
      </c>
      <c r="H602" t="n">
        <v>1</v>
      </c>
      <c r="I602" t="n">
        <v>0</v>
      </c>
      <c r="J602" t="n">
        <v>0</v>
      </c>
      <c r="K602" t="n">
        <v>0</v>
      </c>
      <c r="L602" t="n">
        <v>0</v>
      </c>
      <c r="M602" t="n">
        <v>0</v>
      </c>
      <c r="N602" t="n">
        <v>0</v>
      </c>
      <c r="O602" t="n">
        <v>0</v>
      </c>
      <c r="P602" t="n">
        <v>0</v>
      </c>
      <c r="Q602" t="n">
        <v>1</v>
      </c>
      <c r="R602" s="2" t="inlineStr">
        <is>
          <t>Hårklomossa</t>
        </is>
      </c>
      <c r="S602">
        <f>HYPERLINK("https://klasma.github.io/Logging_1860/artfynd/A 8532-2025 artfynd.xlsx", "A 8532-2025")</f>
        <v/>
      </c>
      <c r="T602">
        <f>HYPERLINK("https://klasma.github.io/Logging_1860/kartor/A 8532-2025 karta.png", "A 8532-2025")</f>
        <v/>
      </c>
      <c r="V602">
        <f>HYPERLINK("https://klasma.github.io/Logging_1860/klagomål/A 8532-2025 FSC-klagomål.docx", "A 8532-2025")</f>
        <v/>
      </c>
      <c r="W602">
        <f>HYPERLINK("https://klasma.github.io/Logging_1860/klagomålsmail/A 8532-2025 FSC-klagomål mail.docx", "A 8532-2025")</f>
        <v/>
      </c>
      <c r="X602">
        <f>HYPERLINK("https://klasma.github.io/Logging_1860/tillsyn/A 8532-2025 tillsynsbegäran.docx", "A 8532-2025")</f>
        <v/>
      </c>
      <c r="Y602">
        <f>HYPERLINK("https://klasma.github.io/Logging_1860/tillsynsmail/A 8532-2025 tillsynsbegäran mail.docx", "A 8532-2025")</f>
        <v/>
      </c>
    </row>
    <row r="603" ht="15" customHeight="1">
      <c r="A603" t="inlineStr">
        <is>
          <t>A 8522-2025</t>
        </is>
      </c>
      <c r="B603" s="1" t="n">
        <v>45709</v>
      </c>
      <c r="C603" s="1" t="n">
        <v>45797</v>
      </c>
      <c r="D603" t="inlineStr">
        <is>
          <t>ÖREBRO LÄN</t>
        </is>
      </c>
      <c r="E603" t="inlineStr">
        <is>
          <t>LAXÅ</t>
        </is>
      </c>
      <c r="F603" t="inlineStr">
        <is>
          <t>Sveaskog</t>
        </is>
      </c>
      <c r="G603" t="n">
        <v>1.5</v>
      </c>
      <c r="H603" t="n">
        <v>1</v>
      </c>
      <c r="I603" t="n">
        <v>0</v>
      </c>
      <c r="J603" t="n">
        <v>0</v>
      </c>
      <c r="K603" t="n">
        <v>0</v>
      </c>
      <c r="L603" t="n">
        <v>0</v>
      </c>
      <c r="M603" t="n">
        <v>0</v>
      </c>
      <c r="N603" t="n">
        <v>0</v>
      </c>
      <c r="O603" t="n">
        <v>0</v>
      </c>
      <c r="P603" t="n">
        <v>0</v>
      </c>
      <c r="Q603" t="n">
        <v>1</v>
      </c>
      <c r="R603" s="2" t="inlineStr">
        <is>
          <t>Huggorm</t>
        </is>
      </c>
      <c r="S603">
        <f>HYPERLINK("https://klasma.github.io/Logging_1860/artfynd/A 8522-2025 artfynd.xlsx", "A 8522-2025")</f>
        <v/>
      </c>
      <c r="T603">
        <f>HYPERLINK("https://klasma.github.io/Logging_1860/kartor/A 8522-2025 karta.png", "A 8522-2025")</f>
        <v/>
      </c>
      <c r="V603">
        <f>HYPERLINK("https://klasma.github.io/Logging_1860/klagomål/A 8522-2025 FSC-klagomål.docx", "A 8522-2025")</f>
        <v/>
      </c>
      <c r="W603">
        <f>HYPERLINK("https://klasma.github.io/Logging_1860/klagomålsmail/A 8522-2025 FSC-klagomål mail.docx", "A 8522-2025")</f>
        <v/>
      </c>
      <c r="X603">
        <f>HYPERLINK("https://klasma.github.io/Logging_1860/tillsyn/A 8522-2025 tillsynsbegäran.docx", "A 8522-2025")</f>
        <v/>
      </c>
      <c r="Y603">
        <f>HYPERLINK("https://klasma.github.io/Logging_1860/tillsynsmail/A 8522-2025 tillsynsbegäran mail.docx", "A 8522-2025")</f>
        <v/>
      </c>
    </row>
    <row r="604" ht="15" customHeight="1">
      <c r="A604" t="inlineStr">
        <is>
          <t>A 10247-2025</t>
        </is>
      </c>
      <c r="B604" s="1" t="n">
        <v>45720</v>
      </c>
      <c r="C604" s="1" t="n">
        <v>45797</v>
      </c>
      <c r="D604" t="inlineStr">
        <is>
          <t>ÖREBRO LÄN</t>
        </is>
      </c>
      <c r="E604" t="inlineStr">
        <is>
          <t>HALLSBERG</t>
        </is>
      </c>
      <c r="G604" t="n">
        <v>1.5</v>
      </c>
      <c r="H604" t="n">
        <v>0</v>
      </c>
      <c r="I604" t="n">
        <v>0</v>
      </c>
      <c r="J604" t="n">
        <v>1</v>
      </c>
      <c r="K604" t="n">
        <v>0</v>
      </c>
      <c r="L604" t="n">
        <v>0</v>
      </c>
      <c r="M604" t="n">
        <v>0</v>
      </c>
      <c r="N604" t="n">
        <v>0</v>
      </c>
      <c r="O604" t="n">
        <v>1</v>
      </c>
      <c r="P604" t="n">
        <v>0</v>
      </c>
      <c r="Q604" t="n">
        <v>1</v>
      </c>
      <c r="R604" s="2" t="inlineStr">
        <is>
          <t>Skogsklocka</t>
        </is>
      </c>
      <c r="S604">
        <f>HYPERLINK("https://klasma.github.io/Logging_181861/artfynd/A 10247-2025 artfynd.xlsx", "A 10247-2025")</f>
        <v/>
      </c>
      <c r="T604">
        <f>HYPERLINK("https://klasma.github.io/Logging_181861/kartor/A 10247-2025 karta.png", "A 10247-2025")</f>
        <v/>
      </c>
      <c r="V604">
        <f>HYPERLINK("https://klasma.github.io/Logging_181861/klagomål/A 10247-2025 FSC-klagomål.docx", "A 10247-2025")</f>
        <v/>
      </c>
      <c r="W604">
        <f>HYPERLINK("https://klasma.github.io/Logging_181861/klagomålsmail/A 10247-2025 FSC-klagomål mail.docx", "A 10247-2025")</f>
        <v/>
      </c>
      <c r="X604">
        <f>HYPERLINK("https://klasma.github.io/Logging_181861/tillsyn/A 10247-2025 tillsynsbegäran.docx", "A 10247-2025")</f>
        <v/>
      </c>
      <c r="Y604">
        <f>HYPERLINK("https://klasma.github.io/Logging_181861/tillsynsmail/A 10247-2025 tillsynsbegäran mail.docx", "A 10247-2025")</f>
        <v/>
      </c>
    </row>
    <row r="605" ht="15" customHeight="1">
      <c r="A605" t="inlineStr">
        <is>
          <t>A 10507-2025</t>
        </is>
      </c>
      <c r="B605" s="1" t="n">
        <v>45721</v>
      </c>
      <c r="C605" s="1" t="n">
        <v>45797</v>
      </c>
      <c r="D605" t="inlineStr">
        <is>
          <t>ÖREBRO LÄN</t>
        </is>
      </c>
      <c r="E605" t="inlineStr">
        <is>
          <t>LEKEBERG</t>
        </is>
      </c>
      <c r="F605" t="inlineStr">
        <is>
          <t>Sveaskog</t>
        </is>
      </c>
      <c r="G605" t="n">
        <v>10.4</v>
      </c>
      <c r="H605" t="n">
        <v>1</v>
      </c>
      <c r="I605" t="n">
        <v>0</v>
      </c>
      <c r="J605" t="n">
        <v>0</v>
      </c>
      <c r="K605" t="n">
        <v>0</v>
      </c>
      <c r="L605" t="n">
        <v>0</v>
      </c>
      <c r="M605" t="n">
        <v>0</v>
      </c>
      <c r="N605" t="n">
        <v>0</v>
      </c>
      <c r="O605" t="n">
        <v>0</v>
      </c>
      <c r="P605" t="n">
        <v>0</v>
      </c>
      <c r="Q605" t="n">
        <v>1</v>
      </c>
      <c r="R605" s="2" t="inlineStr">
        <is>
          <t>Kungsfågel</t>
        </is>
      </c>
      <c r="S605">
        <f>HYPERLINK("https://klasma.github.io/Logging_181814/artfynd/A 10507-2025 artfynd.xlsx", "A 10507-2025")</f>
        <v/>
      </c>
      <c r="T605">
        <f>HYPERLINK("https://klasma.github.io/Logging_181814/kartor/A 10507-2025 karta.png", "A 10507-2025")</f>
        <v/>
      </c>
      <c r="V605">
        <f>HYPERLINK("https://klasma.github.io/Logging_181814/klagomål/A 10507-2025 FSC-klagomål.docx", "A 10507-2025")</f>
        <v/>
      </c>
      <c r="W605">
        <f>HYPERLINK("https://klasma.github.io/Logging_181814/klagomålsmail/A 10507-2025 FSC-klagomål mail.docx", "A 10507-2025")</f>
        <v/>
      </c>
      <c r="X605">
        <f>HYPERLINK("https://klasma.github.io/Logging_181814/tillsyn/A 10507-2025 tillsynsbegäran.docx", "A 10507-2025")</f>
        <v/>
      </c>
      <c r="Y605">
        <f>HYPERLINK("https://klasma.github.io/Logging_181814/tillsynsmail/A 10507-2025 tillsynsbegäran mail.docx", "A 10507-2025")</f>
        <v/>
      </c>
      <c r="Z605">
        <f>HYPERLINK("https://klasma.github.io/Logging_181814/fåglar/A 10507-2025 prioriterade fågelarter.docx", "A 10507-2025")</f>
        <v/>
      </c>
    </row>
    <row r="606" ht="15" customHeight="1">
      <c r="A606" t="inlineStr">
        <is>
          <t>A 11361-2025</t>
        </is>
      </c>
      <c r="B606" s="1" t="n">
        <v>45726</v>
      </c>
      <c r="C606" s="1" t="n">
        <v>45797</v>
      </c>
      <c r="D606" t="inlineStr">
        <is>
          <t>ÖREBRO LÄN</t>
        </is>
      </c>
      <c r="E606" t="inlineStr">
        <is>
          <t>HALLSBERG</t>
        </is>
      </c>
      <c r="F606" t="inlineStr">
        <is>
          <t>Sveaskog</t>
        </is>
      </c>
      <c r="G606" t="n">
        <v>11.7</v>
      </c>
      <c r="H606" t="n">
        <v>1</v>
      </c>
      <c r="I606" t="n">
        <v>0</v>
      </c>
      <c r="J606" t="n">
        <v>1</v>
      </c>
      <c r="K606" t="n">
        <v>0</v>
      </c>
      <c r="L606" t="n">
        <v>0</v>
      </c>
      <c r="M606" t="n">
        <v>0</v>
      </c>
      <c r="N606" t="n">
        <v>0</v>
      </c>
      <c r="O606" t="n">
        <v>1</v>
      </c>
      <c r="P606" t="n">
        <v>0</v>
      </c>
      <c r="Q606" t="n">
        <v>1</v>
      </c>
      <c r="R606" s="2" t="inlineStr">
        <is>
          <t>Järpe</t>
        </is>
      </c>
      <c r="S606">
        <f>HYPERLINK("https://klasma.github.io/Logging_181861/artfynd/A 11361-2025 artfynd.xlsx", "A 11361-2025")</f>
        <v/>
      </c>
      <c r="T606">
        <f>HYPERLINK("https://klasma.github.io/Logging_181861/kartor/A 11361-2025 karta.png", "A 11361-2025")</f>
        <v/>
      </c>
      <c r="V606">
        <f>HYPERLINK("https://klasma.github.io/Logging_181861/klagomål/A 11361-2025 FSC-klagomål.docx", "A 11361-2025")</f>
        <v/>
      </c>
      <c r="W606">
        <f>HYPERLINK("https://klasma.github.io/Logging_181861/klagomålsmail/A 11361-2025 FSC-klagomål mail.docx", "A 11361-2025")</f>
        <v/>
      </c>
      <c r="X606">
        <f>HYPERLINK("https://klasma.github.io/Logging_181861/tillsyn/A 11361-2025 tillsynsbegäran.docx", "A 11361-2025")</f>
        <v/>
      </c>
      <c r="Y606">
        <f>HYPERLINK("https://klasma.github.io/Logging_181861/tillsynsmail/A 11361-2025 tillsynsbegäran mail.docx", "A 11361-2025")</f>
        <v/>
      </c>
      <c r="Z606">
        <f>HYPERLINK("https://klasma.github.io/Logging_181861/fåglar/A 11361-2025 prioriterade fågelarter.docx", "A 11361-2025")</f>
        <v/>
      </c>
    </row>
    <row r="607" ht="15" customHeight="1">
      <c r="A607" t="inlineStr">
        <is>
          <t>A 11501-2025</t>
        </is>
      </c>
      <c r="B607" s="1" t="n">
        <v>45726</v>
      </c>
      <c r="C607" s="1" t="n">
        <v>45797</v>
      </c>
      <c r="D607" t="inlineStr">
        <is>
          <t>ÖREBRO LÄN</t>
        </is>
      </c>
      <c r="E607" t="inlineStr">
        <is>
          <t>ÖREBRO</t>
        </is>
      </c>
      <c r="G607" t="n">
        <v>0.8</v>
      </c>
      <c r="H607" t="n">
        <v>1</v>
      </c>
      <c r="I607" t="n">
        <v>0</v>
      </c>
      <c r="J607" t="n">
        <v>0</v>
      </c>
      <c r="K607" t="n">
        <v>0</v>
      </c>
      <c r="L607" t="n">
        <v>0</v>
      </c>
      <c r="M607" t="n">
        <v>0</v>
      </c>
      <c r="N607" t="n">
        <v>0</v>
      </c>
      <c r="O607" t="n">
        <v>0</v>
      </c>
      <c r="P607" t="n">
        <v>0</v>
      </c>
      <c r="Q607" t="n">
        <v>1</v>
      </c>
      <c r="R607" s="2" t="inlineStr">
        <is>
          <t>Kopparödla</t>
        </is>
      </c>
      <c r="S607">
        <f>HYPERLINK("https://klasma.github.io/Logging_181880/artfynd/A 11501-2025 artfynd.xlsx", "A 11501-2025")</f>
        <v/>
      </c>
      <c r="T607">
        <f>HYPERLINK("https://klasma.github.io/Logging_181880/kartor/A 11501-2025 karta.png", "A 11501-2025")</f>
        <v/>
      </c>
      <c r="V607">
        <f>HYPERLINK("https://klasma.github.io/Logging_181880/klagomål/A 11501-2025 FSC-klagomål.docx", "A 11501-2025")</f>
        <v/>
      </c>
      <c r="W607">
        <f>HYPERLINK("https://klasma.github.io/Logging_181880/klagomålsmail/A 11501-2025 FSC-klagomål mail.docx", "A 11501-2025")</f>
        <v/>
      </c>
      <c r="X607">
        <f>HYPERLINK("https://klasma.github.io/Logging_181880/tillsyn/A 11501-2025 tillsynsbegäran.docx", "A 11501-2025")</f>
        <v/>
      </c>
      <c r="Y607">
        <f>HYPERLINK("https://klasma.github.io/Logging_181880/tillsynsmail/A 11501-2025 tillsynsbegäran mail.docx", "A 11501-2025")</f>
        <v/>
      </c>
    </row>
    <row r="608" ht="15" customHeight="1">
      <c r="A608" t="inlineStr">
        <is>
          <t>A 11637-2025</t>
        </is>
      </c>
      <c r="B608" s="1" t="n">
        <v>45727</v>
      </c>
      <c r="C608" s="1" t="n">
        <v>45797</v>
      </c>
      <c r="D608" t="inlineStr">
        <is>
          <t>ÖREBRO LÄN</t>
        </is>
      </c>
      <c r="E608" t="inlineStr">
        <is>
          <t>LEKEBERG</t>
        </is>
      </c>
      <c r="F608" t="inlineStr">
        <is>
          <t>Sveaskog</t>
        </is>
      </c>
      <c r="G608" t="n">
        <v>2.1</v>
      </c>
      <c r="H608" t="n">
        <v>0</v>
      </c>
      <c r="I608" t="n">
        <v>0</v>
      </c>
      <c r="J608" t="n">
        <v>0</v>
      </c>
      <c r="K608" t="n">
        <v>0</v>
      </c>
      <c r="L608" t="n">
        <v>1</v>
      </c>
      <c r="M608" t="n">
        <v>0</v>
      </c>
      <c r="N608" t="n">
        <v>0</v>
      </c>
      <c r="O608" t="n">
        <v>1</v>
      </c>
      <c r="P608" t="n">
        <v>1</v>
      </c>
      <c r="Q608" t="n">
        <v>1</v>
      </c>
      <c r="R608" s="2" t="inlineStr">
        <is>
          <t>Ask</t>
        </is>
      </c>
      <c r="S608">
        <f>HYPERLINK("https://klasma.github.io/Logging_181814/artfynd/A 11637-2025 artfynd.xlsx", "A 11637-2025")</f>
        <v/>
      </c>
      <c r="T608">
        <f>HYPERLINK("https://klasma.github.io/Logging_181814/kartor/A 11637-2025 karta.png", "A 11637-2025")</f>
        <v/>
      </c>
      <c r="V608">
        <f>HYPERLINK("https://klasma.github.io/Logging_181814/klagomål/A 11637-2025 FSC-klagomål.docx", "A 11637-2025")</f>
        <v/>
      </c>
      <c r="W608">
        <f>HYPERLINK("https://klasma.github.io/Logging_181814/klagomålsmail/A 11637-2025 FSC-klagomål mail.docx", "A 11637-2025")</f>
        <v/>
      </c>
      <c r="X608">
        <f>HYPERLINK("https://klasma.github.io/Logging_181814/tillsyn/A 11637-2025 tillsynsbegäran.docx", "A 11637-2025")</f>
        <v/>
      </c>
      <c r="Y608">
        <f>HYPERLINK("https://klasma.github.io/Logging_181814/tillsynsmail/A 11637-2025 tillsynsbegäran mail.docx", "A 11637-2025")</f>
        <v/>
      </c>
    </row>
    <row r="609" ht="15" customHeight="1">
      <c r="A609" t="inlineStr">
        <is>
          <t>A 12793-2025</t>
        </is>
      </c>
      <c r="B609" s="1" t="n">
        <v>45733</v>
      </c>
      <c r="C609" s="1" t="n">
        <v>45797</v>
      </c>
      <c r="D609" t="inlineStr">
        <is>
          <t>ÖREBRO LÄN</t>
        </is>
      </c>
      <c r="E609" t="inlineStr">
        <is>
          <t>ASKERSUND</t>
        </is>
      </c>
      <c r="G609" t="n">
        <v>8.5</v>
      </c>
      <c r="H609" t="n">
        <v>1</v>
      </c>
      <c r="I609" t="n">
        <v>0</v>
      </c>
      <c r="J609" t="n">
        <v>1</v>
      </c>
      <c r="K609" t="n">
        <v>0</v>
      </c>
      <c r="L609" t="n">
        <v>0</v>
      </c>
      <c r="M609" t="n">
        <v>0</v>
      </c>
      <c r="N609" t="n">
        <v>0</v>
      </c>
      <c r="O609" t="n">
        <v>1</v>
      </c>
      <c r="P609" t="n">
        <v>0</v>
      </c>
      <c r="Q609" t="n">
        <v>1</v>
      </c>
      <c r="R609" s="2" t="inlineStr">
        <is>
          <t>Spillkråka</t>
        </is>
      </c>
      <c r="S609">
        <f>HYPERLINK("https://klasma.github.io/Logging_181882/artfynd/A 12793-2025 artfynd.xlsx", "A 12793-2025")</f>
        <v/>
      </c>
      <c r="T609">
        <f>HYPERLINK("https://klasma.github.io/Logging_181882/kartor/A 12793-2025 karta.png", "A 12793-2025")</f>
        <v/>
      </c>
      <c r="V609">
        <f>HYPERLINK("https://klasma.github.io/Logging_181882/klagomål/A 12793-2025 FSC-klagomål.docx", "A 12793-2025")</f>
        <v/>
      </c>
      <c r="W609">
        <f>HYPERLINK("https://klasma.github.io/Logging_181882/klagomålsmail/A 12793-2025 FSC-klagomål mail.docx", "A 12793-2025")</f>
        <v/>
      </c>
      <c r="X609">
        <f>HYPERLINK("https://klasma.github.io/Logging_181882/tillsyn/A 12793-2025 tillsynsbegäran.docx", "A 12793-2025")</f>
        <v/>
      </c>
      <c r="Y609">
        <f>HYPERLINK("https://klasma.github.io/Logging_181882/tillsynsmail/A 12793-2025 tillsynsbegäran mail.docx", "A 12793-2025")</f>
        <v/>
      </c>
      <c r="Z609">
        <f>HYPERLINK("https://klasma.github.io/Logging_181882/fåglar/A 12793-2025 prioriterade fågelarter.docx", "A 12793-2025")</f>
        <v/>
      </c>
    </row>
    <row r="610" ht="15" customHeight="1">
      <c r="A610" t="inlineStr">
        <is>
          <t>A 13408-2025</t>
        </is>
      </c>
      <c r="B610" s="1" t="n">
        <v>45735</v>
      </c>
      <c r="C610" s="1" t="n">
        <v>45797</v>
      </c>
      <c r="D610" t="inlineStr">
        <is>
          <t>ÖREBRO LÄN</t>
        </is>
      </c>
      <c r="E610" t="inlineStr">
        <is>
          <t>ASKERSUND</t>
        </is>
      </c>
      <c r="G610" t="n">
        <v>13.3</v>
      </c>
      <c r="H610" t="n">
        <v>1</v>
      </c>
      <c r="I610" t="n">
        <v>0</v>
      </c>
      <c r="J610" t="n">
        <v>0</v>
      </c>
      <c r="K610" t="n">
        <v>0</v>
      </c>
      <c r="L610" t="n">
        <v>0</v>
      </c>
      <c r="M610" t="n">
        <v>0</v>
      </c>
      <c r="N610" t="n">
        <v>0</v>
      </c>
      <c r="O610" t="n">
        <v>0</v>
      </c>
      <c r="P610" t="n">
        <v>0</v>
      </c>
      <c r="Q610" t="n">
        <v>1</v>
      </c>
      <c r="R610" s="2" t="inlineStr">
        <is>
          <t>Hasselmus</t>
        </is>
      </c>
      <c r="S610">
        <f>HYPERLINK("https://klasma.github.io/Logging_181882/artfynd/A 13408-2025 artfynd.xlsx", "A 13408-2025")</f>
        <v/>
      </c>
      <c r="T610">
        <f>HYPERLINK("https://klasma.github.io/Logging_181882/kartor/A 13408-2025 karta.png", "A 13408-2025")</f>
        <v/>
      </c>
      <c r="V610">
        <f>HYPERLINK("https://klasma.github.io/Logging_181882/klagomål/A 13408-2025 FSC-klagomål.docx", "A 13408-2025")</f>
        <v/>
      </c>
      <c r="W610">
        <f>HYPERLINK("https://klasma.github.io/Logging_181882/klagomålsmail/A 13408-2025 FSC-klagomål mail.docx", "A 13408-2025")</f>
        <v/>
      </c>
      <c r="X610">
        <f>HYPERLINK("https://klasma.github.io/Logging_181882/tillsyn/A 13408-2025 tillsynsbegäran.docx", "A 13408-2025")</f>
        <v/>
      </c>
      <c r="Y610">
        <f>HYPERLINK("https://klasma.github.io/Logging_181882/tillsynsmail/A 13408-2025 tillsynsbegäran mail.docx", "A 13408-2025")</f>
        <v/>
      </c>
    </row>
    <row r="611" ht="15" customHeight="1">
      <c r="A611" t="inlineStr">
        <is>
          <t>A 14312-2025</t>
        </is>
      </c>
      <c r="B611" s="1" t="n">
        <v>45740</v>
      </c>
      <c r="C611" s="1" t="n">
        <v>45797</v>
      </c>
      <c r="D611" t="inlineStr">
        <is>
          <t>ÖREBRO LÄN</t>
        </is>
      </c>
      <c r="E611" t="inlineStr">
        <is>
          <t>NORA</t>
        </is>
      </c>
      <c r="G611" t="n">
        <v>2.9</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14312-2025 artfynd.xlsx", "A 14312-2025")</f>
        <v/>
      </c>
      <c r="T611">
        <f>HYPERLINK("https://klasma.github.io/Logging_181884/kartor/A 14312-2025 karta.png", "A 14312-2025")</f>
        <v/>
      </c>
      <c r="V611">
        <f>HYPERLINK("https://klasma.github.io/Logging_181884/klagomål/A 14312-2025 FSC-klagomål.docx", "A 14312-2025")</f>
        <v/>
      </c>
      <c r="W611">
        <f>HYPERLINK("https://klasma.github.io/Logging_181884/klagomålsmail/A 14312-2025 FSC-klagomål mail.docx", "A 14312-2025")</f>
        <v/>
      </c>
      <c r="X611">
        <f>HYPERLINK("https://klasma.github.io/Logging_181884/tillsyn/A 14312-2025 tillsynsbegäran.docx", "A 14312-2025")</f>
        <v/>
      </c>
      <c r="Y611">
        <f>HYPERLINK("https://klasma.github.io/Logging_181884/tillsynsmail/A 14312-2025 tillsynsbegäran mail.docx", "A 14312-2025")</f>
        <v/>
      </c>
      <c r="Z611">
        <f>HYPERLINK("https://klasma.github.io/Logging_181884/fåglar/A 14312-2025 prioriterade fågelarter.docx", "A 14312-2025")</f>
        <v/>
      </c>
    </row>
    <row r="612" ht="15" customHeight="1">
      <c r="A612" t="inlineStr">
        <is>
          <t>A 14306-2025</t>
        </is>
      </c>
      <c r="B612" s="1" t="n">
        <v>45740</v>
      </c>
      <c r="C612" s="1" t="n">
        <v>45797</v>
      </c>
      <c r="D612" t="inlineStr">
        <is>
          <t>ÖREBRO LÄN</t>
        </is>
      </c>
      <c r="E612" t="inlineStr">
        <is>
          <t>NORA</t>
        </is>
      </c>
      <c r="G612" t="n">
        <v>1.3</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14306-2025 artfynd.xlsx", "A 14306-2025")</f>
        <v/>
      </c>
      <c r="T612">
        <f>HYPERLINK("https://klasma.github.io/Logging_181884/kartor/A 14306-2025 karta.png", "A 14306-2025")</f>
        <v/>
      </c>
      <c r="V612">
        <f>HYPERLINK("https://klasma.github.io/Logging_181884/klagomål/A 14306-2025 FSC-klagomål.docx", "A 14306-2025")</f>
        <v/>
      </c>
      <c r="W612">
        <f>HYPERLINK("https://klasma.github.io/Logging_181884/klagomålsmail/A 14306-2025 FSC-klagomål mail.docx", "A 14306-2025")</f>
        <v/>
      </c>
      <c r="X612">
        <f>HYPERLINK("https://klasma.github.io/Logging_181884/tillsyn/A 14306-2025 tillsynsbegäran.docx", "A 14306-2025")</f>
        <v/>
      </c>
      <c r="Y612">
        <f>HYPERLINK("https://klasma.github.io/Logging_181884/tillsynsmail/A 14306-2025 tillsynsbegäran mail.docx", "A 14306-2025")</f>
        <v/>
      </c>
      <c r="Z612">
        <f>HYPERLINK("https://klasma.github.io/Logging_181884/fåglar/A 14306-2025 prioriterade fågelarter.docx", "A 14306-2025")</f>
        <v/>
      </c>
    </row>
    <row r="613" ht="15" customHeight="1">
      <c r="A613" t="inlineStr">
        <is>
          <t>A 14956-2025</t>
        </is>
      </c>
      <c r="B613" s="1" t="n">
        <v>45743</v>
      </c>
      <c r="C613" s="1" t="n">
        <v>45797</v>
      </c>
      <c r="D613" t="inlineStr">
        <is>
          <t>ÖREBRO LÄN</t>
        </is>
      </c>
      <c r="E613" t="inlineStr">
        <is>
          <t>ÖREBRO</t>
        </is>
      </c>
      <c r="G613" t="n">
        <v>5.2</v>
      </c>
      <c r="H613" t="n">
        <v>0</v>
      </c>
      <c r="I613" t="n">
        <v>1</v>
      </c>
      <c r="J613" t="n">
        <v>0</v>
      </c>
      <c r="K613" t="n">
        <v>0</v>
      </c>
      <c r="L613" t="n">
        <v>0</v>
      </c>
      <c r="M613" t="n">
        <v>0</v>
      </c>
      <c r="N613" t="n">
        <v>0</v>
      </c>
      <c r="O613" t="n">
        <v>0</v>
      </c>
      <c r="P613" t="n">
        <v>0</v>
      </c>
      <c r="Q613" t="n">
        <v>1</v>
      </c>
      <c r="R613" s="2" t="inlineStr">
        <is>
          <t>Kalktallört</t>
        </is>
      </c>
      <c r="S613">
        <f>HYPERLINK("https://klasma.github.io/Logging_181880/artfynd/A 14956-2025 artfynd.xlsx", "A 14956-2025")</f>
        <v/>
      </c>
      <c r="T613">
        <f>HYPERLINK("https://klasma.github.io/Logging_181880/kartor/A 14956-2025 karta.png", "A 14956-2025")</f>
        <v/>
      </c>
      <c r="V613">
        <f>HYPERLINK("https://klasma.github.io/Logging_181880/klagomål/A 14956-2025 FSC-klagomål.docx", "A 14956-2025")</f>
        <v/>
      </c>
      <c r="W613">
        <f>HYPERLINK("https://klasma.github.io/Logging_181880/klagomålsmail/A 14956-2025 FSC-klagomål mail.docx", "A 14956-2025")</f>
        <v/>
      </c>
      <c r="X613">
        <f>HYPERLINK("https://klasma.github.io/Logging_181880/tillsyn/A 14956-2025 tillsynsbegäran.docx", "A 14956-2025")</f>
        <v/>
      </c>
      <c r="Y613">
        <f>HYPERLINK("https://klasma.github.io/Logging_181880/tillsynsmail/A 14956-2025 tillsynsbegäran mail.docx", "A 14956-2025")</f>
        <v/>
      </c>
    </row>
    <row r="614" ht="15" customHeight="1">
      <c r="A614" t="inlineStr">
        <is>
          <t>A 15550-2025</t>
        </is>
      </c>
      <c r="B614" s="1" t="n">
        <v>45747</v>
      </c>
      <c r="C614" s="1" t="n">
        <v>45797</v>
      </c>
      <c r="D614" t="inlineStr">
        <is>
          <t>ÖREBRO LÄN</t>
        </is>
      </c>
      <c r="E614" t="inlineStr">
        <is>
          <t>ÖREBRO</t>
        </is>
      </c>
      <c r="G614" t="n">
        <v>2.5</v>
      </c>
      <c r="H614" t="n">
        <v>0</v>
      </c>
      <c r="I614" t="n">
        <v>0</v>
      </c>
      <c r="J614" t="n">
        <v>1</v>
      </c>
      <c r="K614" t="n">
        <v>0</v>
      </c>
      <c r="L614" t="n">
        <v>0</v>
      </c>
      <c r="M614" t="n">
        <v>0</v>
      </c>
      <c r="N614" t="n">
        <v>0</v>
      </c>
      <c r="O614" t="n">
        <v>1</v>
      </c>
      <c r="P614" t="n">
        <v>0</v>
      </c>
      <c r="Q614" t="n">
        <v>1</v>
      </c>
      <c r="R614" s="2" t="inlineStr">
        <is>
          <t>Vedtrappmossa</t>
        </is>
      </c>
      <c r="S614">
        <f>HYPERLINK("https://klasma.github.io/Logging_181880/artfynd/A 15550-2025 artfynd.xlsx", "A 15550-2025")</f>
        <v/>
      </c>
      <c r="T614">
        <f>HYPERLINK("https://klasma.github.io/Logging_181880/kartor/A 15550-2025 karta.png", "A 15550-2025")</f>
        <v/>
      </c>
      <c r="V614">
        <f>HYPERLINK("https://klasma.github.io/Logging_181880/klagomål/A 15550-2025 FSC-klagomål.docx", "A 15550-2025")</f>
        <v/>
      </c>
      <c r="W614">
        <f>HYPERLINK("https://klasma.github.io/Logging_181880/klagomålsmail/A 15550-2025 FSC-klagomål mail.docx", "A 15550-2025")</f>
        <v/>
      </c>
      <c r="X614">
        <f>HYPERLINK("https://klasma.github.io/Logging_181880/tillsyn/A 15550-2025 tillsynsbegäran.docx", "A 15550-2025")</f>
        <v/>
      </c>
      <c r="Y614">
        <f>HYPERLINK("https://klasma.github.io/Logging_181880/tillsynsmail/A 15550-2025 tillsynsbegäran mail.docx", "A 15550-2025")</f>
        <v/>
      </c>
    </row>
    <row r="615" ht="15" customHeight="1">
      <c r="A615" t="inlineStr">
        <is>
          <t>A 16923-2025</t>
        </is>
      </c>
      <c r="B615" s="1" t="n">
        <v>45755</v>
      </c>
      <c r="C615" s="1" t="n">
        <v>45797</v>
      </c>
      <c r="D615" t="inlineStr">
        <is>
          <t>ÖREBRO LÄN</t>
        </is>
      </c>
      <c r="E615" t="inlineStr">
        <is>
          <t>HÄLLEFORS</t>
        </is>
      </c>
      <c r="F615" t="inlineStr">
        <is>
          <t>Bergvik skog väst AB</t>
        </is>
      </c>
      <c r="G615" t="n">
        <v>3.5</v>
      </c>
      <c r="H615" t="n">
        <v>1</v>
      </c>
      <c r="I615" t="n">
        <v>0</v>
      </c>
      <c r="J615" t="n">
        <v>1</v>
      </c>
      <c r="K615" t="n">
        <v>0</v>
      </c>
      <c r="L615" t="n">
        <v>0</v>
      </c>
      <c r="M615" t="n">
        <v>0</v>
      </c>
      <c r="N615" t="n">
        <v>0</v>
      </c>
      <c r="O615" t="n">
        <v>1</v>
      </c>
      <c r="P615" t="n">
        <v>0</v>
      </c>
      <c r="Q615" t="n">
        <v>1</v>
      </c>
      <c r="R615" s="2" t="inlineStr">
        <is>
          <t>Strandlummer</t>
        </is>
      </c>
      <c r="S615">
        <f>HYPERLINK("https://klasma.github.io/Logging_181863/artfynd/A 16923-2025 artfynd.xlsx", "A 16923-2025")</f>
        <v/>
      </c>
      <c r="T615">
        <f>HYPERLINK("https://klasma.github.io/Logging_181863/kartor/A 16923-2025 karta.png", "A 16923-2025")</f>
        <v/>
      </c>
      <c r="V615">
        <f>HYPERLINK("https://klasma.github.io/Logging_181863/klagomål/A 16923-2025 FSC-klagomål.docx", "A 16923-2025")</f>
        <v/>
      </c>
      <c r="W615">
        <f>HYPERLINK("https://klasma.github.io/Logging_181863/klagomålsmail/A 16923-2025 FSC-klagomål mail.docx", "A 16923-2025")</f>
        <v/>
      </c>
      <c r="X615">
        <f>HYPERLINK("https://klasma.github.io/Logging_181863/tillsyn/A 16923-2025 tillsynsbegäran.docx", "A 16923-2025")</f>
        <v/>
      </c>
      <c r="Y615">
        <f>HYPERLINK("https://klasma.github.io/Logging_181863/tillsynsmail/A 16923-2025 tillsynsbegäran mail.docx", "A 16923-2025")</f>
        <v/>
      </c>
    </row>
    <row r="616" ht="15" customHeight="1">
      <c r="A616" t="inlineStr">
        <is>
          <t>A 17786-2025</t>
        </is>
      </c>
      <c r="B616" s="1" t="n">
        <v>45758</v>
      </c>
      <c r="C616" s="1" t="n">
        <v>45797</v>
      </c>
      <c r="D616" t="inlineStr">
        <is>
          <t>ÖREBRO LÄN</t>
        </is>
      </c>
      <c r="E616" t="inlineStr">
        <is>
          <t>KARLSKOGA</t>
        </is>
      </c>
      <c r="F616" t="inlineStr">
        <is>
          <t>Sveaskog</t>
        </is>
      </c>
      <c r="G616" t="n">
        <v>1.3</v>
      </c>
      <c r="H616" t="n">
        <v>0</v>
      </c>
      <c r="I616" t="n">
        <v>1</v>
      </c>
      <c r="J616" t="n">
        <v>0</v>
      </c>
      <c r="K616" t="n">
        <v>0</v>
      </c>
      <c r="L616" t="n">
        <v>0</v>
      </c>
      <c r="M616" t="n">
        <v>0</v>
      </c>
      <c r="N616" t="n">
        <v>0</v>
      </c>
      <c r="O616" t="n">
        <v>0</v>
      </c>
      <c r="P616" t="n">
        <v>0</v>
      </c>
      <c r="Q616" t="n">
        <v>1</v>
      </c>
      <c r="R616" s="2" t="inlineStr">
        <is>
          <t>Skuggblåslav</t>
        </is>
      </c>
      <c r="S616">
        <f>HYPERLINK("https://klasma.github.io/Logging_181883/artfynd/A 17786-2025 artfynd.xlsx", "A 17786-2025")</f>
        <v/>
      </c>
      <c r="T616">
        <f>HYPERLINK("https://klasma.github.io/Logging_181883/kartor/A 17786-2025 karta.png", "A 17786-2025")</f>
        <v/>
      </c>
      <c r="V616">
        <f>HYPERLINK("https://klasma.github.io/Logging_181883/klagomål/A 17786-2025 FSC-klagomål.docx", "A 17786-2025")</f>
        <v/>
      </c>
      <c r="W616">
        <f>HYPERLINK("https://klasma.github.io/Logging_181883/klagomålsmail/A 17786-2025 FSC-klagomål mail.docx", "A 17786-2025")</f>
        <v/>
      </c>
      <c r="X616">
        <f>HYPERLINK("https://klasma.github.io/Logging_181883/tillsyn/A 17786-2025 tillsynsbegäran.docx", "A 17786-2025")</f>
        <v/>
      </c>
      <c r="Y616">
        <f>HYPERLINK("https://klasma.github.io/Logging_181883/tillsynsmail/A 17786-2025 tillsynsbegäran mail.docx", "A 17786-2025")</f>
        <v/>
      </c>
    </row>
    <row r="617" ht="15" customHeight="1">
      <c r="A617" t="inlineStr">
        <is>
          <t>A 18617-2025</t>
        </is>
      </c>
      <c r="B617" s="1" t="n">
        <v>45763</v>
      </c>
      <c r="C617" s="1" t="n">
        <v>45797</v>
      </c>
      <c r="D617" t="inlineStr">
        <is>
          <t>ÖREBRO LÄN</t>
        </is>
      </c>
      <c r="E617" t="inlineStr">
        <is>
          <t>HÄLLEFORS</t>
        </is>
      </c>
      <c r="F617" t="inlineStr">
        <is>
          <t>Bergvik skog väst AB</t>
        </is>
      </c>
      <c r="G617" t="n">
        <v>3.5</v>
      </c>
      <c r="H617" t="n">
        <v>1</v>
      </c>
      <c r="I617" t="n">
        <v>0</v>
      </c>
      <c r="J617" t="n">
        <v>0</v>
      </c>
      <c r="K617" t="n">
        <v>0</v>
      </c>
      <c r="L617" t="n">
        <v>0</v>
      </c>
      <c r="M617" t="n">
        <v>0</v>
      </c>
      <c r="N617" t="n">
        <v>0</v>
      </c>
      <c r="O617" t="n">
        <v>0</v>
      </c>
      <c r="P617" t="n">
        <v>0</v>
      </c>
      <c r="Q617" t="n">
        <v>1</v>
      </c>
      <c r="R617" s="2" t="inlineStr">
        <is>
          <t>Blåsippa</t>
        </is>
      </c>
      <c r="S617">
        <f>HYPERLINK("https://klasma.github.io/Logging_181863/artfynd/A 18617-2025 artfynd.xlsx", "A 18617-2025")</f>
        <v/>
      </c>
      <c r="T617">
        <f>HYPERLINK("https://klasma.github.io/Logging_181863/kartor/A 18617-2025 karta.png", "A 18617-2025")</f>
        <v/>
      </c>
      <c r="V617">
        <f>HYPERLINK("https://klasma.github.io/Logging_181863/klagomål/A 18617-2025 FSC-klagomål.docx", "A 18617-2025")</f>
        <v/>
      </c>
      <c r="W617">
        <f>HYPERLINK("https://klasma.github.io/Logging_181863/klagomålsmail/A 18617-2025 FSC-klagomål mail.docx", "A 18617-2025")</f>
        <v/>
      </c>
      <c r="X617">
        <f>HYPERLINK("https://klasma.github.io/Logging_181863/tillsyn/A 18617-2025 tillsynsbegäran.docx", "A 18617-2025")</f>
        <v/>
      </c>
      <c r="Y617">
        <f>HYPERLINK("https://klasma.github.io/Logging_181863/tillsynsmail/A 18617-2025 tillsynsbegäran mail.docx", "A 18617-2025")</f>
        <v/>
      </c>
    </row>
    <row r="618" ht="15" customHeight="1">
      <c r="A618" t="inlineStr">
        <is>
          <t>A 19176-2025</t>
        </is>
      </c>
      <c r="B618" s="1" t="n">
        <v>45769</v>
      </c>
      <c r="C618" s="1" t="n">
        <v>45797</v>
      </c>
      <c r="D618" t="inlineStr">
        <is>
          <t>ÖREBRO LÄN</t>
        </is>
      </c>
      <c r="E618" t="inlineStr">
        <is>
          <t>LEKEBERG</t>
        </is>
      </c>
      <c r="G618" t="n">
        <v>4.6</v>
      </c>
      <c r="H618" t="n">
        <v>1</v>
      </c>
      <c r="I618" t="n">
        <v>0</v>
      </c>
      <c r="J618" t="n">
        <v>1</v>
      </c>
      <c r="K618" t="n">
        <v>0</v>
      </c>
      <c r="L618" t="n">
        <v>0</v>
      </c>
      <c r="M618" t="n">
        <v>0</v>
      </c>
      <c r="N618" t="n">
        <v>0</v>
      </c>
      <c r="O618" t="n">
        <v>1</v>
      </c>
      <c r="P618" t="n">
        <v>0</v>
      </c>
      <c r="Q618" t="n">
        <v>1</v>
      </c>
      <c r="R618" s="2" t="inlineStr">
        <is>
          <t>Spillkråka</t>
        </is>
      </c>
      <c r="S618">
        <f>HYPERLINK("https://klasma.github.io/Logging_181814/artfynd/A 19176-2025 artfynd.xlsx", "A 19176-2025")</f>
        <v/>
      </c>
      <c r="T618">
        <f>HYPERLINK("https://klasma.github.io/Logging_181814/kartor/A 19176-2025 karta.png", "A 19176-2025")</f>
        <v/>
      </c>
      <c r="V618">
        <f>HYPERLINK("https://klasma.github.io/Logging_181814/klagomål/A 19176-2025 FSC-klagomål.docx", "A 19176-2025")</f>
        <v/>
      </c>
      <c r="W618">
        <f>HYPERLINK("https://klasma.github.io/Logging_181814/klagomålsmail/A 19176-2025 FSC-klagomål mail.docx", "A 19176-2025")</f>
        <v/>
      </c>
      <c r="X618">
        <f>HYPERLINK("https://klasma.github.io/Logging_181814/tillsyn/A 19176-2025 tillsynsbegäran.docx", "A 19176-2025")</f>
        <v/>
      </c>
      <c r="Y618">
        <f>HYPERLINK("https://klasma.github.io/Logging_181814/tillsynsmail/A 19176-2025 tillsynsbegäran mail.docx", "A 19176-2025")</f>
        <v/>
      </c>
      <c r="Z618">
        <f>HYPERLINK("https://klasma.github.io/Logging_181814/fåglar/A 19176-2025 prioriterade fågelarter.docx", "A 19176-2025")</f>
        <v/>
      </c>
    </row>
    <row r="619" ht="15" customHeight="1">
      <c r="A619" t="inlineStr">
        <is>
          <t>A 19393-2025</t>
        </is>
      </c>
      <c r="B619" s="1" t="n">
        <v>45769</v>
      </c>
      <c r="C619" s="1" t="n">
        <v>45797</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19755-2025</t>
        </is>
      </c>
      <c r="B620" s="1" t="n">
        <v>45771</v>
      </c>
      <c r="C620" s="1" t="n">
        <v>45797</v>
      </c>
      <c r="D620" t="inlineStr">
        <is>
          <t>ÖREBRO LÄN</t>
        </is>
      </c>
      <c r="E620" t="inlineStr">
        <is>
          <t>KARLSKOGA</t>
        </is>
      </c>
      <c r="F620" t="inlineStr">
        <is>
          <t>Sveaskog</t>
        </is>
      </c>
      <c r="G620" t="n">
        <v>6.4</v>
      </c>
      <c r="H620" t="n">
        <v>0</v>
      </c>
      <c r="I620" t="n">
        <v>0</v>
      </c>
      <c r="J620" t="n">
        <v>1</v>
      </c>
      <c r="K620" t="n">
        <v>0</v>
      </c>
      <c r="L620" t="n">
        <v>0</v>
      </c>
      <c r="M620" t="n">
        <v>0</v>
      </c>
      <c r="N620" t="n">
        <v>0</v>
      </c>
      <c r="O620" t="n">
        <v>1</v>
      </c>
      <c r="P620" t="n">
        <v>0</v>
      </c>
      <c r="Q620" t="n">
        <v>1</v>
      </c>
      <c r="R620" s="2" t="inlineStr">
        <is>
          <t>Svinrot</t>
        </is>
      </c>
      <c r="S620">
        <f>HYPERLINK("https://klasma.github.io/Logging_181883/artfynd/A 19755-2025 artfynd.xlsx", "A 19755-2025")</f>
        <v/>
      </c>
      <c r="T620">
        <f>HYPERLINK("https://klasma.github.io/Logging_181883/kartor/A 19755-2025 karta.png", "A 19755-2025")</f>
        <v/>
      </c>
      <c r="V620">
        <f>HYPERLINK("https://klasma.github.io/Logging_181883/klagomål/A 19755-2025 FSC-klagomål.docx", "A 19755-2025")</f>
        <v/>
      </c>
      <c r="W620">
        <f>HYPERLINK("https://klasma.github.io/Logging_181883/klagomålsmail/A 19755-2025 FSC-klagomål mail.docx", "A 19755-2025")</f>
        <v/>
      </c>
      <c r="X620">
        <f>HYPERLINK("https://klasma.github.io/Logging_181883/tillsyn/A 19755-2025 tillsynsbegäran.docx", "A 19755-2025")</f>
        <v/>
      </c>
      <c r="Y620">
        <f>HYPERLINK("https://klasma.github.io/Logging_181883/tillsynsmail/A 19755-2025 tillsynsbegäran mail.docx", "A 19755-2025")</f>
        <v/>
      </c>
    </row>
    <row r="621" ht="15" customHeight="1">
      <c r="A621" t="inlineStr">
        <is>
          <t>A 20138-2025</t>
        </is>
      </c>
      <c r="B621" s="1" t="n">
        <v>45772</v>
      </c>
      <c r="C621" s="1" t="n">
        <v>45797</v>
      </c>
      <c r="D621" t="inlineStr">
        <is>
          <t>ÖREBRO LÄN</t>
        </is>
      </c>
      <c r="E621" t="inlineStr">
        <is>
          <t>KARLSKOGA</t>
        </is>
      </c>
      <c r="F621" t="inlineStr">
        <is>
          <t>Sveaskog</t>
        </is>
      </c>
      <c r="G621" t="n">
        <v>9</v>
      </c>
      <c r="H621" t="n">
        <v>1</v>
      </c>
      <c r="I621" t="n">
        <v>1</v>
      </c>
      <c r="J621" t="n">
        <v>0</v>
      </c>
      <c r="K621" t="n">
        <v>0</v>
      </c>
      <c r="L621" t="n">
        <v>0</v>
      </c>
      <c r="M621" t="n">
        <v>0</v>
      </c>
      <c r="N621" t="n">
        <v>0</v>
      </c>
      <c r="O621" t="n">
        <v>0</v>
      </c>
      <c r="P621" t="n">
        <v>0</v>
      </c>
      <c r="Q621" t="n">
        <v>1</v>
      </c>
      <c r="R621" s="2" t="inlineStr">
        <is>
          <t>Plattlummer</t>
        </is>
      </c>
      <c r="S621">
        <f>HYPERLINK("https://klasma.github.io/Logging_181883/artfynd/A 20138-2025 artfynd.xlsx", "A 20138-2025")</f>
        <v/>
      </c>
      <c r="T621">
        <f>HYPERLINK("https://klasma.github.io/Logging_181883/kartor/A 20138-2025 karta.png", "A 20138-2025")</f>
        <v/>
      </c>
      <c r="V621">
        <f>HYPERLINK("https://klasma.github.io/Logging_181883/klagomål/A 20138-2025 FSC-klagomål.docx", "A 20138-2025")</f>
        <v/>
      </c>
      <c r="W621">
        <f>HYPERLINK("https://klasma.github.io/Logging_181883/klagomålsmail/A 20138-2025 FSC-klagomål mail.docx", "A 20138-2025")</f>
        <v/>
      </c>
      <c r="X621">
        <f>HYPERLINK("https://klasma.github.io/Logging_181883/tillsyn/A 20138-2025 tillsynsbegäran.docx", "A 20138-2025")</f>
        <v/>
      </c>
      <c r="Y621">
        <f>HYPERLINK("https://klasma.github.io/Logging_181883/tillsynsmail/A 20138-2025 tillsynsbegäran mail.docx", "A 20138-2025")</f>
        <v/>
      </c>
    </row>
    <row r="622" ht="15" customHeight="1">
      <c r="A622" t="inlineStr">
        <is>
          <t>A 20659-2025</t>
        </is>
      </c>
      <c r="B622" s="1" t="n">
        <v>45776</v>
      </c>
      <c r="C622" s="1" t="n">
        <v>45797</v>
      </c>
      <c r="D622" t="inlineStr">
        <is>
          <t>ÖREBRO LÄN</t>
        </is>
      </c>
      <c r="E622" t="inlineStr">
        <is>
          <t>NORA</t>
        </is>
      </c>
      <c r="G622" t="n">
        <v>11.1</v>
      </c>
      <c r="H622" t="n">
        <v>1</v>
      </c>
      <c r="I622" t="n">
        <v>0</v>
      </c>
      <c r="J622" t="n">
        <v>0</v>
      </c>
      <c r="K622" t="n">
        <v>0</v>
      </c>
      <c r="L622" t="n">
        <v>0</v>
      </c>
      <c r="M622" t="n">
        <v>0</v>
      </c>
      <c r="N622" t="n">
        <v>0</v>
      </c>
      <c r="O622" t="n">
        <v>0</v>
      </c>
      <c r="P622" t="n">
        <v>0</v>
      </c>
      <c r="Q622" t="n">
        <v>1</v>
      </c>
      <c r="R622" s="2" t="inlineStr">
        <is>
          <t>Fläcknycklar</t>
        </is>
      </c>
      <c r="S622">
        <f>HYPERLINK("https://klasma.github.io/Logging_181884/artfynd/A 20659-2025 artfynd.xlsx", "A 20659-2025")</f>
        <v/>
      </c>
      <c r="T622">
        <f>HYPERLINK("https://klasma.github.io/Logging_181884/kartor/A 20659-2025 karta.png", "A 20659-2025")</f>
        <v/>
      </c>
      <c r="V622">
        <f>HYPERLINK("https://klasma.github.io/Logging_181884/klagomål/A 20659-2025 FSC-klagomål.docx", "A 20659-2025")</f>
        <v/>
      </c>
      <c r="W622">
        <f>HYPERLINK("https://klasma.github.io/Logging_181884/klagomålsmail/A 20659-2025 FSC-klagomål mail.docx", "A 20659-2025")</f>
        <v/>
      </c>
      <c r="X622">
        <f>HYPERLINK("https://klasma.github.io/Logging_181884/tillsyn/A 20659-2025 tillsynsbegäran.docx", "A 20659-2025")</f>
        <v/>
      </c>
      <c r="Y622">
        <f>HYPERLINK("https://klasma.github.io/Logging_181884/tillsynsmail/A 20659-2025 tillsynsbegäran mail.docx", "A 20659-2025")</f>
        <v/>
      </c>
    </row>
    <row r="623" ht="15" customHeight="1">
      <c r="A623" t="inlineStr">
        <is>
          <t>A 21440-2025</t>
        </is>
      </c>
      <c r="B623" s="1" t="n">
        <v>45782</v>
      </c>
      <c r="C623" s="1" t="n">
        <v>45797</v>
      </c>
      <c r="D623" t="inlineStr">
        <is>
          <t>ÖREBRO LÄN</t>
        </is>
      </c>
      <c r="E623" t="inlineStr">
        <is>
          <t>LINDESBERG</t>
        </is>
      </c>
      <c r="F623" t="inlineStr">
        <is>
          <t>Sveaskog</t>
        </is>
      </c>
      <c r="G623" t="n">
        <v>1.3</v>
      </c>
      <c r="H623" t="n">
        <v>0</v>
      </c>
      <c r="I623" t="n">
        <v>0</v>
      </c>
      <c r="J623" t="n">
        <v>1</v>
      </c>
      <c r="K623" t="n">
        <v>0</v>
      </c>
      <c r="L623" t="n">
        <v>0</v>
      </c>
      <c r="M623" t="n">
        <v>0</v>
      </c>
      <c r="N623" t="n">
        <v>0</v>
      </c>
      <c r="O623" t="n">
        <v>1</v>
      </c>
      <c r="P623" t="n">
        <v>0</v>
      </c>
      <c r="Q623" t="n">
        <v>1</v>
      </c>
      <c r="R623" s="2" t="inlineStr">
        <is>
          <t>Motaggsvamp</t>
        </is>
      </c>
      <c r="S623">
        <f>HYPERLINK("https://klasma.github.io/Logging_181885/artfynd/A 21440-2025 artfynd.xlsx", "A 21440-2025")</f>
        <v/>
      </c>
      <c r="T623">
        <f>HYPERLINK("https://klasma.github.io/Logging_181885/kartor/A 21440-2025 karta.png", "A 21440-2025")</f>
        <v/>
      </c>
      <c r="V623">
        <f>HYPERLINK("https://klasma.github.io/Logging_181885/klagomål/A 21440-2025 FSC-klagomål.docx", "A 21440-2025")</f>
        <v/>
      </c>
      <c r="W623">
        <f>HYPERLINK("https://klasma.github.io/Logging_181885/klagomålsmail/A 21440-2025 FSC-klagomål mail.docx", "A 21440-2025")</f>
        <v/>
      </c>
      <c r="X623">
        <f>HYPERLINK("https://klasma.github.io/Logging_181885/tillsyn/A 21440-2025 tillsynsbegäran.docx", "A 21440-2025")</f>
        <v/>
      </c>
      <c r="Y623">
        <f>HYPERLINK("https://klasma.github.io/Logging_181885/tillsynsmail/A 21440-2025 tillsynsbegäran mail.docx", "A 21440-2025")</f>
        <v/>
      </c>
    </row>
    <row r="624" ht="15" customHeight="1">
      <c r="A624" t="inlineStr">
        <is>
          <t>A 21779-2025</t>
        </is>
      </c>
      <c r="B624" s="1" t="n">
        <v>45783</v>
      </c>
      <c r="C624" s="1" t="n">
        <v>45797</v>
      </c>
      <c r="D624" t="inlineStr">
        <is>
          <t>ÖREBRO LÄN</t>
        </is>
      </c>
      <c r="E624" t="inlineStr">
        <is>
          <t>LINDESBERG</t>
        </is>
      </c>
      <c r="G624" t="n">
        <v>8.5</v>
      </c>
      <c r="H624" t="n">
        <v>1</v>
      </c>
      <c r="I624" t="n">
        <v>0</v>
      </c>
      <c r="J624" t="n">
        <v>0</v>
      </c>
      <c r="K624" t="n">
        <v>0</v>
      </c>
      <c r="L624" t="n">
        <v>0</v>
      </c>
      <c r="M624" t="n">
        <v>0</v>
      </c>
      <c r="N624" t="n">
        <v>0</v>
      </c>
      <c r="O624" t="n">
        <v>0</v>
      </c>
      <c r="P624" t="n">
        <v>0</v>
      </c>
      <c r="Q624" t="n">
        <v>1</v>
      </c>
      <c r="R624" s="2" t="inlineStr">
        <is>
          <t>Mindre vattensalamander</t>
        </is>
      </c>
      <c r="S624">
        <f>HYPERLINK("https://klasma.github.io/Logging_181885/artfynd/A 21779-2025 artfynd.xlsx", "A 21779-2025")</f>
        <v/>
      </c>
      <c r="T624">
        <f>HYPERLINK("https://klasma.github.io/Logging_181885/kartor/A 21779-2025 karta.png", "A 21779-2025")</f>
        <v/>
      </c>
      <c r="V624">
        <f>HYPERLINK("https://klasma.github.io/Logging_181885/klagomål/A 21779-2025 FSC-klagomål.docx", "A 21779-2025")</f>
        <v/>
      </c>
      <c r="W624">
        <f>HYPERLINK("https://klasma.github.io/Logging_181885/klagomålsmail/A 21779-2025 FSC-klagomål mail.docx", "A 21779-2025")</f>
        <v/>
      </c>
      <c r="X624">
        <f>HYPERLINK("https://klasma.github.io/Logging_181885/tillsyn/A 21779-2025 tillsynsbegäran.docx", "A 21779-2025")</f>
        <v/>
      </c>
      <c r="Y624">
        <f>HYPERLINK("https://klasma.github.io/Logging_181885/tillsynsmail/A 21779-2025 tillsynsbegäran mail.docx", "A 21779-2025")</f>
        <v/>
      </c>
    </row>
    <row r="625" ht="15" customHeight="1">
      <c r="A625" t="inlineStr">
        <is>
          <t>A 21847-2025</t>
        </is>
      </c>
      <c r="B625" s="1" t="n">
        <v>45784</v>
      </c>
      <c r="C625" s="1" t="n">
        <v>45797</v>
      </c>
      <c r="D625" t="inlineStr">
        <is>
          <t>ÖREBRO LÄN</t>
        </is>
      </c>
      <c r="E625" t="inlineStr">
        <is>
          <t>KARLSKOGA</t>
        </is>
      </c>
      <c r="F625" t="inlineStr">
        <is>
          <t>Sveaskog</t>
        </is>
      </c>
      <c r="G625" t="n">
        <v>8.5</v>
      </c>
      <c r="H625" t="n">
        <v>0</v>
      </c>
      <c r="I625" t="n">
        <v>0</v>
      </c>
      <c r="J625" t="n">
        <v>1</v>
      </c>
      <c r="K625" t="n">
        <v>0</v>
      </c>
      <c r="L625" t="n">
        <v>0</v>
      </c>
      <c r="M625" t="n">
        <v>0</v>
      </c>
      <c r="N625" t="n">
        <v>0</v>
      </c>
      <c r="O625" t="n">
        <v>1</v>
      </c>
      <c r="P625" t="n">
        <v>0</v>
      </c>
      <c r="Q625" t="n">
        <v>1</v>
      </c>
      <c r="R625" s="2" t="inlineStr">
        <is>
          <t>Vedtrappmossa</t>
        </is>
      </c>
      <c r="S625">
        <f>HYPERLINK("https://klasma.github.io/Logging_181883/artfynd/A 21847-2025 artfynd.xlsx", "A 21847-2025")</f>
        <v/>
      </c>
      <c r="T625">
        <f>HYPERLINK("https://klasma.github.io/Logging_181883/kartor/A 21847-2025 karta.png", "A 21847-2025")</f>
        <v/>
      </c>
      <c r="V625">
        <f>HYPERLINK("https://klasma.github.io/Logging_181883/klagomål/A 21847-2025 FSC-klagomål.docx", "A 21847-2025")</f>
        <v/>
      </c>
      <c r="W625">
        <f>HYPERLINK("https://klasma.github.io/Logging_181883/klagomålsmail/A 21847-2025 FSC-klagomål mail.docx", "A 21847-2025")</f>
        <v/>
      </c>
      <c r="X625">
        <f>HYPERLINK("https://klasma.github.io/Logging_181883/tillsyn/A 21847-2025 tillsynsbegäran.docx", "A 21847-2025")</f>
        <v/>
      </c>
      <c r="Y625">
        <f>HYPERLINK("https://klasma.github.io/Logging_181883/tillsynsmail/A 21847-2025 tillsynsbegäran mail.docx", "A 21847-2025")</f>
        <v/>
      </c>
    </row>
    <row r="626" ht="15" customHeight="1">
      <c r="A626" t="inlineStr">
        <is>
          <t>A 21885-2025</t>
        </is>
      </c>
      <c r="B626" s="1" t="n">
        <v>45784</v>
      </c>
      <c r="C626" s="1" t="n">
        <v>45797</v>
      </c>
      <c r="D626" t="inlineStr">
        <is>
          <t>ÖREBRO LÄN</t>
        </is>
      </c>
      <c r="E626" t="inlineStr">
        <is>
          <t>KARLSKOGA</t>
        </is>
      </c>
      <c r="G626" t="n">
        <v>1.7</v>
      </c>
      <c r="H626" t="n">
        <v>0</v>
      </c>
      <c r="I626" t="n">
        <v>1</v>
      </c>
      <c r="J626" t="n">
        <v>0</v>
      </c>
      <c r="K626" t="n">
        <v>0</v>
      </c>
      <c r="L626" t="n">
        <v>0</v>
      </c>
      <c r="M626" t="n">
        <v>0</v>
      </c>
      <c r="N626" t="n">
        <v>0</v>
      </c>
      <c r="O626" t="n">
        <v>0</v>
      </c>
      <c r="P626" t="n">
        <v>0</v>
      </c>
      <c r="Q626" t="n">
        <v>1</v>
      </c>
      <c r="R626" s="2" t="inlineStr">
        <is>
          <t>Grovticka</t>
        </is>
      </c>
      <c r="S626">
        <f>HYPERLINK("https://klasma.github.io/Logging_181883/artfynd/A 21885-2025 artfynd.xlsx", "A 21885-2025")</f>
        <v/>
      </c>
      <c r="T626">
        <f>HYPERLINK("https://klasma.github.io/Logging_181883/kartor/A 21885-2025 karta.png", "A 21885-2025")</f>
        <v/>
      </c>
      <c r="V626">
        <f>HYPERLINK("https://klasma.github.io/Logging_181883/klagomål/A 21885-2025 FSC-klagomål.docx", "A 21885-2025")</f>
        <v/>
      </c>
      <c r="W626">
        <f>HYPERLINK("https://klasma.github.io/Logging_181883/klagomålsmail/A 21885-2025 FSC-klagomål mail.docx", "A 21885-2025")</f>
        <v/>
      </c>
      <c r="X626">
        <f>HYPERLINK("https://klasma.github.io/Logging_181883/tillsyn/A 21885-2025 tillsynsbegäran.docx", "A 21885-2025")</f>
        <v/>
      </c>
      <c r="Y626">
        <f>HYPERLINK("https://klasma.github.io/Logging_181883/tillsynsmail/A 21885-2025 tillsynsbegäran mail.docx", "A 21885-2025")</f>
        <v/>
      </c>
    </row>
    <row r="627" ht="15" customHeight="1">
      <c r="A627" t="inlineStr">
        <is>
          <t>A 23998-2025</t>
        </is>
      </c>
      <c r="B627" s="1" t="n">
        <v>45796</v>
      </c>
      <c r="C627" s="1" t="n">
        <v>45797</v>
      </c>
      <c r="D627" t="inlineStr">
        <is>
          <t>ÖREBRO LÄN</t>
        </is>
      </c>
      <c r="E627" t="inlineStr">
        <is>
          <t>ÖREBRO</t>
        </is>
      </c>
      <c r="G627" t="n">
        <v>4.7</v>
      </c>
      <c r="H627" t="n">
        <v>0</v>
      </c>
      <c r="I627" t="n">
        <v>1</v>
      </c>
      <c r="J627" t="n">
        <v>0</v>
      </c>
      <c r="K627" t="n">
        <v>0</v>
      </c>
      <c r="L627" t="n">
        <v>0</v>
      </c>
      <c r="M627" t="n">
        <v>0</v>
      </c>
      <c r="N627" t="n">
        <v>0</v>
      </c>
      <c r="O627" t="n">
        <v>0</v>
      </c>
      <c r="P627" t="n">
        <v>0</v>
      </c>
      <c r="Q627" t="n">
        <v>1</v>
      </c>
      <c r="R627" s="2" t="inlineStr">
        <is>
          <t>Kambräken</t>
        </is>
      </c>
      <c r="S627">
        <f>HYPERLINK("https://klasma.github.io/Logging_181880/artfynd/A 23998-2025 artfynd.xlsx", "A 23998-2025")</f>
        <v/>
      </c>
      <c r="T627">
        <f>HYPERLINK("https://klasma.github.io/Logging_181880/kartor/A 23998-2025 karta.png", "A 23998-2025")</f>
        <v/>
      </c>
      <c r="V627">
        <f>HYPERLINK("https://klasma.github.io/Logging_181880/klagomål/A 23998-2025 FSC-klagomål.docx", "A 23998-2025")</f>
        <v/>
      </c>
      <c r="W627">
        <f>HYPERLINK("https://klasma.github.io/Logging_181880/klagomålsmail/A 23998-2025 FSC-klagomål mail.docx", "A 23998-2025")</f>
        <v/>
      </c>
      <c r="X627">
        <f>HYPERLINK("https://klasma.github.io/Logging_181880/tillsyn/A 23998-2025 tillsynsbegäran.docx", "A 23998-2025")</f>
        <v/>
      </c>
      <c r="Y627">
        <f>HYPERLINK("https://klasma.github.io/Logging_181880/tillsynsmail/A 23998-2025 tillsynsbegäran mail.docx", "A 23998-2025")</f>
        <v/>
      </c>
    </row>
    <row r="628" ht="15" customHeight="1">
      <c r="A628" t="inlineStr">
        <is>
          <t>A 17632-2019</t>
        </is>
      </c>
      <c r="B628" s="1" t="n">
        <v>43556</v>
      </c>
      <c r="C628" s="1" t="n">
        <v>45797</v>
      </c>
      <c r="D628" t="inlineStr">
        <is>
          <t>ÖREBRO LÄN</t>
        </is>
      </c>
      <c r="E628" t="inlineStr">
        <is>
          <t>HALLSBERG</t>
        </is>
      </c>
      <c r="G628" t="n">
        <v>3.6</v>
      </c>
      <c r="H628" t="n">
        <v>0</v>
      </c>
      <c r="I628" t="n">
        <v>0</v>
      </c>
      <c r="J628" t="n">
        <v>0</v>
      </c>
      <c r="K628" t="n">
        <v>0</v>
      </c>
      <c r="L628" t="n">
        <v>0</v>
      </c>
      <c r="M628" t="n">
        <v>0</v>
      </c>
      <c r="N628" t="n">
        <v>0</v>
      </c>
      <c r="O628" t="n">
        <v>0</v>
      </c>
      <c r="P628" t="n">
        <v>0</v>
      </c>
      <c r="Q628" t="n">
        <v>0</v>
      </c>
      <c r="R628" s="2" t="inlineStr"/>
    </row>
    <row r="629" ht="15" customHeight="1">
      <c r="A629" t="inlineStr">
        <is>
          <t>A 17995-2019</t>
        </is>
      </c>
      <c r="B629" s="1" t="n">
        <v>43556</v>
      </c>
      <c r="C629" s="1" t="n">
        <v>45797</v>
      </c>
      <c r="D629" t="inlineStr">
        <is>
          <t>ÖREBRO LÄN</t>
        </is>
      </c>
      <c r="E629" t="inlineStr">
        <is>
          <t>ASKERSUND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17842-2019</t>
        </is>
      </c>
      <c r="B630" s="1" t="n">
        <v>43556</v>
      </c>
      <c r="C630" s="1" t="n">
        <v>45797</v>
      </c>
      <c r="D630" t="inlineStr">
        <is>
          <t>ÖREBRO LÄN</t>
        </is>
      </c>
      <c r="E630" t="inlineStr">
        <is>
          <t>DEGERFORS</t>
        </is>
      </c>
      <c r="G630" t="n">
        <v>2.9</v>
      </c>
      <c r="H630" t="n">
        <v>0</v>
      </c>
      <c r="I630" t="n">
        <v>0</v>
      </c>
      <c r="J630" t="n">
        <v>0</v>
      </c>
      <c r="K630" t="n">
        <v>0</v>
      </c>
      <c r="L630" t="n">
        <v>0</v>
      </c>
      <c r="M630" t="n">
        <v>0</v>
      </c>
      <c r="N630" t="n">
        <v>0</v>
      </c>
      <c r="O630" t="n">
        <v>0</v>
      </c>
      <c r="P630" t="n">
        <v>0</v>
      </c>
      <c r="Q630" t="n">
        <v>0</v>
      </c>
      <c r="R630" s="2" t="inlineStr"/>
    </row>
    <row r="631" ht="15" customHeight="1">
      <c r="A631" t="inlineStr">
        <is>
          <t>A 18053-2019</t>
        </is>
      </c>
      <c r="B631" s="1" t="n">
        <v>43557</v>
      </c>
      <c r="C631" s="1" t="n">
        <v>45797</v>
      </c>
      <c r="D631" t="inlineStr">
        <is>
          <t>ÖREBRO LÄN</t>
        </is>
      </c>
      <c r="E631" t="inlineStr">
        <is>
          <t>LINDESBERG</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18433-2019</t>
        </is>
      </c>
      <c r="B632" s="1" t="n">
        <v>43557</v>
      </c>
      <c r="C632" s="1" t="n">
        <v>45797</v>
      </c>
      <c r="D632" t="inlineStr">
        <is>
          <t>ÖREBRO LÄN</t>
        </is>
      </c>
      <c r="E632" t="inlineStr">
        <is>
          <t>LEKEBERG</t>
        </is>
      </c>
      <c r="G632" t="n">
        <v>2.9</v>
      </c>
      <c r="H632" t="n">
        <v>0</v>
      </c>
      <c r="I632" t="n">
        <v>0</v>
      </c>
      <c r="J632" t="n">
        <v>0</v>
      </c>
      <c r="K632" t="n">
        <v>0</v>
      </c>
      <c r="L632" t="n">
        <v>0</v>
      </c>
      <c r="M632" t="n">
        <v>0</v>
      </c>
      <c r="N632" t="n">
        <v>0</v>
      </c>
      <c r="O632" t="n">
        <v>0</v>
      </c>
      <c r="P632" t="n">
        <v>0</v>
      </c>
      <c r="Q632" t="n">
        <v>0</v>
      </c>
      <c r="R632" s="2" t="inlineStr"/>
    </row>
    <row r="633" ht="15" customHeight="1">
      <c r="A633" t="inlineStr">
        <is>
          <t>A 18034-2019</t>
        </is>
      </c>
      <c r="B633" s="1" t="n">
        <v>43557</v>
      </c>
      <c r="C633" s="1" t="n">
        <v>45797</v>
      </c>
      <c r="D633" t="inlineStr">
        <is>
          <t>ÖREBRO LÄN</t>
        </is>
      </c>
      <c r="E633" t="inlineStr">
        <is>
          <t>ÖREBRO</t>
        </is>
      </c>
      <c r="G633" t="n">
        <v>1</v>
      </c>
      <c r="H633" t="n">
        <v>0</v>
      </c>
      <c r="I633" t="n">
        <v>0</v>
      </c>
      <c r="J633" t="n">
        <v>0</v>
      </c>
      <c r="K633" t="n">
        <v>0</v>
      </c>
      <c r="L633" t="n">
        <v>0</v>
      </c>
      <c r="M633" t="n">
        <v>0</v>
      </c>
      <c r="N633" t="n">
        <v>0</v>
      </c>
      <c r="O633" t="n">
        <v>0</v>
      </c>
      <c r="P633" t="n">
        <v>0</v>
      </c>
      <c r="Q633" t="n">
        <v>0</v>
      </c>
      <c r="R633" s="2" t="inlineStr"/>
    </row>
    <row r="634" ht="15" customHeight="1">
      <c r="A634" t="inlineStr">
        <is>
          <t>A 18437-2019</t>
        </is>
      </c>
      <c r="B634" s="1" t="n">
        <v>43557</v>
      </c>
      <c r="C634" s="1" t="n">
        <v>45797</v>
      </c>
      <c r="D634" t="inlineStr">
        <is>
          <t>ÖREBRO LÄN</t>
        </is>
      </c>
      <c r="E634" t="inlineStr">
        <is>
          <t>LEKEBERG</t>
        </is>
      </c>
      <c r="G634" t="n">
        <v>0.7</v>
      </c>
      <c r="H634" t="n">
        <v>0</v>
      </c>
      <c r="I634" t="n">
        <v>0</v>
      </c>
      <c r="J634" t="n">
        <v>0</v>
      </c>
      <c r="K634" t="n">
        <v>0</v>
      </c>
      <c r="L634" t="n">
        <v>0</v>
      </c>
      <c r="M634" t="n">
        <v>0</v>
      </c>
      <c r="N634" t="n">
        <v>0</v>
      </c>
      <c r="O634" t="n">
        <v>0</v>
      </c>
      <c r="P634" t="n">
        <v>0</v>
      </c>
      <c r="Q634" t="n">
        <v>0</v>
      </c>
      <c r="R634" s="2" t="inlineStr"/>
    </row>
    <row r="635" ht="15" customHeight="1">
      <c r="A635" t="inlineStr">
        <is>
          <t>A 18193-2019</t>
        </is>
      </c>
      <c r="B635" s="1" t="n">
        <v>43558</v>
      </c>
      <c r="C635" s="1" t="n">
        <v>45797</v>
      </c>
      <c r="D635" t="inlineStr">
        <is>
          <t>ÖREBRO LÄN</t>
        </is>
      </c>
      <c r="E635" t="inlineStr">
        <is>
          <t>ASKERSUND</t>
        </is>
      </c>
      <c r="G635" t="n">
        <v>5.9</v>
      </c>
      <c r="H635" t="n">
        <v>0</v>
      </c>
      <c r="I635" t="n">
        <v>0</v>
      </c>
      <c r="J635" t="n">
        <v>0</v>
      </c>
      <c r="K635" t="n">
        <v>0</v>
      </c>
      <c r="L635" t="n">
        <v>0</v>
      </c>
      <c r="M635" t="n">
        <v>0</v>
      </c>
      <c r="N635" t="n">
        <v>0</v>
      </c>
      <c r="O635" t="n">
        <v>0</v>
      </c>
      <c r="P635" t="n">
        <v>0</v>
      </c>
      <c r="Q635" t="n">
        <v>0</v>
      </c>
      <c r="R635" s="2" t="inlineStr"/>
    </row>
    <row r="636" ht="15" customHeight="1">
      <c r="A636" t="inlineStr">
        <is>
          <t>A 18119-2019</t>
        </is>
      </c>
      <c r="B636" s="1" t="n">
        <v>43558</v>
      </c>
      <c r="C636" s="1" t="n">
        <v>45797</v>
      </c>
      <c r="D636" t="inlineStr">
        <is>
          <t>ÖREBRO LÄN</t>
        </is>
      </c>
      <c r="E636" t="inlineStr">
        <is>
          <t>LINDESBERG</t>
        </is>
      </c>
      <c r="G636" t="n">
        <v>3.4</v>
      </c>
      <c r="H636" t="n">
        <v>0</v>
      </c>
      <c r="I636" t="n">
        <v>0</v>
      </c>
      <c r="J636" t="n">
        <v>0</v>
      </c>
      <c r="K636" t="n">
        <v>0</v>
      </c>
      <c r="L636" t="n">
        <v>0</v>
      </c>
      <c r="M636" t="n">
        <v>0</v>
      </c>
      <c r="N636" t="n">
        <v>0</v>
      </c>
      <c r="O636" t="n">
        <v>0</v>
      </c>
      <c r="P636" t="n">
        <v>0</v>
      </c>
      <c r="Q636" t="n">
        <v>0</v>
      </c>
      <c r="R636" s="2" t="inlineStr"/>
    </row>
    <row r="637" ht="15" customHeight="1">
      <c r="A637" t="inlineStr">
        <is>
          <t>A 18702-2019</t>
        </is>
      </c>
      <c r="B637" s="1" t="n">
        <v>43558</v>
      </c>
      <c r="C637" s="1" t="n">
        <v>45797</v>
      </c>
      <c r="D637" t="inlineStr">
        <is>
          <t>ÖREBRO LÄN</t>
        </is>
      </c>
      <c r="E637" t="inlineStr">
        <is>
          <t>ASKERSUND</t>
        </is>
      </c>
      <c r="G637" t="n">
        <v>7.7</v>
      </c>
      <c r="H637" t="n">
        <v>0</v>
      </c>
      <c r="I637" t="n">
        <v>0</v>
      </c>
      <c r="J637" t="n">
        <v>0</v>
      </c>
      <c r="K637" t="n">
        <v>0</v>
      </c>
      <c r="L637" t="n">
        <v>0</v>
      </c>
      <c r="M637" t="n">
        <v>0</v>
      </c>
      <c r="N637" t="n">
        <v>0</v>
      </c>
      <c r="O637" t="n">
        <v>0</v>
      </c>
      <c r="P637" t="n">
        <v>0</v>
      </c>
      <c r="Q637" t="n">
        <v>0</v>
      </c>
      <c r="R637" s="2" t="inlineStr"/>
    </row>
    <row r="638" ht="15" customHeight="1">
      <c r="A638" t="inlineStr">
        <is>
          <t>A 18123-2019</t>
        </is>
      </c>
      <c r="B638" s="1" t="n">
        <v>43558</v>
      </c>
      <c r="C638" s="1" t="n">
        <v>45797</v>
      </c>
      <c r="D638" t="inlineStr">
        <is>
          <t>ÖREBRO LÄN</t>
        </is>
      </c>
      <c r="E638" t="inlineStr">
        <is>
          <t>KUMLA</t>
        </is>
      </c>
      <c r="G638" t="n">
        <v>0.9</v>
      </c>
      <c r="H638" t="n">
        <v>0</v>
      </c>
      <c r="I638" t="n">
        <v>0</v>
      </c>
      <c r="J638" t="n">
        <v>0</v>
      </c>
      <c r="K638" t="n">
        <v>0</v>
      </c>
      <c r="L638" t="n">
        <v>0</v>
      </c>
      <c r="M638" t="n">
        <v>0</v>
      </c>
      <c r="N638" t="n">
        <v>0</v>
      </c>
      <c r="O638" t="n">
        <v>0</v>
      </c>
      <c r="P638" t="n">
        <v>0</v>
      </c>
      <c r="Q638" t="n">
        <v>0</v>
      </c>
      <c r="R638" s="2" t="inlineStr"/>
    </row>
    <row r="639" ht="15" customHeight="1">
      <c r="A639" t="inlineStr">
        <is>
          <t>A 18331-2019</t>
        </is>
      </c>
      <c r="B639" s="1" t="n">
        <v>43558</v>
      </c>
      <c r="C639" s="1" t="n">
        <v>45797</v>
      </c>
      <c r="D639" t="inlineStr">
        <is>
          <t>ÖREBRO LÄN</t>
        </is>
      </c>
      <c r="E639" t="inlineStr">
        <is>
          <t>HALLSBERG</t>
        </is>
      </c>
      <c r="G639" t="n">
        <v>3.1</v>
      </c>
      <c r="H639" t="n">
        <v>0</v>
      </c>
      <c r="I639" t="n">
        <v>0</v>
      </c>
      <c r="J639" t="n">
        <v>0</v>
      </c>
      <c r="K639" t="n">
        <v>0</v>
      </c>
      <c r="L639" t="n">
        <v>0</v>
      </c>
      <c r="M639" t="n">
        <v>0</v>
      </c>
      <c r="N639" t="n">
        <v>0</v>
      </c>
      <c r="O639" t="n">
        <v>0</v>
      </c>
      <c r="P639" t="n">
        <v>0</v>
      </c>
      <c r="Q639" t="n">
        <v>0</v>
      </c>
      <c r="R639" s="2" t="inlineStr"/>
    </row>
    <row r="640" ht="15" customHeight="1">
      <c r="A640" t="inlineStr">
        <is>
          <t>A 18382-2019</t>
        </is>
      </c>
      <c r="B640" s="1" t="n">
        <v>43559</v>
      </c>
      <c r="C640" s="1" t="n">
        <v>45797</v>
      </c>
      <c r="D640" t="inlineStr">
        <is>
          <t>ÖREBRO LÄN</t>
        </is>
      </c>
      <c r="E640" t="inlineStr">
        <is>
          <t>KARLSKOGA</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18461-2019</t>
        </is>
      </c>
      <c r="B641" s="1" t="n">
        <v>43559</v>
      </c>
      <c r="C641" s="1" t="n">
        <v>45797</v>
      </c>
      <c r="D641" t="inlineStr">
        <is>
          <t>ÖREBRO LÄN</t>
        </is>
      </c>
      <c r="E641" t="inlineStr">
        <is>
          <t>KARLSKOGA</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18747-2019</t>
        </is>
      </c>
      <c r="B642" s="1" t="n">
        <v>43560</v>
      </c>
      <c r="C642" s="1" t="n">
        <v>45797</v>
      </c>
      <c r="D642" t="inlineStr">
        <is>
          <t>ÖREBRO LÄN</t>
        </is>
      </c>
      <c r="E642" t="inlineStr">
        <is>
          <t>LINDESBERG</t>
        </is>
      </c>
      <c r="G642" t="n">
        <v>3.5</v>
      </c>
      <c r="H642" t="n">
        <v>0</v>
      </c>
      <c r="I642" t="n">
        <v>0</v>
      </c>
      <c r="J642" t="n">
        <v>0</v>
      </c>
      <c r="K642" t="n">
        <v>0</v>
      </c>
      <c r="L642" t="n">
        <v>0</v>
      </c>
      <c r="M642" t="n">
        <v>0</v>
      </c>
      <c r="N642" t="n">
        <v>0</v>
      </c>
      <c r="O642" t="n">
        <v>0</v>
      </c>
      <c r="P642" t="n">
        <v>0</v>
      </c>
      <c r="Q642" t="n">
        <v>0</v>
      </c>
      <c r="R642" s="2" t="inlineStr"/>
    </row>
    <row r="643" ht="15" customHeight="1">
      <c r="A643" t="inlineStr">
        <is>
          <t>A 18743-2019</t>
        </is>
      </c>
      <c r="B643" s="1" t="n">
        <v>43560</v>
      </c>
      <c r="C643" s="1" t="n">
        <v>45797</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18595-2019</t>
        </is>
      </c>
      <c r="B644" s="1" t="n">
        <v>43560</v>
      </c>
      <c r="C644" s="1" t="n">
        <v>45797</v>
      </c>
      <c r="D644" t="inlineStr">
        <is>
          <t>ÖREBRO LÄN</t>
        </is>
      </c>
      <c r="E644" t="inlineStr">
        <is>
          <t>LJUSNARSBERG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18891-2019</t>
        </is>
      </c>
      <c r="B645" s="1" t="n">
        <v>43563</v>
      </c>
      <c r="C645" s="1" t="n">
        <v>45797</v>
      </c>
      <c r="D645" t="inlineStr">
        <is>
          <t>ÖREBRO LÄN</t>
        </is>
      </c>
      <c r="E645" t="inlineStr">
        <is>
          <t>NORA</t>
        </is>
      </c>
      <c r="F645" t="inlineStr">
        <is>
          <t>Kommuner</t>
        </is>
      </c>
      <c r="G645" t="n">
        <v>7.8</v>
      </c>
      <c r="H645" t="n">
        <v>0</v>
      </c>
      <c r="I645" t="n">
        <v>0</v>
      </c>
      <c r="J645" t="n">
        <v>0</v>
      </c>
      <c r="K645" t="n">
        <v>0</v>
      </c>
      <c r="L645" t="n">
        <v>0</v>
      </c>
      <c r="M645" t="n">
        <v>0</v>
      </c>
      <c r="N645" t="n">
        <v>0</v>
      </c>
      <c r="O645" t="n">
        <v>0</v>
      </c>
      <c r="P645" t="n">
        <v>0</v>
      </c>
      <c r="Q645" t="n">
        <v>0</v>
      </c>
      <c r="R645" s="2" t="inlineStr"/>
    </row>
    <row r="646" ht="15" customHeight="1">
      <c r="A646" t="inlineStr">
        <is>
          <t>A 18914-2019</t>
        </is>
      </c>
      <c r="B646" s="1" t="n">
        <v>43563</v>
      </c>
      <c r="C646" s="1" t="n">
        <v>45797</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19042-2019</t>
        </is>
      </c>
      <c r="B647" s="1" t="n">
        <v>43563</v>
      </c>
      <c r="C647" s="1" t="n">
        <v>45797</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19047-2019</t>
        </is>
      </c>
      <c r="B648" s="1" t="n">
        <v>43563</v>
      </c>
      <c r="C648" s="1" t="n">
        <v>45797</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19049-2019</t>
        </is>
      </c>
      <c r="B649" s="1" t="n">
        <v>43563</v>
      </c>
      <c r="C649" s="1" t="n">
        <v>45797</v>
      </c>
      <c r="D649" t="inlineStr">
        <is>
          <t>ÖREBRO LÄN</t>
        </is>
      </c>
      <c r="E649" t="inlineStr">
        <is>
          <t>ÖREBRO</t>
        </is>
      </c>
      <c r="G649" t="n">
        <v>2.1</v>
      </c>
      <c r="H649" t="n">
        <v>0</v>
      </c>
      <c r="I649" t="n">
        <v>0</v>
      </c>
      <c r="J649" t="n">
        <v>0</v>
      </c>
      <c r="K649" t="n">
        <v>0</v>
      </c>
      <c r="L649" t="n">
        <v>0</v>
      </c>
      <c r="M649" t="n">
        <v>0</v>
      </c>
      <c r="N649" t="n">
        <v>0</v>
      </c>
      <c r="O649" t="n">
        <v>0</v>
      </c>
      <c r="P649" t="n">
        <v>0</v>
      </c>
      <c r="Q649" t="n">
        <v>0</v>
      </c>
      <c r="R649" s="2" t="inlineStr"/>
    </row>
    <row r="650" ht="15" customHeight="1">
      <c r="A650" t="inlineStr">
        <is>
          <t>A 19044-2019</t>
        </is>
      </c>
      <c r="B650" s="1" t="n">
        <v>43563</v>
      </c>
      <c r="C650" s="1" t="n">
        <v>45797</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19048-2019</t>
        </is>
      </c>
      <c r="B651" s="1" t="n">
        <v>43563</v>
      </c>
      <c r="C651" s="1" t="n">
        <v>45797</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19045-2019</t>
        </is>
      </c>
      <c r="B652" s="1" t="n">
        <v>43563</v>
      </c>
      <c r="C652" s="1" t="n">
        <v>45797</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19046-2019</t>
        </is>
      </c>
      <c r="B653" s="1" t="n">
        <v>43563</v>
      </c>
      <c r="C653" s="1" t="n">
        <v>45797</v>
      </c>
      <c r="D653" t="inlineStr">
        <is>
          <t>ÖREBRO LÄN</t>
        </is>
      </c>
      <c r="E653" t="inlineStr">
        <is>
          <t>ÖREBRO</t>
        </is>
      </c>
      <c r="G653" t="n">
        <v>1.5</v>
      </c>
      <c r="H653" t="n">
        <v>0</v>
      </c>
      <c r="I653" t="n">
        <v>0</v>
      </c>
      <c r="J653" t="n">
        <v>0</v>
      </c>
      <c r="K653" t="n">
        <v>0</v>
      </c>
      <c r="L653" t="n">
        <v>0</v>
      </c>
      <c r="M653" t="n">
        <v>0</v>
      </c>
      <c r="N653" t="n">
        <v>0</v>
      </c>
      <c r="O653" t="n">
        <v>0</v>
      </c>
      <c r="P653" t="n">
        <v>0</v>
      </c>
      <c r="Q653" t="n">
        <v>0</v>
      </c>
      <c r="R653" s="2" t="inlineStr"/>
    </row>
    <row r="654" ht="15" customHeight="1">
      <c r="A654" t="inlineStr">
        <is>
          <t>A 19227-2019</t>
        </is>
      </c>
      <c r="B654" s="1" t="n">
        <v>43564</v>
      </c>
      <c r="C654" s="1" t="n">
        <v>45797</v>
      </c>
      <c r="D654" t="inlineStr">
        <is>
          <t>ÖREBRO LÄN</t>
        </is>
      </c>
      <c r="E654" t="inlineStr">
        <is>
          <t>LINDESBERG</t>
        </is>
      </c>
      <c r="G654" t="n">
        <v>22.1</v>
      </c>
      <c r="H654" t="n">
        <v>0</v>
      </c>
      <c r="I654" t="n">
        <v>0</v>
      </c>
      <c r="J654" t="n">
        <v>0</v>
      </c>
      <c r="K654" t="n">
        <v>0</v>
      </c>
      <c r="L654" t="n">
        <v>0</v>
      </c>
      <c r="M654" t="n">
        <v>0</v>
      </c>
      <c r="N654" t="n">
        <v>0</v>
      </c>
      <c r="O654" t="n">
        <v>0</v>
      </c>
      <c r="P654" t="n">
        <v>0</v>
      </c>
      <c r="Q654" t="n">
        <v>0</v>
      </c>
      <c r="R654" s="2" t="inlineStr"/>
    </row>
    <row r="655" ht="15" customHeight="1">
      <c r="A655" t="inlineStr">
        <is>
          <t>A 19184-2019</t>
        </is>
      </c>
      <c r="B655" s="1" t="n">
        <v>43564</v>
      </c>
      <c r="C655" s="1" t="n">
        <v>45797</v>
      </c>
      <c r="D655" t="inlineStr">
        <is>
          <t>ÖREBRO LÄN</t>
        </is>
      </c>
      <c r="E655" t="inlineStr">
        <is>
          <t>LJUSNARSBERG</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19192-2019</t>
        </is>
      </c>
      <c r="B656" s="1" t="n">
        <v>43564</v>
      </c>
      <c r="C656" s="1" t="n">
        <v>45797</v>
      </c>
      <c r="D656" t="inlineStr">
        <is>
          <t>ÖREBRO LÄN</t>
        </is>
      </c>
      <c r="E656" t="inlineStr">
        <is>
          <t>LJUSNARSBERG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19221-2019</t>
        </is>
      </c>
      <c r="B657" s="1" t="n">
        <v>43564</v>
      </c>
      <c r="C657" s="1" t="n">
        <v>45797</v>
      </c>
      <c r="D657" t="inlineStr">
        <is>
          <t>ÖREBRO LÄN</t>
        </is>
      </c>
      <c r="E657" t="inlineStr">
        <is>
          <t>LJUSNARSBERG</t>
        </is>
      </c>
      <c r="G657" t="n">
        <v>1.8</v>
      </c>
      <c r="H657" t="n">
        <v>0</v>
      </c>
      <c r="I657" t="n">
        <v>0</v>
      </c>
      <c r="J657" t="n">
        <v>0</v>
      </c>
      <c r="K657" t="n">
        <v>0</v>
      </c>
      <c r="L657" t="n">
        <v>0</v>
      </c>
      <c r="M657" t="n">
        <v>0</v>
      </c>
      <c r="N657" t="n">
        <v>0</v>
      </c>
      <c r="O657" t="n">
        <v>0</v>
      </c>
      <c r="P657" t="n">
        <v>0</v>
      </c>
      <c r="Q657" t="n">
        <v>0</v>
      </c>
      <c r="R657" s="2" t="inlineStr"/>
    </row>
    <row r="658" ht="15" customHeight="1">
      <c r="A658" t="inlineStr">
        <is>
          <t>A 19627-2019</t>
        </is>
      </c>
      <c r="B658" s="1" t="n">
        <v>43566</v>
      </c>
      <c r="C658" s="1" t="n">
        <v>45797</v>
      </c>
      <c r="D658" t="inlineStr">
        <is>
          <t>ÖREBRO LÄN</t>
        </is>
      </c>
      <c r="E658" t="inlineStr">
        <is>
          <t>LEKEBERG</t>
        </is>
      </c>
      <c r="G658" t="n">
        <v>2.7</v>
      </c>
      <c r="H658" t="n">
        <v>0</v>
      </c>
      <c r="I658" t="n">
        <v>0</v>
      </c>
      <c r="J658" t="n">
        <v>0</v>
      </c>
      <c r="K658" t="n">
        <v>0</v>
      </c>
      <c r="L658" t="n">
        <v>0</v>
      </c>
      <c r="M658" t="n">
        <v>0</v>
      </c>
      <c r="N658" t="n">
        <v>0</v>
      </c>
      <c r="O658" t="n">
        <v>0</v>
      </c>
      <c r="P658" t="n">
        <v>0</v>
      </c>
      <c r="Q658" t="n">
        <v>0</v>
      </c>
      <c r="R658" s="2" t="inlineStr"/>
    </row>
    <row r="659" ht="15" customHeight="1">
      <c r="A659" t="inlineStr">
        <is>
          <t>A 19631-2019</t>
        </is>
      </c>
      <c r="B659" s="1" t="n">
        <v>43566</v>
      </c>
      <c r="C659" s="1" t="n">
        <v>45797</v>
      </c>
      <c r="D659" t="inlineStr">
        <is>
          <t>ÖREBRO LÄN</t>
        </is>
      </c>
      <c r="E659" t="inlineStr">
        <is>
          <t>LEKEBERG</t>
        </is>
      </c>
      <c r="G659" t="n">
        <v>1</v>
      </c>
      <c r="H659" t="n">
        <v>0</v>
      </c>
      <c r="I659" t="n">
        <v>0</v>
      </c>
      <c r="J659" t="n">
        <v>0</v>
      </c>
      <c r="K659" t="n">
        <v>0</v>
      </c>
      <c r="L659" t="n">
        <v>0</v>
      </c>
      <c r="M659" t="n">
        <v>0</v>
      </c>
      <c r="N659" t="n">
        <v>0</v>
      </c>
      <c r="O659" t="n">
        <v>0</v>
      </c>
      <c r="P659" t="n">
        <v>0</v>
      </c>
      <c r="Q659" t="n">
        <v>0</v>
      </c>
      <c r="R659" s="2" t="inlineStr"/>
    </row>
    <row r="660" ht="15" customHeight="1">
      <c r="A660" t="inlineStr">
        <is>
          <t>A 19723-2019</t>
        </is>
      </c>
      <c r="B660" s="1" t="n">
        <v>43566</v>
      </c>
      <c r="C660" s="1" t="n">
        <v>45797</v>
      </c>
      <c r="D660" t="inlineStr">
        <is>
          <t>ÖREBRO LÄN</t>
        </is>
      </c>
      <c r="E660" t="inlineStr">
        <is>
          <t>KARLSKOGA</t>
        </is>
      </c>
      <c r="G660" t="n">
        <v>5.5</v>
      </c>
      <c r="H660" t="n">
        <v>0</v>
      </c>
      <c r="I660" t="n">
        <v>0</v>
      </c>
      <c r="J660" t="n">
        <v>0</v>
      </c>
      <c r="K660" t="n">
        <v>0</v>
      </c>
      <c r="L660" t="n">
        <v>0</v>
      </c>
      <c r="M660" t="n">
        <v>0</v>
      </c>
      <c r="N660" t="n">
        <v>0</v>
      </c>
      <c r="O660" t="n">
        <v>0</v>
      </c>
      <c r="P660" t="n">
        <v>0</v>
      </c>
      <c r="Q660" t="n">
        <v>0</v>
      </c>
      <c r="R660" s="2" t="inlineStr"/>
    </row>
    <row r="661" ht="15" customHeight="1">
      <c r="A661" t="inlineStr">
        <is>
          <t>A 19910-2019</t>
        </is>
      </c>
      <c r="B661" s="1" t="n">
        <v>43567</v>
      </c>
      <c r="C661" s="1" t="n">
        <v>45797</v>
      </c>
      <c r="D661" t="inlineStr">
        <is>
          <t>ÖREBRO LÄN</t>
        </is>
      </c>
      <c r="E661" t="inlineStr">
        <is>
          <t>NORA</t>
        </is>
      </c>
      <c r="G661" t="n">
        <v>3.9</v>
      </c>
      <c r="H661" t="n">
        <v>0</v>
      </c>
      <c r="I661" t="n">
        <v>0</v>
      </c>
      <c r="J661" t="n">
        <v>0</v>
      </c>
      <c r="K661" t="n">
        <v>0</v>
      </c>
      <c r="L661" t="n">
        <v>0</v>
      </c>
      <c r="M661" t="n">
        <v>0</v>
      </c>
      <c r="N661" t="n">
        <v>0</v>
      </c>
      <c r="O661" t="n">
        <v>0</v>
      </c>
      <c r="P661" t="n">
        <v>0</v>
      </c>
      <c r="Q661" t="n">
        <v>0</v>
      </c>
      <c r="R661" s="2" t="inlineStr"/>
    </row>
    <row r="662" ht="15" customHeight="1">
      <c r="A662" t="inlineStr">
        <is>
          <t>A 19845-2019</t>
        </is>
      </c>
      <c r="B662" s="1" t="n">
        <v>43567</v>
      </c>
      <c r="C662" s="1" t="n">
        <v>45797</v>
      </c>
      <c r="D662" t="inlineStr">
        <is>
          <t>ÖREBRO LÄN</t>
        </is>
      </c>
      <c r="E662" t="inlineStr">
        <is>
          <t>LINDESBERG</t>
        </is>
      </c>
      <c r="G662" t="n">
        <v>2.9</v>
      </c>
      <c r="H662" t="n">
        <v>0</v>
      </c>
      <c r="I662" t="n">
        <v>0</v>
      </c>
      <c r="J662" t="n">
        <v>0</v>
      </c>
      <c r="K662" t="n">
        <v>0</v>
      </c>
      <c r="L662" t="n">
        <v>0</v>
      </c>
      <c r="M662" t="n">
        <v>0</v>
      </c>
      <c r="N662" t="n">
        <v>0</v>
      </c>
      <c r="O662" t="n">
        <v>0</v>
      </c>
      <c r="P662" t="n">
        <v>0</v>
      </c>
      <c r="Q662" t="n">
        <v>0</v>
      </c>
      <c r="R662" s="2" t="inlineStr"/>
    </row>
    <row r="663" ht="15" customHeight="1">
      <c r="A663" t="inlineStr">
        <is>
          <t>A 20197-2019</t>
        </is>
      </c>
      <c r="B663" s="1" t="n">
        <v>43570</v>
      </c>
      <c r="C663" s="1" t="n">
        <v>45797</v>
      </c>
      <c r="D663" t="inlineStr">
        <is>
          <t>ÖREBRO LÄN</t>
        </is>
      </c>
      <c r="E663" t="inlineStr">
        <is>
          <t>LINDESBERG</t>
        </is>
      </c>
      <c r="G663" t="n">
        <v>10.6</v>
      </c>
      <c r="H663" t="n">
        <v>0</v>
      </c>
      <c r="I663" t="n">
        <v>0</v>
      </c>
      <c r="J663" t="n">
        <v>0</v>
      </c>
      <c r="K663" t="n">
        <v>0</v>
      </c>
      <c r="L663" t="n">
        <v>0</v>
      </c>
      <c r="M663" t="n">
        <v>0</v>
      </c>
      <c r="N663" t="n">
        <v>0</v>
      </c>
      <c r="O663" t="n">
        <v>0</v>
      </c>
      <c r="P663" t="n">
        <v>0</v>
      </c>
      <c r="Q663" t="n">
        <v>0</v>
      </c>
      <c r="R663" s="2" t="inlineStr"/>
    </row>
    <row r="664" ht="15" customHeight="1">
      <c r="A664" t="inlineStr">
        <is>
          <t>A 20150-2019</t>
        </is>
      </c>
      <c r="B664" s="1" t="n">
        <v>43570</v>
      </c>
      <c r="C664" s="1" t="n">
        <v>45797</v>
      </c>
      <c r="D664" t="inlineStr">
        <is>
          <t>ÖREBRO LÄN</t>
        </is>
      </c>
      <c r="E664" t="inlineStr">
        <is>
          <t>HALLSBERG</t>
        </is>
      </c>
      <c r="G664" t="n">
        <v>5.8</v>
      </c>
      <c r="H664" t="n">
        <v>0</v>
      </c>
      <c r="I664" t="n">
        <v>0</v>
      </c>
      <c r="J664" t="n">
        <v>0</v>
      </c>
      <c r="K664" t="n">
        <v>0</v>
      </c>
      <c r="L664" t="n">
        <v>0</v>
      </c>
      <c r="M664" t="n">
        <v>0</v>
      </c>
      <c r="N664" t="n">
        <v>0</v>
      </c>
      <c r="O664" t="n">
        <v>0</v>
      </c>
      <c r="P664" t="n">
        <v>0</v>
      </c>
      <c r="Q664" t="n">
        <v>0</v>
      </c>
      <c r="R664" s="2" t="inlineStr"/>
    </row>
    <row r="665" ht="15" customHeight="1">
      <c r="A665" t="inlineStr">
        <is>
          <t>A 20120-2019</t>
        </is>
      </c>
      <c r="B665" s="1" t="n">
        <v>43570</v>
      </c>
      <c r="C665" s="1" t="n">
        <v>45797</v>
      </c>
      <c r="D665" t="inlineStr">
        <is>
          <t>ÖREBRO LÄN</t>
        </is>
      </c>
      <c r="E665" t="inlineStr">
        <is>
          <t>ASKERSUND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20232-2019</t>
        </is>
      </c>
      <c r="B666" s="1" t="n">
        <v>43571</v>
      </c>
      <c r="C666" s="1" t="n">
        <v>45797</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20454-2019</t>
        </is>
      </c>
      <c r="B667" s="1" t="n">
        <v>43571</v>
      </c>
      <c r="C667" s="1" t="n">
        <v>45797</v>
      </c>
      <c r="D667" t="inlineStr">
        <is>
          <t>ÖREBRO LÄN</t>
        </is>
      </c>
      <c r="E667" t="inlineStr">
        <is>
          <t>LINDESBERG</t>
        </is>
      </c>
      <c r="G667" t="n">
        <v>1.7</v>
      </c>
      <c r="H667" t="n">
        <v>0</v>
      </c>
      <c r="I667" t="n">
        <v>0</v>
      </c>
      <c r="J667" t="n">
        <v>0</v>
      </c>
      <c r="K667" t="n">
        <v>0</v>
      </c>
      <c r="L667" t="n">
        <v>0</v>
      </c>
      <c r="M667" t="n">
        <v>0</v>
      </c>
      <c r="N667" t="n">
        <v>0</v>
      </c>
      <c r="O667" t="n">
        <v>0</v>
      </c>
      <c r="P667" t="n">
        <v>0</v>
      </c>
      <c r="Q667" t="n">
        <v>0</v>
      </c>
      <c r="R667" s="2" t="inlineStr"/>
    </row>
    <row r="668" ht="15" customHeight="1">
      <c r="A668" t="inlineStr">
        <is>
          <t>A 20211-2019</t>
        </is>
      </c>
      <c r="B668" s="1" t="n">
        <v>43571</v>
      </c>
      <c r="C668" s="1" t="n">
        <v>45797</v>
      </c>
      <c r="D668" t="inlineStr">
        <is>
          <t>ÖREBRO LÄN</t>
        </is>
      </c>
      <c r="E668" t="inlineStr">
        <is>
          <t>LINDESBERG</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20506-2019</t>
        </is>
      </c>
      <c r="B669" s="1" t="n">
        <v>43572</v>
      </c>
      <c r="C669" s="1" t="n">
        <v>45797</v>
      </c>
      <c r="D669" t="inlineStr">
        <is>
          <t>ÖREBRO LÄN</t>
        </is>
      </c>
      <c r="E669" t="inlineStr">
        <is>
          <t>DEGERFORS</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20514-2019</t>
        </is>
      </c>
      <c r="B670" s="1" t="n">
        <v>43572</v>
      </c>
      <c r="C670" s="1" t="n">
        <v>45797</v>
      </c>
      <c r="D670" t="inlineStr">
        <is>
          <t>ÖREBRO LÄN</t>
        </is>
      </c>
      <c r="E670" t="inlineStr">
        <is>
          <t>DEGERFORS</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20609-2019</t>
        </is>
      </c>
      <c r="B671" s="1" t="n">
        <v>43572</v>
      </c>
      <c r="C671" s="1" t="n">
        <v>45797</v>
      </c>
      <c r="D671" t="inlineStr">
        <is>
          <t>ÖREBRO LÄN</t>
        </is>
      </c>
      <c r="E671" t="inlineStr">
        <is>
          <t>ÖREBRO</t>
        </is>
      </c>
      <c r="G671" t="n">
        <v>1.7</v>
      </c>
      <c r="H671" t="n">
        <v>0</v>
      </c>
      <c r="I671" t="n">
        <v>0</v>
      </c>
      <c r="J671" t="n">
        <v>0</v>
      </c>
      <c r="K671" t="n">
        <v>0</v>
      </c>
      <c r="L671" t="n">
        <v>0</v>
      </c>
      <c r="M671" t="n">
        <v>0</v>
      </c>
      <c r="N671" t="n">
        <v>0</v>
      </c>
      <c r="O671" t="n">
        <v>0</v>
      </c>
      <c r="P671" t="n">
        <v>0</v>
      </c>
      <c r="Q671" t="n">
        <v>0</v>
      </c>
      <c r="R671" s="2" t="inlineStr"/>
    </row>
    <row r="672" ht="15" customHeight="1">
      <c r="A672" t="inlineStr">
        <is>
          <t>A 20547-2019</t>
        </is>
      </c>
      <c r="B672" s="1" t="n">
        <v>43572</v>
      </c>
      <c r="C672" s="1" t="n">
        <v>45797</v>
      </c>
      <c r="D672" t="inlineStr">
        <is>
          <t>ÖREBRO LÄN</t>
        </is>
      </c>
      <c r="E672" t="inlineStr">
        <is>
          <t>KARLSKOGA</t>
        </is>
      </c>
      <c r="G672" t="n">
        <v>1</v>
      </c>
      <c r="H672" t="n">
        <v>0</v>
      </c>
      <c r="I672" t="n">
        <v>0</v>
      </c>
      <c r="J672" t="n">
        <v>0</v>
      </c>
      <c r="K672" t="n">
        <v>0</v>
      </c>
      <c r="L672" t="n">
        <v>0</v>
      </c>
      <c r="M672" t="n">
        <v>0</v>
      </c>
      <c r="N672" t="n">
        <v>0</v>
      </c>
      <c r="O672" t="n">
        <v>0</v>
      </c>
      <c r="P672" t="n">
        <v>0</v>
      </c>
      <c r="Q672" t="n">
        <v>0</v>
      </c>
      <c r="R672" s="2" t="inlineStr"/>
    </row>
    <row r="673" ht="15" customHeight="1">
      <c r="A673" t="inlineStr">
        <is>
          <t>A 20601-2019</t>
        </is>
      </c>
      <c r="B673" s="1" t="n">
        <v>43572</v>
      </c>
      <c r="C673" s="1" t="n">
        <v>45797</v>
      </c>
      <c r="D673" t="inlineStr">
        <is>
          <t>ÖREBRO LÄN</t>
        </is>
      </c>
      <c r="E673" t="inlineStr">
        <is>
          <t>LJUSNARSBERG</t>
        </is>
      </c>
      <c r="G673" t="n">
        <v>2.1</v>
      </c>
      <c r="H673" t="n">
        <v>0</v>
      </c>
      <c r="I673" t="n">
        <v>0</v>
      </c>
      <c r="J673" t="n">
        <v>0</v>
      </c>
      <c r="K673" t="n">
        <v>0</v>
      </c>
      <c r="L673" t="n">
        <v>0</v>
      </c>
      <c r="M673" t="n">
        <v>0</v>
      </c>
      <c r="N673" t="n">
        <v>0</v>
      </c>
      <c r="O673" t="n">
        <v>0</v>
      </c>
      <c r="P673" t="n">
        <v>0</v>
      </c>
      <c r="Q673" t="n">
        <v>0</v>
      </c>
      <c r="R673" s="2" t="inlineStr"/>
    </row>
    <row r="674" ht="15" customHeight="1">
      <c r="A674" t="inlineStr">
        <is>
          <t>A 20511-2019</t>
        </is>
      </c>
      <c r="B674" s="1" t="n">
        <v>43572</v>
      </c>
      <c r="C674" s="1" t="n">
        <v>45797</v>
      </c>
      <c r="D674" t="inlineStr">
        <is>
          <t>ÖREBRO LÄN</t>
        </is>
      </c>
      <c r="E674" t="inlineStr">
        <is>
          <t>LEKEBERG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20681-2019</t>
        </is>
      </c>
      <c r="B675" s="1" t="n">
        <v>43573</v>
      </c>
      <c r="C675" s="1" t="n">
        <v>45797</v>
      </c>
      <c r="D675" t="inlineStr">
        <is>
          <t>ÖREBRO LÄN</t>
        </is>
      </c>
      <c r="E675" t="inlineStr">
        <is>
          <t>LINDESBERG</t>
        </is>
      </c>
      <c r="F675" t="inlineStr">
        <is>
          <t>Kyrkan</t>
        </is>
      </c>
      <c r="G675" t="n">
        <v>1.7</v>
      </c>
      <c r="H675" t="n">
        <v>0</v>
      </c>
      <c r="I675" t="n">
        <v>0</v>
      </c>
      <c r="J675" t="n">
        <v>0</v>
      </c>
      <c r="K675" t="n">
        <v>0</v>
      </c>
      <c r="L675" t="n">
        <v>0</v>
      </c>
      <c r="M675" t="n">
        <v>0</v>
      </c>
      <c r="N675" t="n">
        <v>0</v>
      </c>
      <c r="O675" t="n">
        <v>0</v>
      </c>
      <c r="P675" t="n">
        <v>0</v>
      </c>
      <c r="Q675" t="n">
        <v>0</v>
      </c>
      <c r="R675" s="2" t="inlineStr"/>
    </row>
    <row r="676" ht="15" customHeight="1">
      <c r="A676" t="inlineStr">
        <is>
          <t>A 20676-2019</t>
        </is>
      </c>
      <c r="B676" s="1" t="n">
        <v>43573</v>
      </c>
      <c r="C676" s="1" t="n">
        <v>45797</v>
      </c>
      <c r="D676" t="inlineStr">
        <is>
          <t>ÖREBRO LÄN</t>
        </is>
      </c>
      <c r="E676" t="inlineStr">
        <is>
          <t>LINDESBERG</t>
        </is>
      </c>
      <c r="F676" t="inlineStr">
        <is>
          <t>Kyrkan</t>
        </is>
      </c>
      <c r="G676" t="n">
        <v>2</v>
      </c>
      <c r="H676" t="n">
        <v>0</v>
      </c>
      <c r="I676" t="n">
        <v>0</v>
      </c>
      <c r="J676" t="n">
        <v>0</v>
      </c>
      <c r="K676" t="n">
        <v>0</v>
      </c>
      <c r="L676" t="n">
        <v>0</v>
      </c>
      <c r="M676" t="n">
        <v>0</v>
      </c>
      <c r="N676" t="n">
        <v>0</v>
      </c>
      <c r="O676" t="n">
        <v>0</v>
      </c>
      <c r="P676" t="n">
        <v>0</v>
      </c>
      <c r="Q676" t="n">
        <v>0</v>
      </c>
      <c r="R676" s="2" t="inlineStr"/>
    </row>
    <row r="677" ht="15" customHeight="1">
      <c r="A677" t="inlineStr">
        <is>
          <t>A 20984-2019</t>
        </is>
      </c>
      <c r="B677" s="1" t="n">
        <v>43573</v>
      </c>
      <c r="C677" s="1" t="n">
        <v>45797</v>
      </c>
      <c r="D677" t="inlineStr">
        <is>
          <t>ÖREBRO LÄN</t>
        </is>
      </c>
      <c r="E677" t="inlineStr">
        <is>
          <t>LINDESBERG</t>
        </is>
      </c>
      <c r="G677" t="n">
        <v>3</v>
      </c>
      <c r="H677" t="n">
        <v>0</v>
      </c>
      <c r="I677" t="n">
        <v>0</v>
      </c>
      <c r="J677" t="n">
        <v>0</v>
      </c>
      <c r="K677" t="n">
        <v>0</v>
      </c>
      <c r="L677" t="n">
        <v>0</v>
      </c>
      <c r="M677" t="n">
        <v>0</v>
      </c>
      <c r="N677" t="n">
        <v>0</v>
      </c>
      <c r="O677" t="n">
        <v>0</v>
      </c>
      <c r="P677" t="n">
        <v>0</v>
      </c>
      <c r="Q677" t="n">
        <v>0</v>
      </c>
      <c r="R677" s="2" t="inlineStr"/>
    </row>
    <row r="678" ht="15" customHeight="1">
      <c r="A678" t="inlineStr">
        <is>
          <t>A 21263-2019</t>
        </is>
      </c>
      <c r="B678" s="1" t="n">
        <v>43579</v>
      </c>
      <c r="C678" s="1" t="n">
        <v>45797</v>
      </c>
      <c r="D678" t="inlineStr">
        <is>
          <t>ÖREBRO LÄN</t>
        </is>
      </c>
      <c r="E678" t="inlineStr">
        <is>
          <t>LEKEBERG</t>
        </is>
      </c>
      <c r="G678" t="n">
        <v>1.6</v>
      </c>
      <c r="H678" t="n">
        <v>0</v>
      </c>
      <c r="I678" t="n">
        <v>0</v>
      </c>
      <c r="J678" t="n">
        <v>0</v>
      </c>
      <c r="K678" t="n">
        <v>0</v>
      </c>
      <c r="L678" t="n">
        <v>0</v>
      </c>
      <c r="M678" t="n">
        <v>0</v>
      </c>
      <c r="N678" t="n">
        <v>0</v>
      </c>
      <c r="O678" t="n">
        <v>0</v>
      </c>
      <c r="P678" t="n">
        <v>0</v>
      </c>
      <c r="Q678" t="n">
        <v>0</v>
      </c>
      <c r="R678" s="2" t="inlineStr"/>
    </row>
    <row r="679" ht="15" customHeight="1">
      <c r="A679" t="inlineStr">
        <is>
          <t>A 21260-2019</t>
        </is>
      </c>
      <c r="B679" s="1" t="n">
        <v>43579</v>
      </c>
      <c r="C679" s="1" t="n">
        <v>45797</v>
      </c>
      <c r="D679" t="inlineStr">
        <is>
          <t>ÖREBRO LÄN</t>
        </is>
      </c>
      <c r="E679" t="inlineStr">
        <is>
          <t>LEKEBERG</t>
        </is>
      </c>
      <c r="G679" t="n">
        <v>6.3</v>
      </c>
      <c r="H679" t="n">
        <v>0</v>
      </c>
      <c r="I679" t="n">
        <v>0</v>
      </c>
      <c r="J679" t="n">
        <v>0</v>
      </c>
      <c r="K679" t="n">
        <v>0</v>
      </c>
      <c r="L679" t="n">
        <v>0</v>
      </c>
      <c r="M679" t="n">
        <v>0</v>
      </c>
      <c r="N679" t="n">
        <v>0</v>
      </c>
      <c r="O679" t="n">
        <v>0</v>
      </c>
      <c r="P679" t="n">
        <v>0</v>
      </c>
      <c r="Q679" t="n">
        <v>0</v>
      </c>
      <c r="R679" s="2" t="inlineStr"/>
    </row>
    <row r="680" ht="15" customHeight="1">
      <c r="A680" t="inlineStr">
        <is>
          <t>A 21402-2019</t>
        </is>
      </c>
      <c r="B680" s="1" t="n">
        <v>43579</v>
      </c>
      <c r="C680" s="1" t="n">
        <v>45797</v>
      </c>
      <c r="D680" t="inlineStr">
        <is>
          <t>ÖREBRO LÄN</t>
        </is>
      </c>
      <c r="E680" t="inlineStr">
        <is>
          <t>LINDESBERG</t>
        </is>
      </c>
      <c r="G680" t="n">
        <v>6.4</v>
      </c>
      <c r="H680" t="n">
        <v>0</v>
      </c>
      <c r="I680" t="n">
        <v>0</v>
      </c>
      <c r="J680" t="n">
        <v>0</v>
      </c>
      <c r="K680" t="n">
        <v>0</v>
      </c>
      <c r="L680" t="n">
        <v>0</v>
      </c>
      <c r="M680" t="n">
        <v>0</v>
      </c>
      <c r="N680" t="n">
        <v>0</v>
      </c>
      <c r="O680" t="n">
        <v>0</v>
      </c>
      <c r="P680" t="n">
        <v>0</v>
      </c>
      <c r="Q680" t="n">
        <v>0</v>
      </c>
      <c r="R680" s="2" t="inlineStr"/>
    </row>
    <row r="681" ht="15" customHeight="1">
      <c r="A681" t="inlineStr">
        <is>
          <t>A 21399-2019</t>
        </is>
      </c>
      <c r="B681" s="1" t="n">
        <v>43580</v>
      </c>
      <c r="C681" s="1" t="n">
        <v>45797</v>
      </c>
      <c r="D681" t="inlineStr">
        <is>
          <t>ÖREBRO LÄN</t>
        </is>
      </c>
      <c r="E681" t="inlineStr">
        <is>
          <t>HÄLLEFORS</t>
        </is>
      </c>
      <c r="G681" t="n">
        <v>1.4</v>
      </c>
      <c r="H681" t="n">
        <v>0</v>
      </c>
      <c r="I681" t="n">
        <v>0</v>
      </c>
      <c r="J681" t="n">
        <v>0</v>
      </c>
      <c r="K681" t="n">
        <v>0</v>
      </c>
      <c r="L681" t="n">
        <v>0</v>
      </c>
      <c r="M681" t="n">
        <v>0</v>
      </c>
      <c r="N681" t="n">
        <v>0</v>
      </c>
      <c r="O681" t="n">
        <v>0</v>
      </c>
      <c r="P681" t="n">
        <v>0</v>
      </c>
      <c r="Q681" t="n">
        <v>0</v>
      </c>
      <c r="R681" s="2" t="inlineStr"/>
    </row>
    <row r="682" ht="15" customHeight="1">
      <c r="A682" t="inlineStr">
        <is>
          <t>A 21409-2019</t>
        </is>
      </c>
      <c r="B682" s="1" t="n">
        <v>43580</v>
      </c>
      <c r="C682" s="1" t="n">
        <v>45797</v>
      </c>
      <c r="D682" t="inlineStr">
        <is>
          <t>ÖREBRO LÄN</t>
        </is>
      </c>
      <c r="E682" t="inlineStr">
        <is>
          <t>HALLSBERG</t>
        </is>
      </c>
      <c r="G682" t="n">
        <v>9.4</v>
      </c>
      <c r="H682" t="n">
        <v>0</v>
      </c>
      <c r="I682" t="n">
        <v>0</v>
      </c>
      <c r="J682" t="n">
        <v>0</v>
      </c>
      <c r="K682" t="n">
        <v>0</v>
      </c>
      <c r="L682" t="n">
        <v>0</v>
      </c>
      <c r="M682" t="n">
        <v>0</v>
      </c>
      <c r="N682" t="n">
        <v>0</v>
      </c>
      <c r="O682" t="n">
        <v>0</v>
      </c>
      <c r="P682" t="n">
        <v>0</v>
      </c>
      <c r="Q682" t="n">
        <v>0</v>
      </c>
      <c r="R682" s="2" t="inlineStr"/>
    </row>
    <row r="683" ht="15" customHeight="1">
      <c r="A683" t="inlineStr">
        <is>
          <t>A 21538-2019</t>
        </is>
      </c>
      <c r="B683" s="1" t="n">
        <v>43580</v>
      </c>
      <c r="C683" s="1" t="n">
        <v>45797</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21432-2019</t>
        </is>
      </c>
      <c r="B684" s="1" t="n">
        <v>43580</v>
      </c>
      <c r="C684" s="1" t="n">
        <v>45797</v>
      </c>
      <c r="D684" t="inlineStr">
        <is>
          <t>ÖREBRO LÄN</t>
        </is>
      </c>
      <c r="E684" t="inlineStr">
        <is>
          <t>LEKEBERG</t>
        </is>
      </c>
      <c r="G684" t="n">
        <v>3.3</v>
      </c>
      <c r="H684" t="n">
        <v>0</v>
      </c>
      <c r="I684" t="n">
        <v>0</v>
      </c>
      <c r="J684" t="n">
        <v>0</v>
      </c>
      <c r="K684" t="n">
        <v>0</v>
      </c>
      <c r="L684" t="n">
        <v>0</v>
      </c>
      <c r="M684" t="n">
        <v>0</v>
      </c>
      <c r="N684" t="n">
        <v>0</v>
      </c>
      <c r="O684" t="n">
        <v>0</v>
      </c>
      <c r="P684" t="n">
        <v>0</v>
      </c>
      <c r="Q684" t="n">
        <v>0</v>
      </c>
      <c r="R684" s="2" t="inlineStr"/>
    </row>
    <row r="685" ht="15" customHeight="1">
      <c r="A685" t="inlineStr">
        <is>
          <t>A 21596-2019</t>
        </is>
      </c>
      <c r="B685" s="1" t="n">
        <v>43581</v>
      </c>
      <c r="C685" s="1" t="n">
        <v>45797</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21722-2019</t>
        </is>
      </c>
      <c r="B686" s="1" t="n">
        <v>43581</v>
      </c>
      <c r="C686" s="1" t="n">
        <v>45797</v>
      </c>
      <c r="D686" t="inlineStr">
        <is>
          <t>ÖREBRO LÄN</t>
        </is>
      </c>
      <c r="E686" t="inlineStr">
        <is>
          <t>ÖREBRO</t>
        </is>
      </c>
      <c r="G686" t="n">
        <v>11.3</v>
      </c>
      <c r="H686" t="n">
        <v>0</v>
      </c>
      <c r="I686" t="n">
        <v>0</v>
      </c>
      <c r="J686" t="n">
        <v>0</v>
      </c>
      <c r="K686" t="n">
        <v>0</v>
      </c>
      <c r="L686" t="n">
        <v>0</v>
      </c>
      <c r="M686" t="n">
        <v>0</v>
      </c>
      <c r="N686" t="n">
        <v>0</v>
      </c>
      <c r="O686" t="n">
        <v>0</v>
      </c>
      <c r="P686" t="n">
        <v>0</v>
      </c>
      <c r="Q686" t="n">
        <v>0</v>
      </c>
      <c r="R686" s="2" t="inlineStr"/>
    </row>
    <row r="687" ht="15" customHeight="1">
      <c r="A687" t="inlineStr">
        <is>
          <t>A 21830-2019</t>
        </is>
      </c>
      <c r="B687" s="1" t="n">
        <v>43584</v>
      </c>
      <c r="C687" s="1" t="n">
        <v>45797</v>
      </c>
      <c r="D687" t="inlineStr">
        <is>
          <t>ÖREBRO LÄN</t>
        </is>
      </c>
      <c r="E687" t="inlineStr">
        <is>
          <t>ÖREBRO</t>
        </is>
      </c>
      <c r="G687" t="n">
        <v>1.6</v>
      </c>
      <c r="H687" t="n">
        <v>0</v>
      </c>
      <c r="I687" t="n">
        <v>0</v>
      </c>
      <c r="J687" t="n">
        <v>0</v>
      </c>
      <c r="K687" t="n">
        <v>0</v>
      </c>
      <c r="L687" t="n">
        <v>0</v>
      </c>
      <c r="M687" t="n">
        <v>0</v>
      </c>
      <c r="N687" t="n">
        <v>0</v>
      </c>
      <c r="O687" t="n">
        <v>0</v>
      </c>
      <c r="P687" t="n">
        <v>0</v>
      </c>
      <c r="Q687" t="n">
        <v>0</v>
      </c>
      <c r="R687" s="2" t="inlineStr"/>
    </row>
    <row r="688" ht="15" customHeight="1">
      <c r="A688" t="inlineStr">
        <is>
          <t>A 22012-2019</t>
        </is>
      </c>
      <c r="B688" s="1" t="n">
        <v>43584</v>
      </c>
      <c r="C688" s="1" t="n">
        <v>45797</v>
      </c>
      <c r="D688" t="inlineStr">
        <is>
          <t>ÖREBRO LÄN</t>
        </is>
      </c>
      <c r="E688" t="inlineStr">
        <is>
          <t>HALLSBERG</t>
        </is>
      </c>
      <c r="G688" t="n">
        <v>0.6</v>
      </c>
      <c r="H688" t="n">
        <v>0</v>
      </c>
      <c r="I688" t="n">
        <v>0</v>
      </c>
      <c r="J688" t="n">
        <v>0</v>
      </c>
      <c r="K688" t="n">
        <v>0</v>
      </c>
      <c r="L688" t="n">
        <v>0</v>
      </c>
      <c r="M688" t="n">
        <v>0</v>
      </c>
      <c r="N688" t="n">
        <v>0</v>
      </c>
      <c r="O688" t="n">
        <v>0</v>
      </c>
      <c r="P688" t="n">
        <v>0</v>
      </c>
      <c r="Q688" t="n">
        <v>0</v>
      </c>
      <c r="R688" s="2" t="inlineStr"/>
    </row>
    <row r="689" ht="15" customHeight="1">
      <c r="A689" t="inlineStr">
        <is>
          <t>A 21835-2019</t>
        </is>
      </c>
      <c r="B689" s="1" t="n">
        <v>43584</v>
      </c>
      <c r="C689" s="1" t="n">
        <v>45797</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22243-2019</t>
        </is>
      </c>
      <c r="B690" s="1" t="n">
        <v>43585</v>
      </c>
      <c r="C690" s="1" t="n">
        <v>45797</v>
      </c>
      <c r="D690" t="inlineStr">
        <is>
          <t>ÖREBRO LÄN</t>
        </is>
      </c>
      <c r="E690" t="inlineStr">
        <is>
          <t>ÖREBRO</t>
        </is>
      </c>
      <c r="G690" t="n">
        <v>2.8</v>
      </c>
      <c r="H690" t="n">
        <v>0</v>
      </c>
      <c r="I690" t="n">
        <v>0</v>
      </c>
      <c r="J690" t="n">
        <v>0</v>
      </c>
      <c r="K690" t="n">
        <v>0</v>
      </c>
      <c r="L690" t="n">
        <v>0</v>
      </c>
      <c r="M690" t="n">
        <v>0</v>
      </c>
      <c r="N690" t="n">
        <v>0</v>
      </c>
      <c r="O690" t="n">
        <v>0</v>
      </c>
      <c r="P690" t="n">
        <v>0</v>
      </c>
      <c r="Q690" t="n">
        <v>0</v>
      </c>
      <c r="R690" s="2" t="inlineStr"/>
    </row>
    <row r="691" ht="15" customHeight="1">
      <c r="A691" t="inlineStr">
        <is>
          <t>A 22251-2019</t>
        </is>
      </c>
      <c r="B691" s="1" t="n">
        <v>43585</v>
      </c>
      <c r="C691" s="1" t="n">
        <v>45797</v>
      </c>
      <c r="D691" t="inlineStr">
        <is>
          <t>ÖREBRO LÄN</t>
        </is>
      </c>
      <c r="E691" t="inlineStr">
        <is>
          <t>HALLSBERG</t>
        </is>
      </c>
      <c r="G691" t="n">
        <v>2.8</v>
      </c>
      <c r="H691" t="n">
        <v>0</v>
      </c>
      <c r="I691" t="n">
        <v>0</v>
      </c>
      <c r="J691" t="n">
        <v>0</v>
      </c>
      <c r="K691" t="n">
        <v>0</v>
      </c>
      <c r="L691" t="n">
        <v>0</v>
      </c>
      <c r="M691" t="n">
        <v>0</v>
      </c>
      <c r="N691" t="n">
        <v>0</v>
      </c>
      <c r="O691" t="n">
        <v>0</v>
      </c>
      <c r="P691" t="n">
        <v>0</v>
      </c>
      <c r="Q691" t="n">
        <v>0</v>
      </c>
      <c r="R691" s="2" t="inlineStr"/>
    </row>
    <row r="692" ht="15" customHeight="1">
      <c r="A692" t="inlineStr">
        <is>
          <t>A 22333-2019</t>
        </is>
      </c>
      <c r="B692" s="1" t="n">
        <v>43586</v>
      </c>
      <c r="C692" s="1" t="n">
        <v>45797</v>
      </c>
      <c r="D692" t="inlineStr">
        <is>
          <t>ÖREBRO LÄN</t>
        </is>
      </c>
      <c r="E692" t="inlineStr">
        <is>
          <t>NORA</t>
        </is>
      </c>
      <c r="G692" t="n">
        <v>1.5</v>
      </c>
      <c r="H692" t="n">
        <v>0</v>
      </c>
      <c r="I692" t="n">
        <v>0</v>
      </c>
      <c r="J692" t="n">
        <v>0</v>
      </c>
      <c r="K692" t="n">
        <v>0</v>
      </c>
      <c r="L692" t="n">
        <v>0</v>
      </c>
      <c r="M692" t="n">
        <v>0</v>
      </c>
      <c r="N692" t="n">
        <v>0</v>
      </c>
      <c r="O692" t="n">
        <v>0</v>
      </c>
      <c r="P692" t="n">
        <v>0</v>
      </c>
      <c r="Q692" t="n">
        <v>0</v>
      </c>
      <c r="R692" s="2" t="inlineStr"/>
    </row>
    <row r="693" ht="15" customHeight="1">
      <c r="A693" t="inlineStr">
        <is>
          <t>A 22348-2019</t>
        </is>
      </c>
      <c r="B693" s="1" t="n">
        <v>43587</v>
      </c>
      <c r="C693" s="1" t="n">
        <v>45797</v>
      </c>
      <c r="D693" t="inlineStr">
        <is>
          <t>ÖREBRO LÄN</t>
        </is>
      </c>
      <c r="E693" t="inlineStr">
        <is>
          <t>HÄLLEFORS</t>
        </is>
      </c>
      <c r="G693" t="n">
        <v>3.5</v>
      </c>
      <c r="H693" t="n">
        <v>0</v>
      </c>
      <c r="I693" t="n">
        <v>0</v>
      </c>
      <c r="J693" t="n">
        <v>0</v>
      </c>
      <c r="K693" t="n">
        <v>0</v>
      </c>
      <c r="L693" t="n">
        <v>0</v>
      </c>
      <c r="M693" t="n">
        <v>0</v>
      </c>
      <c r="N693" t="n">
        <v>0</v>
      </c>
      <c r="O693" t="n">
        <v>0</v>
      </c>
      <c r="P693" t="n">
        <v>0</v>
      </c>
      <c r="Q693" t="n">
        <v>0</v>
      </c>
      <c r="R693" s="2" t="inlineStr"/>
    </row>
    <row r="694" ht="15" customHeight="1">
      <c r="A694" t="inlineStr">
        <is>
          <t>A 22508-2019</t>
        </is>
      </c>
      <c r="B694" s="1" t="n">
        <v>43587</v>
      </c>
      <c r="C694" s="1" t="n">
        <v>45797</v>
      </c>
      <c r="D694" t="inlineStr">
        <is>
          <t>ÖREBRO LÄN</t>
        </is>
      </c>
      <c r="E694" t="inlineStr">
        <is>
          <t>LEKEBERG</t>
        </is>
      </c>
      <c r="G694" t="n">
        <v>0.8</v>
      </c>
      <c r="H694" t="n">
        <v>0</v>
      </c>
      <c r="I694" t="n">
        <v>0</v>
      </c>
      <c r="J694" t="n">
        <v>0</v>
      </c>
      <c r="K694" t="n">
        <v>0</v>
      </c>
      <c r="L694" t="n">
        <v>0</v>
      </c>
      <c r="M694" t="n">
        <v>0</v>
      </c>
      <c r="N694" t="n">
        <v>0</v>
      </c>
      <c r="O694" t="n">
        <v>0</v>
      </c>
      <c r="P694" t="n">
        <v>0</v>
      </c>
      <c r="Q694" t="n">
        <v>0</v>
      </c>
      <c r="R694" s="2" t="inlineStr"/>
    </row>
    <row r="695" ht="15" customHeight="1">
      <c r="A695" t="inlineStr">
        <is>
          <t>A 22760-2019</t>
        </is>
      </c>
      <c r="B695" s="1" t="n">
        <v>43587</v>
      </c>
      <c r="C695" s="1" t="n">
        <v>45797</v>
      </c>
      <c r="D695" t="inlineStr">
        <is>
          <t>ÖREBRO LÄN</t>
        </is>
      </c>
      <c r="E695" t="inlineStr">
        <is>
          <t>KARLSKOGA</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22672-2019</t>
        </is>
      </c>
      <c r="B696" s="1" t="n">
        <v>43588</v>
      </c>
      <c r="C696" s="1" t="n">
        <v>45797</v>
      </c>
      <c r="D696" t="inlineStr">
        <is>
          <t>ÖREBRO LÄN</t>
        </is>
      </c>
      <c r="E696" t="inlineStr">
        <is>
          <t>LINDESBERG</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22661-2019</t>
        </is>
      </c>
      <c r="B697" s="1" t="n">
        <v>43588</v>
      </c>
      <c r="C697" s="1" t="n">
        <v>45797</v>
      </c>
      <c r="D697" t="inlineStr">
        <is>
          <t>ÖREBRO LÄN</t>
        </is>
      </c>
      <c r="E697" t="inlineStr">
        <is>
          <t>LJUSNARSBERG</t>
        </is>
      </c>
      <c r="G697" t="n">
        <v>5.7</v>
      </c>
      <c r="H697" t="n">
        <v>0</v>
      </c>
      <c r="I697" t="n">
        <v>0</v>
      </c>
      <c r="J697" t="n">
        <v>0</v>
      </c>
      <c r="K697" t="n">
        <v>0</v>
      </c>
      <c r="L697" t="n">
        <v>0</v>
      </c>
      <c r="M697" t="n">
        <v>0</v>
      </c>
      <c r="N697" t="n">
        <v>0</v>
      </c>
      <c r="O697" t="n">
        <v>0</v>
      </c>
      <c r="P697" t="n">
        <v>0</v>
      </c>
      <c r="Q697" t="n">
        <v>0</v>
      </c>
      <c r="R697" s="2" t="inlineStr"/>
    </row>
    <row r="698" ht="15" customHeight="1">
      <c r="A698" t="inlineStr">
        <is>
          <t>A 22675-2019</t>
        </is>
      </c>
      <c r="B698" s="1" t="n">
        <v>43588</v>
      </c>
      <c r="C698" s="1" t="n">
        <v>45797</v>
      </c>
      <c r="D698" t="inlineStr">
        <is>
          <t>ÖREBRO LÄN</t>
        </is>
      </c>
      <c r="E698" t="inlineStr">
        <is>
          <t>LINDESBERG</t>
        </is>
      </c>
      <c r="F698" t="inlineStr">
        <is>
          <t>Sveaskog</t>
        </is>
      </c>
      <c r="G698" t="n">
        <v>5.8</v>
      </c>
      <c r="H698" t="n">
        <v>0</v>
      </c>
      <c r="I698" t="n">
        <v>0</v>
      </c>
      <c r="J698" t="n">
        <v>0</v>
      </c>
      <c r="K698" t="n">
        <v>0</v>
      </c>
      <c r="L698" t="n">
        <v>0</v>
      </c>
      <c r="M698" t="n">
        <v>0</v>
      </c>
      <c r="N698" t="n">
        <v>0</v>
      </c>
      <c r="O698" t="n">
        <v>0</v>
      </c>
      <c r="P698" t="n">
        <v>0</v>
      </c>
      <c r="Q698" t="n">
        <v>0</v>
      </c>
      <c r="R698" s="2" t="inlineStr"/>
    </row>
    <row r="699" ht="15" customHeight="1">
      <c r="A699" t="inlineStr">
        <is>
          <t>A 22634-2019</t>
        </is>
      </c>
      <c r="B699" s="1" t="n">
        <v>43588</v>
      </c>
      <c r="C699" s="1" t="n">
        <v>45797</v>
      </c>
      <c r="D699" t="inlineStr">
        <is>
          <t>ÖREBRO LÄN</t>
        </is>
      </c>
      <c r="E699" t="inlineStr">
        <is>
          <t>ASKERSUND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22705-2019</t>
        </is>
      </c>
      <c r="B700" s="1" t="n">
        <v>43588</v>
      </c>
      <c r="C700" s="1" t="n">
        <v>45797</v>
      </c>
      <c r="D700" t="inlineStr">
        <is>
          <t>ÖREBRO LÄN</t>
        </is>
      </c>
      <c r="E700" t="inlineStr">
        <is>
          <t>LINDESBERG</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22723-2019</t>
        </is>
      </c>
      <c r="B701" s="1" t="n">
        <v>43588</v>
      </c>
      <c r="C701" s="1" t="n">
        <v>45797</v>
      </c>
      <c r="D701" t="inlineStr">
        <is>
          <t>ÖREBRO LÄN</t>
        </is>
      </c>
      <c r="E701" t="inlineStr">
        <is>
          <t>LJUSNARSBERG</t>
        </is>
      </c>
      <c r="G701" t="n">
        <v>0.7</v>
      </c>
      <c r="H701" t="n">
        <v>0</v>
      </c>
      <c r="I701" t="n">
        <v>0</v>
      </c>
      <c r="J701" t="n">
        <v>0</v>
      </c>
      <c r="K701" t="n">
        <v>0</v>
      </c>
      <c r="L701" t="n">
        <v>0</v>
      </c>
      <c r="M701" t="n">
        <v>0</v>
      </c>
      <c r="N701" t="n">
        <v>0</v>
      </c>
      <c r="O701" t="n">
        <v>0</v>
      </c>
      <c r="P701" t="n">
        <v>0</v>
      </c>
      <c r="Q701" t="n">
        <v>0</v>
      </c>
      <c r="R701" s="2" t="inlineStr"/>
    </row>
    <row r="702" ht="15" customHeight="1">
      <c r="A702" t="inlineStr">
        <is>
          <t>A 22695-2019</t>
        </is>
      </c>
      <c r="B702" s="1" t="n">
        <v>43588</v>
      </c>
      <c r="C702" s="1" t="n">
        <v>45797</v>
      </c>
      <c r="D702" t="inlineStr">
        <is>
          <t>ÖREBRO LÄN</t>
        </is>
      </c>
      <c r="E702" t="inlineStr">
        <is>
          <t>LINDESBERG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22670-2019</t>
        </is>
      </c>
      <c r="B703" s="1" t="n">
        <v>43588</v>
      </c>
      <c r="C703" s="1" t="n">
        <v>45797</v>
      </c>
      <c r="D703" t="inlineStr">
        <is>
          <t>ÖREBRO LÄN</t>
        </is>
      </c>
      <c r="E703" t="inlineStr">
        <is>
          <t>LINDESBERG</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22854-2019</t>
        </is>
      </c>
      <c r="B704" s="1" t="n">
        <v>43591</v>
      </c>
      <c r="C704" s="1" t="n">
        <v>45797</v>
      </c>
      <c r="D704" t="inlineStr">
        <is>
          <t>ÖREBRO LÄN</t>
        </is>
      </c>
      <c r="E704" t="inlineStr">
        <is>
          <t>NORA</t>
        </is>
      </c>
      <c r="G704" t="n">
        <v>4.4</v>
      </c>
      <c r="H704" t="n">
        <v>0</v>
      </c>
      <c r="I704" t="n">
        <v>0</v>
      </c>
      <c r="J704" t="n">
        <v>0</v>
      </c>
      <c r="K704" t="n">
        <v>0</v>
      </c>
      <c r="L704" t="n">
        <v>0</v>
      </c>
      <c r="M704" t="n">
        <v>0</v>
      </c>
      <c r="N704" t="n">
        <v>0</v>
      </c>
      <c r="O704" t="n">
        <v>0</v>
      </c>
      <c r="P704" t="n">
        <v>0</v>
      </c>
      <c r="Q704" t="n">
        <v>0</v>
      </c>
      <c r="R704" s="2" t="inlineStr"/>
    </row>
    <row r="705" ht="15" customHeight="1">
      <c r="A705" t="inlineStr">
        <is>
          <t>A 22864-2019</t>
        </is>
      </c>
      <c r="B705" s="1" t="n">
        <v>43591</v>
      </c>
      <c r="C705" s="1" t="n">
        <v>45797</v>
      </c>
      <c r="D705" t="inlineStr">
        <is>
          <t>ÖREBRO LÄN</t>
        </is>
      </c>
      <c r="E705" t="inlineStr">
        <is>
          <t>KUMLA</t>
        </is>
      </c>
      <c r="G705" t="n">
        <v>1.7</v>
      </c>
      <c r="H705" t="n">
        <v>0</v>
      </c>
      <c r="I705" t="n">
        <v>0</v>
      </c>
      <c r="J705" t="n">
        <v>0</v>
      </c>
      <c r="K705" t="n">
        <v>0</v>
      </c>
      <c r="L705" t="n">
        <v>0</v>
      </c>
      <c r="M705" t="n">
        <v>0</v>
      </c>
      <c r="N705" t="n">
        <v>0</v>
      </c>
      <c r="O705" t="n">
        <v>0</v>
      </c>
      <c r="P705" t="n">
        <v>0</v>
      </c>
      <c r="Q705" t="n">
        <v>0</v>
      </c>
      <c r="R705" s="2" t="inlineStr"/>
    </row>
    <row r="706" ht="15" customHeight="1">
      <c r="A706" t="inlineStr">
        <is>
          <t>A 23132-2019</t>
        </is>
      </c>
      <c r="B706" s="1" t="n">
        <v>43592</v>
      </c>
      <c r="C706" s="1" t="n">
        <v>45797</v>
      </c>
      <c r="D706" t="inlineStr">
        <is>
          <t>ÖREBRO LÄN</t>
        </is>
      </c>
      <c r="E706" t="inlineStr">
        <is>
          <t>ASKERSUND</t>
        </is>
      </c>
      <c r="F706" t="inlineStr">
        <is>
          <t>Kyrkan</t>
        </is>
      </c>
      <c r="G706" t="n">
        <v>4.9</v>
      </c>
      <c r="H706" t="n">
        <v>0</v>
      </c>
      <c r="I706" t="n">
        <v>0</v>
      </c>
      <c r="J706" t="n">
        <v>0</v>
      </c>
      <c r="K706" t="n">
        <v>0</v>
      </c>
      <c r="L706" t="n">
        <v>0</v>
      </c>
      <c r="M706" t="n">
        <v>0</v>
      </c>
      <c r="N706" t="n">
        <v>0</v>
      </c>
      <c r="O706" t="n">
        <v>0</v>
      </c>
      <c r="P706" t="n">
        <v>0</v>
      </c>
      <c r="Q706" t="n">
        <v>0</v>
      </c>
      <c r="R706" s="2" t="inlineStr"/>
    </row>
    <row r="707" ht="15" customHeight="1">
      <c r="A707" t="inlineStr">
        <is>
          <t>A 23264-2019</t>
        </is>
      </c>
      <c r="B707" s="1" t="n">
        <v>43592</v>
      </c>
      <c r="C707" s="1" t="n">
        <v>45797</v>
      </c>
      <c r="D707" t="inlineStr">
        <is>
          <t>ÖREBRO LÄN</t>
        </is>
      </c>
      <c r="E707" t="inlineStr">
        <is>
          <t>LINDESBERG</t>
        </is>
      </c>
      <c r="G707" t="n">
        <v>1.8</v>
      </c>
      <c r="H707" t="n">
        <v>0</v>
      </c>
      <c r="I707" t="n">
        <v>0</v>
      </c>
      <c r="J707" t="n">
        <v>0</v>
      </c>
      <c r="K707" t="n">
        <v>0</v>
      </c>
      <c r="L707" t="n">
        <v>0</v>
      </c>
      <c r="M707" t="n">
        <v>0</v>
      </c>
      <c r="N707" t="n">
        <v>0</v>
      </c>
      <c r="O707" t="n">
        <v>0</v>
      </c>
      <c r="P707" t="n">
        <v>0</v>
      </c>
      <c r="Q707" t="n">
        <v>0</v>
      </c>
      <c r="R707" s="2" t="inlineStr"/>
    </row>
    <row r="708" ht="15" customHeight="1">
      <c r="A708" t="inlineStr">
        <is>
          <t>A 23259-2019</t>
        </is>
      </c>
      <c r="B708" s="1" t="n">
        <v>43592</v>
      </c>
      <c r="C708" s="1" t="n">
        <v>45797</v>
      </c>
      <c r="D708" t="inlineStr">
        <is>
          <t>ÖREBRO LÄN</t>
        </is>
      </c>
      <c r="E708" t="inlineStr">
        <is>
          <t>LINDESBERG</t>
        </is>
      </c>
      <c r="G708" t="n">
        <v>1.6</v>
      </c>
      <c r="H708" t="n">
        <v>0</v>
      </c>
      <c r="I708" t="n">
        <v>0</v>
      </c>
      <c r="J708" t="n">
        <v>0</v>
      </c>
      <c r="K708" t="n">
        <v>0</v>
      </c>
      <c r="L708" t="n">
        <v>0</v>
      </c>
      <c r="M708" t="n">
        <v>0</v>
      </c>
      <c r="N708" t="n">
        <v>0</v>
      </c>
      <c r="O708" t="n">
        <v>0</v>
      </c>
      <c r="P708" t="n">
        <v>0</v>
      </c>
      <c r="Q708" t="n">
        <v>0</v>
      </c>
      <c r="R708" s="2" t="inlineStr"/>
    </row>
    <row r="709" ht="15" customHeight="1">
      <c r="A709" t="inlineStr">
        <is>
          <t>A 23393-2019</t>
        </is>
      </c>
      <c r="B709" s="1" t="n">
        <v>43593</v>
      </c>
      <c r="C709" s="1" t="n">
        <v>45797</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23666-2019</t>
        </is>
      </c>
      <c r="B710" s="1" t="n">
        <v>43594</v>
      </c>
      <c r="C710" s="1" t="n">
        <v>45797</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23504-2019</t>
        </is>
      </c>
      <c r="B711" s="1" t="n">
        <v>43594</v>
      </c>
      <c r="C711" s="1" t="n">
        <v>45797</v>
      </c>
      <c r="D711" t="inlineStr">
        <is>
          <t>ÖREBRO LÄN</t>
        </is>
      </c>
      <c r="E711" t="inlineStr">
        <is>
          <t>ASKERSUND</t>
        </is>
      </c>
      <c r="G711" t="n">
        <v>7.3</v>
      </c>
      <c r="H711" t="n">
        <v>0</v>
      </c>
      <c r="I711" t="n">
        <v>0</v>
      </c>
      <c r="J711" t="n">
        <v>0</v>
      </c>
      <c r="K711" t="n">
        <v>0</v>
      </c>
      <c r="L711" t="n">
        <v>0</v>
      </c>
      <c r="M711" t="n">
        <v>0</v>
      </c>
      <c r="N711" t="n">
        <v>0</v>
      </c>
      <c r="O711" t="n">
        <v>0</v>
      </c>
      <c r="P711" t="n">
        <v>0</v>
      </c>
      <c r="Q711" t="n">
        <v>0</v>
      </c>
      <c r="R711" s="2" t="inlineStr"/>
    </row>
    <row r="712" ht="15" customHeight="1">
      <c r="A712" t="inlineStr">
        <is>
          <t>A 23700-2019</t>
        </is>
      </c>
      <c r="B712" s="1" t="n">
        <v>43594</v>
      </c>
      <c r="C712" s="1" t="n">
        <v>45797</v>
      </c>
      <c r="D712" t="inlineStr">
        <is>
          <t>ÖREBRO LÄN</t>
        </is>
      </c>
      <c r="E712" t="inlineStr">
        <is>
          <t>LINDESBERG</t>
        </is>
      </c>
      <c r="F712" t="inlineStr">
        <is>
          <t>Kyrkan</t>
        </is>
      </c>
      <c r="G712" t="n">
        <v>3.1</v>
      </c>
      <c r="H712" t="n">
        <v>0</v>
      </c>
      <c r="I712" t="n">
        <v>0</v>
      </c>
      <c r="J712" t="n">
        <v>0</v>
      </c>
      <c r="K712" t="n">
        <v>0</v>
      </c>
      <c r="L712" t="n">
        <v>0</v>
      </c>
      <c r="M712" t="n">
        <v>0</v>
      </c>
      <c r="N712" t="n">
        <v>0</v>
      </c>
      <c r="O712" t="n">
        <v>0</v>
      </c>
      <c r="P712" t="n">
        <v>0</v>
      </c>
      <c r="Q712" t="n">
        <v>0</v>
      </c>
      <c r="R712" s="2" t="inlineStr"/>
    </row>
    <row r="713" ht="15" customHeight="1">
      <c r="A713" t="inlineStr">
        <is>
          <t>A 23667-2019</t>
        </is>
      </c>
      <c r="B713" s="1" t="n">
        <v>43594</v>
      </c>
      <c r="C713" s="1" t="n">
        <v>45797</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23701-2019</t>
        </is>
      </c>
      <c r="B714" s="1" t="n">
        <v>43594</v>
      </c>
      <c r="C714" s="1" t="n">
        <v>45797</v>
      </c>
      <c r="D714" t="inlineStr">
        <is>
          <t>ÖREBRO LÄN</t>
        </is>
      </c>
      <c r="E714" t="inlineStr">
        <is>
          <t>LINDESBERG</t>
        </is>
      </c>
      <c r="F714" t="inlineStr">
        <is>
          <t>Kyrkan</t>
        </is>
      </c>
      <c r="G714" t="n">
        <v>1.8</v>
      </c>
      <c r="H714" t="n">
        <v>0</v>
      </c>
      <c r="I714" t="n">
        <v>0</v>
      </c>
      <c r="J714" t="n">
        <v>0</v>
      </c>
      <c r="K714" t="n">
        <v>0</v>
      </c>
      <c r="L714" t="n">
        <v>0</v>
      </c>
      <c r="M714" t="n">
        <v>0</v>
      </c>
      <c r="N714" t="n">
        <v>0</v>
      </c>
      <c r="O714" t="n">
        <v>0</v>
      </c>
      <c r="P714" t="n">
        <v>0</v>
      </c>
      <c r="Q714" t="n">
        <v>0</v>
      </c>
      <c r="R714" s="2" t="inlineStr"/>
    </row>
    <row r="715" ht="15" customHeight="1">
      <c r="A715" t="inlineStr">
        <is>
          <t>A 24146-2019</t>
        </is>
      </c>
      <c r="B715" s="1" t="n">
        <v>43598</v>
      </c>
      <c r="C715" s="1" t="n">
        <v>45797</v>
      </c>
      <c r="D715" t="inlineStr">
        <is>
          <t>ÖREBRO LÄN</t>
        </is>
      </c>
      <c r="E715" t="inlineStr">
        <is>
          <t>LINDESBERG</t>
        </is>
      </c>
      <c r="F715" t="inlineStr">
        <is>
          <t>Kyrkan</t>
        </is>
      </c>
      <c r="G715" t="n">
        <v>6.5</v>
      </c>
      <c r="H715" t="n">
        <v>0</v>
      </c>
      <c r="I715" t="n">
        <v>0</v>
      </c>
      <c r="J715" t="n">
        <v>0</v>
      </c>
      <c r="K715" t="n">
        <v>0</v>
      </c>
      <c r="L715" t="n">
        <v>0</v>
      </c>
      <c r="M715" t="n">
        <v>0</v>
      </c>
      <c r="N715" t="n">
        <v>0</v>
      </c>
      <c r="O715" t="n">
        <v>0</v>
      </c>
      <c r="P715" t="n">
        <v>0</v>
      </c>
      <c r="Q715" t="n">
        <v>0</v>
      </c>
      <c r="R715" s="2" t="inlineStr"/>
    </row>
    <row r="716" ht="15" customHeight="1">
      <c r="A716" t="inlineStr">
        <is>
          <t>A 24112-2019</t>
        </is>
      </c>
      <c r="B716" s="1" t="n">
        <v>43598</v>
      </c>
      <c r="C716" s="1" t="n">
        <v>45797</v>
      </c>
      <c r="D716" t="inlineStr">
        <is>
          <t>ÖREBRO LÄN</t>
        </is>
      </c>
      <c r="E716" t="inlineStr">
        <is>
          <t>ASKERSUND</t>
        </is>
      </c>
      <c r="G716" t="n">
        <v>5</v>
      </c>
      <c r="H716" t="n">
        <v>0</v>
      </c>
      <c r="I716" t="n">
        <v>0</v>
      </c>
      <c r="J716" t="n">
        <v>0</v>
      </c>
      <c r="K716" t="n">
        <v>0</v>
      </c>
      <c r="L716" t="n">
        <v>0</v>
      </c>
      <c r="M716" t="n">
        <v>0</v>
      </c>
      <c r="N716" t="n">
        <v>0</v>
      </c>
      <c r="O716" t="n">
        <v>0</v>
      </c>
      <c r="P716" t="n">
        <v>0</v>
      </c>
      <c r="Q716" t="n">
        <v>0</v>
      </c>
      <c r="R716" s="2" t="inlineStr"/>
    </row>
    <row r="717" ht="15" customHeight="1">
      <c r="A717" t="inlineStr">
        <is>
          <t>A 24139-2019</t>
        </is>
      </c>
      <c r="B717" s="1" t="n">
        <v>43598</v>
      </c>
      <c r="C717" s="1" t="n">
        <v>45797</v>
      </c>
      <c r="D717" t="inlineStr">
        <is>
          <t>ÖREBRO LÄN</t>
        </is>
      </c>
      <c r="E717" t="inlineStr">
        <is>
          <t>LINDESBERG</t>
        </is>
      </c>
      <c r="F717" t="inlineStr">
        <is>
          <t>Kyrkan</t>
        </is>
      </c>
      <c r="G717" t="n">
        <v>1.9</v>
      </c>
      <c r="H717" t="n">
        <v>0</v>
      </c>
      <c r="I717" t="n">
        <v>0</v>
      </c>
      <c r="J717" t="n">
        <v>0</v>
      </c>
      <c r="K717" t="n">
        <v>0</v>
      </c>
      <c r="L717" t="n">
        <v>0</v>
      </c>
      <c r="M717" t="n">
        <v>0</v>
      </c>
      <c r="N717" t="n">
        <v>0</v>
      </c>
      <c r="O717" t="n">
        <v>0</v>
      </c>
      <c r="P717" t="n">
        <v>0</v>
      </c>
      <c r="Q717" t="n">
        <v>0</v>
      </c>
      <c r="R717" s="2" t="inlineStr"/>
    </row>
    <row r="718" ht="15" customHeight="1">
      <c r="A718" t="inlineStr">
        <is>
          <t>A 24092-2019</t>
        </is>
      </c>
      <c r="B718" s="1" t="n">
        <v>43598</v>
      </c>
      <c r="C718" s="1" t="n">
        <v>45797</v>
      </c>
      <c r="D718" t="inlineStr">
        <is>
          <t>ÖREBRO LÄN</t>
        </is>
      </c>
      <c r="E718" t="inlineStr">
        <is>
          <t>ÖREBRO</t>
        </is>
      </c>
      <c r="G718" t="n">
        <v>3.9</v>
      </c>
      <c r="H718" t="n">
        <v>0</v>
      </c>
      <c r="I718" t="n">
        <v>0</v>
      </c>
      <c r="J718" t="n">
        <v>0</v>
      </c>
      <c r="K718" t="n">
        <v>0</v>
      </c>
      <c r="L718" t="n">
        <v>0</v>
      </c>
      <c r="M718" t="n">
        <v>0</v>
      </c>
      <c r="N718" t="n">
        <v>0</v>
      </c>
      <c r="O718" t="n">
        <v>0</v>
      </c>
      <c r="P718" t="n">
        <v>0</v>
      </c>
      <c r="Q718" t="n">
        <v>0</v>
      </c>
      <c r="R718" s="2" t="inlineStr"/>
    </row>
    <row r="719" ht="15" customHeight="1">
      <c r="A719" t="inlineStr">
        <is>
          <t>A 24046-2019</t>
        </is>
      </c>
      <c r="B719" s="1" t="n">
        <v>43598</v>
      </c>
      <c r="C719" s="1" t="n">
        <v>45797</v>
      </c>
      <c r="D719" t="inlineStr">
        <is>
          <t>ÖREBRO LÄN</t>
        </is>
      </c>
      <c r="E719" t="inlineStr">
        <is>
          <t>KUMLA</t>
        </is>
      </c>
      <c r="G719" t="n">
        <v>2.7</v>
      </c>
      <c r="H719" t="n">
        <v>0</v>
      </c>
      <c r="I719" t="n">
        <v>0</v>
      </c>
      <c r="J719" t="n">
        <v>0</v>
      </c>
      <c r="K719" t="n">
        <v>0</v>
      </c>
      <c r="L719" t="n">
        <v>0</v>
      </c>
      <c r="M719" t="n">
        <v>0</v>
      </c>
      <c r="N719" t="n">
        <v>0</v>
      </c>
      <c r="O719" t="n">
        <v>0</v>
      </c>
      <c r="P719" t="n">
        <v>0</v>
      </c>
      <c r="Q719" t="n">
        <v>0</v>
      </c>
      <c r="R719" s="2" t="inlineStr"/>
    </row>
    <row r="720" ht="15" customHeight="1">
      <c r="A720" t="inlineStr">
        <is>
          <t>A 24090-2019</t>
        </is>
      </c>
      <c r="B720" s="1" t="n">
        <v>43598</v>
      </c>
      <c r="C720" s="1" t="n">
        <v>45797</v>
      </c>
      <c r="D720" t="inlineStr">
        <is>
          <t>ÖREBRO LÄN</t>
        </is>
      </c>
      <c r="E720" t="inlineStr">
        <is>
          <t>KARLSKOGA</t>
        </is>
      </c>
      <c r="F720" t="inlineStr">
        <is>
          <t>Sveaskog</t>
        </is>
      </c>
      <c r="G720" t="n">
        <v>1.3</v>
      </c>
      <c r="H720" t="n">
        <v>0</v>
      </c>
      <c r="I720" t="n">
        <v>0</v>
      </c>
      <c r="J720" t="n">
        <v>0</v>
      </c>
      <c r="K720" t="n">
        <v>0</v>
      </c>
      <c r="L720" t="n">
        <v>0</v>
      </c>
      <c r="M720" t="n">
        <v>0</v>
      </c>
      <c r="N720" t="n">
        <v>0</v>
      </c>
      <c r="O720" t="n">
        <v>0</v>
      </c>
      <c r="P720" t="n">
        <v>0</v>
      </c>
      <c r="Q720" t="n">
        <v>0</v>
      </c>
      <c r="R720" s="2" t="inlineStr"/>
    </row>
    <row r="721" ht="15" customHeight="1">
      <c r="A721" t="inlineStr">
        <is>
          <t>A 24191-2019</t>
        </is>
      </c>
      <c r="B721" s="1" t="n">
        <v>43599</v>
      </c>
      <c r="C721" s="1" t="n">
        <v>45797</v>
      </c>
      <c r="D721" t="inlineStr">
        <is>
          <t>ÖREBRO LÄN</t>
        </is>
      </c>
      <c r="E721" t="inlineStr">
        <is>
          <t>LINDESBERG</t>
        </is>
      </c>
      <c r="G721" t="n">
        <v>5.8</v>
      </c>
      <c r="H721" t="n">
        <v>0</v>
      </c>
      <c r="I721" t="n">
        <v>0</v>
      </c>
      <c r="J721" t="n">
        <v>0</v>
      </c>
      <c r="K721" t="n">
        <v>0</v>
      </c>
      <c r="L721" t="n">
        <v>0</v>
      </c>
      <c r="M721" t="n">
        <v>0</v>
      </c>
      <c r="N721" t="n">
        <v>0</v>
      </c>
      <c r="O721" t="n">
        <v>0</v>
      </c>
      <c r="P721" t="n">
        <v>0</v>
      </c>
      <c r="Q721" t="n">
        <v>0</v>
      </c>
      <c r="R721" s="2" t="inlineStr"/>
    </row>
    <row r="722" ht="15" customHeight="1">
      <c r="A722" t="inlineStr">
        <is>
          <t>A 24382-2019</t>
        </is>
      </c>
      <c r="B722" s="1" t="n">
        <v>43599</v>
      </c>
      <c r="C722" s="1" t="n">
        <v>45797</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24347-2019</t>
        </is>
      </c>
      <c r="B723" s="1" t="n">
        <v>43599</v>
      </c>
      <c r="C723" s="1" t="n">
        <v>45797</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24477-2019</t>
        </is>
      </c>
      <c r="B724" s="1" t="n">
        <v>43600</v>
      </c>
      <c r="C724" s="1" t="n">
        <v>45797</v>
      </c>
      <c r="D724" t="inlineStr">
        <is>
          <t>ÖREBRO LÄN</t>
        </is>
      </c>
      <c r="E724" t="inlineStr">
        <is>
          <t>HÄLLEFORS</t>
        </is>
      </c>
      <c r="G724" t="n">
        <v>1.7</v>
      </c>
      <c r="H724" t="n">
        <v>0</v>
      </c>
      <c r="I724" t="n">
        <v>0</v>
      </c>
      <c r="J724" t="n">
        <v>0</v>
      </c>
      <c r="K724" t="n">
        <v>0</v>
      </c>
      <c r="L724" t="n">
        <v>0</v>
      </c>
      <c r="M724" t="n">
        <v>0</v>
      </c>
      <c r="N724" t="n">
        <v>0</v>
      </c>
      <c r="O724" t="n">
        <v>0</v>
      </c>
      <c r="P724" t="n">
        <v>0</v>
      </c>
      <c r="Q724" t="n">
        <v>0</v>
      </c>
      <c r="R724" s="2" t="inlineStr"/>
    </row>
    <row r="725" ht="15" customHeight="1">
      <c r="A725" t="inlineStr">
        <is>
          <t>A 24459-2019</t>
        </is>
      </c>
      <c r="B725" s="1" t="n">
        <v>43600</v>
      </c>
      <c r="C725" s="1" t="n">
        <v>45797</v>
      </c>
      <c r="D725" t="inlineStr">
        <is>
          <t>ÖREBRO LÄN</t>
        </is>
      </c>
      <c r="E725" t="inlineStr">
        <is>
          <t>HÄLLEFORS</t>
        </is>
      </c>
      <c r="G725" t="n">
        <v>7.1</v>
      </c>
      <c r="H725" t="n">
        <v>0</v>
      </c>
      <c r="I725" t="n">
        <v>0</v>
      </c>
      <c r="J725" t="n">
        <v>0</v>
      </c>
      <c r="K725" t="n">
        <v>0</v>
      </c>
      <c r="L725" t="n">
        <v>0</v>
      </c>
      <c r="M725" t="n">
        <v>0</v>
      </c>
      <c r="N725" t="n">
        <v>0</v>
      </c>
      <c r="O725" t="n">
        <v>0</v>
      </c>
      <c r="P725" t="n">
        <v>0</v>
      </c>
      <c r="Q725" t="n">
        <v>0</v>
      </c>
      <c r="R725" s="2" t="inlineStr"/>
    </row>
    <row r="726" ht="15" customHeight="1">
      <c r="A726" t="inlineStr">
        <is>
          <t>A 24501-2019</t>
        </is>
      </c>
      <c r="B726" s="1" t="n">
        <v>43600</v>
      </c>
      <c r="C726" s="1" t="n">
        <v>45797</v>
      </c>
      <c r="D726" t="inlineStr">
        <is>
          <t>ÖREBRO LÄN</t>
        </is>
      </c>
      <c r="E726" t="inlineStr">
        <is>
          <t>LEKEBERG</t>
        </is>
      </c>
      <c r="G726" t="n">
        <v>2.5</v>
      </c>
      <c r="H726" t="n">
        <v>0</v>
      </c>
      <c r="I726" t="n">
        <v>0</v>
      </c>
      <c r="J726" t="n">
        <v>0</v>
      </c>
      <c r="K726" t="n">
        <v>0</v>
      </c>
      <c r="L726" t="n">
        <v>0</v>
      </c>
      <c r="M726" t="n">
        <v>0</v>
      </c>
      <c r="N726" t="n">
        <v>0</v>
      </c>
      <c r="O726" t="n">
        <v>0</v>
      </c>
      <c r="P726" t="n">
        <v>0</v>
      </c>
      <c r="Q726" t="n">
        <v>0</v>
      </c>
      <c r="R726" s="2" t="inlineStr"/>
    </row>
    <row r="727" ht="15" customHeight="1">
      <c r="A727" t="inlineStr">
        <is>
          <t>A 24508-2019</t>
        </is>
      </c>
      <c r="B727" s="1" t="n">
        <v>43600</v>
      </c>
      <c r="C727" s="1" t="n">
        <v>45797</v>
      </c>
      <c r="D727" t="inlineStr">
        <is>
          <t>ÖREBRO LÄN</t>
        </is>
      </c>
      <c r="E727" t="inlineStr">
        <is>
          <t>LINDESBERG</t>
        </is>
      </c>
      <c r="G727" t="n">
        <v>0.8</v>
      </c>
      <c r="H727" t="n">
        <v>0</v>
      </c>
      <c r="I727" t="n">
        <v>0</v>
      </c>
      <c r="J727" t="n">
        <v>0</v>
      </c>
      <c r="K727" t="n">
        <v>0</v>
      </c>
      <c r="L727" t="n">
        <v>0</v>
      </c>
      <c r="M727" t="n">
        <v>0</v>
      </c>
      <c r="N727" t="n">
        <v>0</v>
      </c>
      <c r="O727" t="n">
        <v>0</v>
      </c>
      <c r="P727" t="n">
        <v>0</v>
      </c>
      <c r="Q727" t="n">
        <v>0</v>
      </c>
      <c r="R727" s="2" t="inlineStr"/>
    </row>
    <row r="728" ht="15" customHeight="1">
      <c r="A728" t="inlineStr">
        <is>
          <t>A 25077-2019</t>
        </is>
      </c>
      <c r="B728" s="1" t="n">
        <v>43601</v>
      </c>
      <c r="C728" s="1" t="n">
        <v>45797</v>
      </c>
      <c r="D728" t="inlineStr">
        <is>
          <t>ÖREBRO LÄN</t>
        </is>
      </c>
      <c r="E728" t="inlineStr">
        <is>
          <t>KARLSKOGA</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24729-2019</t>
        </is>
      </c>
      <c r="B729" s="1" t="n">
        <v>43601</v>
      </c>
      <c r="C729" s="1" t="n">
        <v>45797</v>
      </c>
      <c r="D729" t="inlineStr">
        <is>
          <t>ÖREBRO LÄN</t>
        </is>
      </c>
      <c r="E729" t="inlineStr">
        <is>
          <t>HALLSBERG</t>
        </is>
      </c>
      <c r="G729" t="n">
        <v>0.6</v>
      </c>
      <c r="H729" t="n">
        <v>0</v>
      </c>
      <c r="I729" t="n">
        <v>0</v>
      </c>
      <c r="J729" t="n">
        <v>0</v>
      </c>
      <c r="K729" t="n">
        <v>0</v>
      </c>
      <c r="L729" t="n">
        <v>0</v>
      </c>
      <c r="M729" t="n">
        <v>0</v>
      </c>
      <c r="N729" t="n">
        <v>0</v>
      </c>
      <c r="O729" t="n">
        <v>0</v>
      </c>
      <c r="P729" t="n">
        <v>0</v>
      </c>
      <c r="Q729" t="n">
        <v>0</v>
      </c>
      <c r="R729" s="2" t="inlineStr"/>
    </row>
    <row r="730" ht="15" customHeight="1">
      <c r="A730" t="inlineStr">
        <is>
          <t>A 25084-2019</t>
        </is>
      </c>
      <c r="B730" s="1" t="n">
        <v>43601</v>
      </c>
      <c r="C730" s="1" t="n">
        <v>45797</v>
      </c>
      <c r="D730" t="inlineStr">
        <is>
          <t>ÖREBRO LÄN</t>
        </is>
      </c>
      <c r="E730" t="inlineStr">
        <is>
          <t>KARLSKOGA</t>
        </is>
      </c>
      <c r="F730" t="inlineStr">
        <is>
          <t>Övriga Aktiebolag</t>
        </is>
      </c>
      <c r="G730" t="n">
        <v>10.3</v>
      </c>
      <c r="H730" t="n">
        <v>0</v>
      </c>
      <c r="I730" t="n">
        <v>0</v>
      </c>
      <c r="J730" t="n">
        <v>0</v>
      </c>
      <c r="K730" t="n">
        <v>0</v>
      </c>
      <c r="L730" t="n">
        <v>0</v>
      </c>
      <c r="M730" t="n">
        <v>0</v>
      </c>
      <c r="N730" t="n">
        <v>0</v>
      </c>
      <c r="O730" t="n">
        <v>0</v>
      </c>
      <c r="P730" t="n">
        <v>0</v>
      </c>
      <c r="Q730" t="n">
        <v>0</v>
      </c>
      <c r="R730" s="2" t="inlineStr"/>
    </row>
    <row r="731" ht="15" customHeight="1">
      <c r="A731" t="inlineStr">
        <is>
          <t>A 25224-2019</t>
        </is>
      </c>
      <c r="B731" s="1" t="n">
        <v>43601</v>
      </c>
      <c r="C731" s="1" t="n">
        <v>45797</v>
      </c>
      <c r="D731" t="inlineStr">
        <is>
          <t>ÖREBRO LÄN</t>
        </is>
      </c>
      <c r="E731" t="inlineStr">
        <is>
          <t>DEGERFORS</t>
        </is>
      </c>
      <c r="G731" t="n">
        <v>1.1</v>
      </c>
      <c r="H731" t="n">
        <v>0</v>
      </c>
      <c r="I731" t="n">
        <v>0</v>
      </c>
      <c r="J731" t="n">
        <v>0</v>
      </c>
      <c r="K731" t="n">
        <v>0</v>
      </c>
      <c r="L731" t="n">
        <v>0</v>
      </c>
      <c r="M731" t="n">
        <v>0</v>
      </c>
      <c r="N731" t="n">
        <v>0</v>
      </c>
      <c r="O731" t="n">
        <v>0</v>
      </c>
      <c r="P731" t="n">
        <v>0</v>
      </c>
      <c r="Q731" t="n">
        <v>0</v>
      </c>
      <c r="R731" s="2" t="inlineStr"/>
    </row>
    <row r="732" ht="15" customHeight="1">
      <c r="A732" t="inlineStr">
        <is>
          <t>A 24758-2019</t>
        </is>
      </c>
      <c r="B732" s="1" t="n">
        <v>43601</v>
      </c>
      <c r="C732" s="1" t="n">
        <v>45797</v>
      </c>
      <c r="D732" t="inlineStr">
        <is>
          <t>ÖREBRO LÄN</t>
        </is>
      </c>
      <c r="E732" t="inlineStr">
        <is>
          <t>LINDESBERG</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25071-2019</t>
        </is>
      </c>
      <c r="B733" s="1" t="n">
        <v>43601</v>
      </c>
      <c r="C733" s="1" t="n">
        <v>45797</v>
      </c>
      <c r="D733" t="inlineStr">
        <is>
          <t>ÖREBRO LÄN</t>
        </is>
      </c>
      <c r="E733" t="inlineStr">
        <is>
          <t>DEGERFORS</t>
        </is>
      </c>
      <c r="G733" t="n">
        <v>6.6</v>
      </c>
      <c r="H733" t="n">
        <v>0</v>
      </c>
      <c r="I733" t="n">
        <v>0</v>
      </c>
      <c r="J733" t="n">
        <v>0</v>
      </c>
      <c r="K733" t="n">
        <v>0</v>
      </c>
      <c r="L733" t="n">
        <v>0</v>
      </c>
      <c r="M733" t="n">
        <v>0</v>
      </c>
      <c r="N733" t="n">
        <v>0</v>
      </c>
      <c r="O733" t="n">
        <v>0</v>
      </c>
      <c r="P733" t="n">
        <v>0</v>
      </c>
      <c r="Q733" t="n">
        <v>0</v>
      </c>
      <c r="R733" s="2" t="inlineStr"/>
    </row>
    <row r="734" ht="15" customHeight="1">
      <c r="A734" t="inlineStr">
        <is>
          <t>A 25120-2019</t>
        </is>
      </c>
      <c r="B734" s="1" t="n">
        <v>43605</v>
      </c>
      <c r="C734" s="1" t="n">
        <v>45797</v>
      </c>
      <c r="D734" t="inlineStr">
        <is>
          <t>ÖREBRO LÄN</t>
        </is>
      </c>
      <c r="E734" t="inlineStr">
        <is>
          <t>LINDESBERG</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25125-2019</t>
        </is>
      </c>
      <c r="B735" s="1" t="n">
        <v>43605</v>
      </c>
      <c r="C735" s="1" t="n">
        <v>45797</v>
      </c>
      <c r="D735" t="inlineStr">
        <is>
          <t>ÖREBRO LÄN</t>
        </is>
      </c>
      <c r="E735" t="inlineStr">
        <is>
          <t>LJUSNARSBERG</t>
        </is>
      </c>
      <c r="G735" t="n">
        <v>4.8</v>
      </c>
      <c r="H735" t="n">
        <v>0</v>
      </c>
      <c r="I735" t="n">
        <v>0</v>
      </c>
      <c r="J735" t="n">
        <v>0</v>
      </c>
      <c r="K735" t="n">
        <v>0</v>
      </c>
      <c r="L735" t="n">
        <v>0</v>
      </c>
      <c r="M735" t="n">
        <v>0</v>
      </c>
      <c r="N735" t="n">
        <v>0</v>
      </c>
      <c r="O735" t="n">
        <v>0</v>
      </c>
      <c r="P735" t="n">
        <v>0</v>
      </c>
      <c r="Q735" t="n">
        <v>0</v>
      </c>
      <c r="R735" s="2" t="inlineStr"/>
    </row>
    <row r="736" ht="15" customHeight="1">
      <c r="A736" t="inlineStr">
        <is>
          <t>A 25128-2019</t>
        </is>
      </c>
      <c r="B736" s="1" t="n">
        <v>43605</v>
      </c>
      <c r="C736" s="1" t="n">
        <v>45797</v>
      </c>
      <c r="D736" t="inlineStr">
        <is>
          <t>ÖREBRO LÄN</t>
        </is>
      </c>
      <c r="E736" t="inlineStr">
        <is>
          <t>LINDESBERG</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25186-2019</t>
        </is>
      </c>
      <c r="B737" s="1" t="n">
        <v>43605</v>
      </c>
      <c r="C737" s="1" t="n">
        <v>45797</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c r="U737">
        <f>HYPERLINK("https://klasma.github.io/Logging_1880/knärot/A 25186-2019 karta knärot.png", "A 25186-2019")</f>
        <v/>
      </c>
      <c r="V737">
        <f>HYPERLINK("https://klasma.github.io/Logging_1880/klagomål/A 25186-2019 FSC-klagomål.docx", "A 25186-2019")</f>
        <v/>
      </c>
      <c r="W737">
        <f>HYPERLINK("https://klasma.github.io/Logging_1880/klagomålsmail/A 25186-2019 FSC-klagomål mail.docx", "A 25186-2019")</f>
        <v/>
      </c>
      <c r="X737">
        <f>HYPERLINK("https://klasma.github.io/Logging_1880/tillsyn/A 25186-2019 tillsynsbegäran.docx", "A 25186-2019")</f>
        <v/>
      </c>
      <c r="Y737">
        <f>HYPERLINK("https://klasma.github.io/Logging_1880/tillsynsmail/A 25186-2019 tillsynsbegäran mail.docx", "A 25186-2019")</f>
        <v/>
      </c>
    </row>
    <row r="738" ht="15" customHeight="1">
      <c r="A738" t="inlineStr">
        <is>
          <t>A 25175-2019</t>
        </is>
      </c>
      <c r="B738" s="1" t="n">
        <v>43605</v>
      </c>
      <c r="C738" s="1" t="n">
        <v>45797</v>
      </c>
      <c r="D738" t="inlineStr">
        <is>
          <t>ÖREBRO LÄN</t>
        </is>
      </c>
      <c r="E738" t="inlineStr">
        <is>
          <t>LJUSNARSBERG</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25451-2019</t>
        </is>
      </c>
      <c r="B739" s="1" t="n">
        <v>43606</v>
      </c>
      <c r="C739" s="1" t="n">
        <v>45797</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26435-2019</t>
        </is>
      </c>
      <c r="B740" s="1" t="n">
        <v>43607</v>
      </c>
      <c r="C740" s="1" t="n">
        <v>45797</v>
      </c>
      <c r="D740" t="inlineStr">
        <is>
          <t>ÖREBRO LÄN</t>
        </is>
      </c>
      <c r="E740" t="inlineStr">
        <is>
          <t>HALLSBERG</t>
        </is>
      </c>
      <c r="G740" t="n">
        <v>2.2</v>
      </c>
      <c r="H740" t="n">
        <v>0</v>
      </c>
      <c r="I740" t="n">
        <v>0</v>
      </c>
      <c r="J740" t="n">
        <v>0</v>
      </c>
      <c r="K740" t="n">
        <v>0</v>
      </c>
      <c r="L740" t="n">
        <v>0</v>
      </c>
      <c r="M740" t="n">
        <v>0</v>
      </c>
      <c r="N740" t="n">
        <v>0</v>
      </c>
      <c r="O740" t="n">
        <v>0</v>
      </c>
      <c r="P740" t="n">
        <v>0</v>
      </c>
      <c r="Q740" t="n">
        <v>0</v>
      </c>
      <c r="R740" s="2" t="inlineStr"/>
    </row>
    <row r="741" ht="15" customHeight="1">
      <c r="A741" t="inlineStr">
        <is>
          <t>A 25825-2019</t>
        </is>
      </c>
      <c r="B741" s="1" t="n">
        <v>43608</v>
      </c>
      <c r="C741" s="1" t="n">
        <v>45797</v>
      </c>
      <c r="D741" t="inlineStr">
        <is>
          <t>ÖREBRO LÄN</t>
        </is>
      </c>
      <c r="E741" t="inlineStr">
        <is>
          <t>ASKERSUND</t>
        </is>
      </c>
      <c r="G741" t="n">
        <v>1</v>
      </c>
      <c r="H741" t="n">
        <v>0</v>
      </c>
      <c r="I741" t="n">
        <v>0</v>
      </c>
      <c r="J741" t="n">
        <v>0</v>
      </c>
      <c r="K741" t="n">
        <v>0</v>
      </c>
      <c r="L741" t="n">
        <v>0</v>
      </c>
      <c r="M741" t="n">
        <v>0</v>
      </c>
      <c r="N741" t="n">
        <v>0</v>
      </c>
      <c r="O741" t="n">
        <v>0</v>
      </c>
      <c r="P741" t="n">
        <v>0</v>
      </c>
      <c r="Q741" t="n">
        <v>0</v>
      </c>
      <c r="R741" s="2" t="inlineStr"/>
    </row>
    <row r="742" ht="15" customHeight="1">
      <c r="A742" t="inlineStr">
        <is>
          <t>A 25755-2019</t>
        </is>
      </c>
      <c r="B742" s="1" t="n">
        <v>43608</v>
      </c>
      <c r="C742" s="1" t="n">
        <v>45797</v>
      </c>
      <c r="D742" t="inlineStr">
        <is>
          <t>ÖREBRO LÄN</t>
        </is>
      </c>
      <c r="E742" t="inlineStr">
        <is>
          <t>LINDESBERG</t>
        </is>
      </c>
      <c r="F742" t="inlineStr">
        <is>
          <t>Sveaskog</t>
        </is>
      </c>
      <c r="G742" t="n">
        <v>0.3</v>
      </c>
      <c r="H742" t="n">
        <v>0</v>
      </c>
      <c r="I742" t="n">
        <v>0</v>
      </c>
      <c r="J742" t="n">
        <v>0</v>
      </c>
      <c r="K742" t="n">
        <v>0</v>
      </c>
      <c r="L742" t="n">
        <v>0</v>
      </c>
      <c r="M742" t="n">
        <v>0</v>
      </c>
      <c r="N742" t="n">
        <v>0</v>
      </c>
      <c r="O742" t="n">
        <v>0</v>
      </c>
      <c r="P742" t="n">
        <v>0</v>
      </c>
      <c r="Q742" t="n">
        <v>0</v>
      </c>
      <c r="R742" s="2" t="inlineStr"/>
    </row>
    <row r="743" ht="15" customHeight="1">
      <c r="A743" t="inlineStr">
        <is>
          <t>A 26226-2019</t>
        </is>
      </c>
      <c r="B743" s="1" t="n">
        <v>43609</v>
      </c>
      <c r="C743" s="1" t="n">
        <v>45797</v>
      </c>
      <c r="D743" t="inlineStr">
        <is>
          <t>ÖREBRO LÄN</t>
        </is>
      </c>
      <c r="E743" t="inlineStr">
        <is>
          <t>NORA</t>
        </is>
      </c>
      <c r="G743" t="n">
        <v>3.7</v>
      </c>
      <c r="H743" t="n">
        <v>0</v>
      </c>
      <c r="I743" t="n">
        <v>0</v>
      </c>
      <c r="J743" t="n">
        <v>0</v>
      </c>
      <c r="K743" t="n">
        <v>0</v>
      </c>
      <c r="L743" t="n">
        <v>0</v>
      </c>
      <c r="M743" t="n">
        <v>0</v>
      </c>
      <c r="N743" t="n">
        <v>0</v>
      </c>
      <c r="O743" t="n">
        <v>0</v>
      </c>
      <c r="P743" t="n">
        <v>0</v>
      </c>
      <c r="Q743" t="n">
        <v>0</v>
      </c>
      <c r="R743" s="2" t="inlineStr"/>
    </row>
    <row r="744" ht="15" customHeight="1">
      <c r="A744" t="inlineStr">
        <is>
          <t>A 26293-2019</t>
        </is>
      </c>
      <c r="B744" s="1" t="n">
        <v>43611</v>
      </c>
      <c r="C744" s="1" t="n">
        <v>45797</v>
      </c>
      <c r="D744" t="inlineStr">
        <is>
          <t>ÖREBRO LÄN</t>
        </is>
      </c>
      <c r="E744" t="inlineStr">
        <is>
          <t>DEGERFORS</t>
        </is>
      </c>
      <c r="G744" t="n">
        <v>1.3</v>
      </c>
      <c r="H744" t="n">
        <v>0</v>
      </c>
      <c r="I744" t="n">
        <v>0</v>
      </c>
      <c r="J744" t="n">
        <v>0</v>
      </c>
      <c r="K744" t="n">
        <v>0</v>
      </c>
      <c r="L744" t="n">
        <v>0</v>
      </c>
      <c r="M744" t="n">
        <v>0</v>
      </c>
      <c r="N744" t="n">
        <v>0</v>
      </c>
      <c r="O744" t="n">
        <v>0</v>
      </c>
      <c r="P744" t="n">
        <v>0</v>
      </c>
      <c r="Q744" t="n">
        <v>0</v>
      </c>
      <c r="R744" s="2" t="inlineStr"/>
    </row>
    <row r="745" ht="15" customHeight="1">
      <c r="A745" t="inlineStr">
        <is>
          <t>A 26306-2019</t>
        </is>
      </c>
      <c r="B745" s="1" t="n">
        <v>43612</v>
      </c>
      <c r="C745" s="1" t="n">
        <v>45797</v>
      </c>
      <c r="D745" t="inlineStr">
        <is>
          <t>ÖREBRO LÄN</t>
        </is>
      </c>
      <c r="E745" t="inlineStr">
        <is>
          <t>ÖREBRO</t>
        </is>
      </c>
      <c r="G745" t="n">
        <v>3</v>
      </c>
      <c r="H745" t="n">
        <v>0</v>
      </c>
      <c r="I745" t="n">
        <v>0</v>
      </c>
      <c r="J745" t="n">
        <v>0</v>
      </c>
      <c r="K745" t="n">
        <v>0</v>
      </c>
      <c r="L745" t="n">
        <v>0</v>
      </c>
      <c r="M745" t="n">
        <v>0</v>
      </c>
      <c r="N745" t="n">
        <v>0</v>
      </c>
      <c r="O745" t="n">
        <v>0</v>
      </c>
      <c r="P745" t="n">
        <v>0</v>
      </c>
      <c r="Q745" t="n">
        <v>0</v>
      </c>
      <c r="R745" s="2" t="inlineStr"/>
    </row>
    <row r="746" ht="15" customHeight="1">
      <c r="A746" t="inlineStr">
        <is>
          <t>A 26406-2019</t>
        </is>
      </c>
      <c r="B746" s="1" t="n">
        <v>43612</v>
      </c>
      <c r="C746" s="1" t="n">
        <v>45797</v>
      </c>
      <c r="D746" t="inlineStr">
        <is>
          <t>ÖREBRO LÄN</t>
        </is>
      </c>
      <c r="E746" t="inlineStr">
        <is>
          <t>LINDESBERG</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26456-2019</t>
        </is>
      </c>
      <c r="B747" s="1" t="n">
        <v>43612</v>
      </c>
      <c r="C747" s="1" t="n">
        <v>45797</v>
      </c>
      <c r="D747" t="inlineStr">
        <is>
          <t>ÖREBRO LÄN</t>
        </is>
      </c>
      <c r="E747" t="inlineStr">
        <is>
          <t>LINDESBERG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26802-2019</t>
        </is>
      </c>
      <c r="B748" s="1" t="n">
        <v>43613</v>
      </c>
      <c r="C748" s="1" t="n">
        <v>45797</v>
      </c>
      <c r="D748" t="inlineStr">
        <is>
          <t>ÖREBRO LÄN</t>
        </is>
      </c>
      <c r="E748" t="inlineStr">
        <is>
          <t>KUMLA</t>
        </is>
      </c>
      <c r="G748" t="n">
        <v>1.5</v>
      </c>
      <c r="H748" t="n">
        <v>0</v>
      </c>
      <c r="I748" t="n">
        <v>0</v>
      </c>
      <c r="J748" t="n">
        <v>0</v>
      </c>
      <c r="K748" t="n">
        <v>0</v>
      </c>
      <c r="L748" t="n">
        <v>0</v>
      </c>
      <c r="M748" t="n">
        <v>0</v>
      </c>
      <c r="N748" t="n">
        <v>0</v>
      </c>
      <c r="O748" t="n">
        <v>0</v>
      </c>
      <c r="P748" t="n">
        <v>0</v>
      </c>
      <c r="Q748" t="n">
        <v>0</v>
      </c>
      <c r="R748" s="2" t="inlineStr"/>
    </row>
    <row r="749" ht="15" customHeight="1">
      <c r="A749" t="inlineStr">
        <is>
          <t>A 26838-2019</t>
        </is>
      </c>
      <c r="B749" s="1" t="n">
        <v>43613</v>
      </c>
      <c r="C749" s="1" t="n">
        <v>45797</v>
      </c>
      <c r="D749" t="inlineStr">
        <is>
          <t>ÖREBRO LÄN</t>
        </is>
      </c>
      <c r="E749" t="inlineStr">
        <is>
          <t>LEKEBERG</t>
        </is>
      </c>
      <c r="G749" t="n">
        <v>3.5</v>
      </c>
      <c r="H749" t="n">
        <v>0</v>
      </c>
      <c r="I749" t="n">
        <v>0</v>
      </c>
      <c r="J749" t="n">
        <v>0</v>
      </c>
      <c r="K749" t="n">
        <v>0</v>
      </c>
      <c r="L749" t="n">
        <v>0</v>
      </c>
      <c r="M749" t="n">
        <v>0</v>
      </c>
      <c r="N749" t="n">
        <v>0</v>
      </c>
      <c r="O749" t="n">
        <v>0</v>
      </c>
      <c r="P749" t="n">
        <v>0</v>
      </c>
      <c r="Q749" t="n">
        <v>0</v>
      </c>
      <c r="R749" s="2" t="inlineStr"/>
    </row>
    <row r="750" ht="15" customHeight="1">
      <c r="A750" t="inlineStr">
        <is>
          <t>A 28069-2019</t>
        </is>
      </c>
      <c r="B750" s="1" t="n">
        <v>43613</v>
      </c>
      <c r="C750" s="1" t="n">
        <v>45797</v>
      </c>
      <c r="D750" t="inlineStr">
        <is>
          <t>ÖREBRO LÄN</t>
        </is>
      </c>
      <c r="E750" t="inlineStr">
        <is>
          <t>DEGERFORS</t>
        </is>
      </c>
      <c r="G750" t="n">
        <v>6.1</v>
      </c>
      <c r="H750" t="n">
        <v>0</v>
      </c>
      <c r="I750" t="n">
        <v>0</v>
      </c>
      <c r="J750" t="n">
        <v>0</v>
      </c>
      <c r="K750" t="n">
        <v>0</v>
      </c>
      <c r="L750" t="n">
        <v>0</v>
      </c>
      <c r="M750" t="n">
        <v>0</v>
      </c>
      <c r="N750" t="n">
        <v>0</v>
      </c>
      <c r="O750" t="n">
        <v>0</v>
      </c>
      <c r="P750" t="n">
        <v>0</v>
      </c>
      <c r="Q750" t="n">
        <v>0</v>
      </c>
      <c r="R750" s="2" t="inlineStr"/>
    </row>
    <row r="751" ht="15" customHeight="1">
      <c r="A751" t="inlineStr">
        <is>
          <t>A 28636-2019</t>
        </is>
      </c>
      <c r="B751" s="1" t="n">
        <v>43614</v>
      </c>
      <c r="C751" s="1" t="n">
        <v>45797</v>
      </c>
      <c r="D751" t="inlineStr">
        <is>
          <t>ÖREBRO LÄN</t>
        </is>
      </c>
      <c r="E751" t="inlineStr">
        <is>
          <t>DEGERFORS</t>
        </is>
      </c>
      <c r="G751" t="n">
        <v>5</v>
      </c>
      <c r="H751" t="n">
        <v>0</v>
      </c>
      <c r="I751" t="n">
        <v>0</v>
      </c>
      <c r="J751" t="n">
        <v>0</v>
      </c>
      <c r="K751" t="n">
        <v>0</v>
      </c>
      <c r="L751" t="n">
        <v>0</v>
      </c>
      <c r="M751" t="n">
        <v>0</v>
      </c>
      <c r="N751" t="n">
        <v>0</v>
      </c>
      <c r="O751" t="n">
        <v>0</v>
      </c>
      <c r="P751" t="n">
        <v>0</v>
      </c>
      <c r="Q751" t="n">
        <v>0</v>
      </c>
      <c r="R751" s="2" t="inlineStr"/>
    </row>
    <row r="752" ht="15" customHeight="1">
      <c r="A752" t="inlineStr">
        <is>
          <t>A 28905-2019</t>
        </is>
      </c>
      <c r="B752" s="1" t="n">
        <v>43616</v>
      </c>
      <c r="C752" s="1" t="n">
        <v>45797</v>
      </c>
      <c r="D752" t="inlineStr">
        <is>
          <t>ÖREBRO LÄN</t>
        </is>
      </c>
      <c r="E752" t="inlineStr">
        <is>
          <t>LINDESBERG</t>
        </is>
      </c>
      <c r="G752" t="n">
        <v>5.1</v>
      </c>
      <c r="H752" t="n">
        <v>0</v>
      </c>
      <c r="I752" t="n">
        <v>0</v>
      </c>
      <c r="J752" t="n">
        <v>0</v>
      </c>
      <c r="K752" t="n">
        <v>0</v>
      </c>
      <c r="L752" t="n">
        <v>0</v>
      </c>
      <c r="M752" t="n">
        <v>0</v>
      </c>
      <c r="N752" t="n">
        <v>0</v>
      </c>
      <c r="O752" t="n">
        <v>0</v>
      </c>
      <c r="P752" t="n">
        <v>0</v>
      </c>
      <c r="Q752" t="n">
        <v>0</v>
      </c>
      <c r="R752" s="2" t="inlineStr"/>
    </row>
    <row r="753" ht="15" customHeight="1">
      <c r="A753" t="inlineStr">
        <is>
          <t>A 27632-2019</t>
        </is>
      </c>
      <c r="B753" s="1" t="n">
        <v>43619</v>
      </c>
      <c r="C753" s="1" t="n">
        <v>45797</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28925-2019</t>
        </is>
      </c>
      <c r="B754" s="1" t="n">
        <v>43619</v>
      </c>
      <c r="C754" s="1" t="n">
        <v>45797</v>
      </c>
      <c r="D754" t="inlineStr">
        <is>
          <t>ÖREBRO LÄN</t>
        </is>
      </c>
      <c r="E754" t="inlineStr">
        <is>
          <t>ÖREBRO</t>
        </is>
      </c>
      <c r="F754" t="inlineStr">
        <is>
          <t>Övriga Aktiebolag</t>
        </is>
      </c>
      <c r="G754" t="n">
        <v>17.9</v>
      </c>
      <c r="H754" t="n">
        <v>0</v>
      </c>
      <c r="I754" t="n">
        <v>0</v>
      </c>
      <c r="J754" t="n">
        <v>0</v>
      </c>
      <c r="K754" t="n">
        <v>0</v>
      </c>
      <c r="L754" t="n">
        <v>0</v>
      </c>
      <c r="M754" t="n">
        <v>0</v>
      </c>
      <c r="N754" t="n">
        <v>0</v>
      </c>
      <c r="O754" t="n">
        <v>0</v>
      </c>
      <c r="P754" t="n">
        <v>0</v>
      </c>
      <c r="Q754" t="n">
        <v>0</v>
      </c>
      <c r="R754" s="2" t="inlineStr"/>
    </row>
    <row r="755" ht="15" customHeight="1">
      <c r="A755" t="inlineStr">
        <is>
          <t>A 29240-2019</t>
        </is>
      </c>
      <c r="B755" s="1" t="n">
        <v>43623</v>
      </c>
      <c r="C755" s="1" t="n">
        <v>45797</v>
      </c>
      <c r="D755" t="inlineStr">
        <is>
          <t>ÖREBRO LÄN</t>
        </is>
      </c>
      <c r="E755" t="inlineStr">
        <is>
          <t>DEGERFORS</t>
        </is>
      </c>
      <c r="G755" t="n">
        <v>23.2</v>
      </c>
      <c r="H755" t="n">
        <v>0</v>
      </c>
      <c r="I755" t="n">
        <v>0</v>
      </c>
      <c r="J755" t="n">
        <v>0</v>
      </c>
      <c r="K755" t="n">
        <v>0</v>
      </c>
      <c r="L755" t="n">
        <v>0</v>
      </c>
      <c r="M755" t="n">
        <v>0</v>
      </c>
      <c r="N755" t="n">
        <v>0</v>
      </c>
      <c r="O755" t="n">
        <v>0</v>
      </c>
      <c r="P755" t="n">
        <v>0</v>
      </c>
      <c r="Q755" t="n">
        <v>0</v>
      </c>
      <c r="R755" s="2" t="inlineStr"/>
    </row>
    <row r="756" ht="15" customHeight="1">
      <c r="A756" t="inlineStr">
        <is>
          <t>A 29242-2019</t>
        </is>
      </c>
      <c r="B756" s="1" t="n">
        <v>43623</v>
      </c>
      <c r="C756" s="1" t="n">
        <v>45797</v>
      </c>
      <c r="D756" t="inlineStr">
        <is>
          <t>ÖREBRO LÄN</t>
        </is>
      </c>
      <c r="E756" t="inlineStr">
        <is>
          <t>DEGERFORS</t>
        </is>
      </c>
      <c r="G756" t="n">
        <v>3.5</v>
      </c>
      <c r="H756" t="n">
        <v>0</v>
      </c>
      <c r="I756" t="n">
        <v>0</v>
      </c>
      <c r="J756" t="n">
        <v>0</v>
      </c>
      <c r="K756" t="n">
        <v>0</v>
      </c>
      <c r="L756" t="n">
        <v>0</v>
      </c>
      <c r="M756" t="n">
        <v>0</v>
      </c>
      <c r="N756" t="n">
        <v>0</v>
      </c>
      <c r="O756" t="n">
        <v>0</v>
      </c>
      <c r="P756" t="n">
        <v>0</v>
      </c>
      <c r="Q756" t="n">
        <v>0</v>
      </c>
      <c r="R756" s="2" t="inlineStr"/>
    </row>
    <row r="757" ht="15" customHeight="1">
      <c r="A757" t="inlineStr">
        <is>
          <t>A 29239-2019</t>
        </is>
      </c>
      <c r="B757" s="1" t="n">
        <v>43623</v>
      </c>
      <c r="C757" s="1" t="n">
        <v>45797</v>
      </c>
      <c r="D757" t="inlineStr">
        <is>
          <t>ÖREBRO LÄN</t>
        </is>
      </c>
      <c r="E757" t="inlineStr">
        <is>
          <t>DEGERFORS</t>
        </is>
      </c>
      <c r="G757" t="n">
        <v>3.2</v>
      </c>
      <c r="H757" t="n">
        <v>0</v>
      </c>
      <c r="I757" t="n">
        <v>0</v>
      </c>
      <c r="J757" t="n">
        <v>0</v>
      </c>
      <c r="K757" t="n">
        <v>0</v>
      </c>
      <c r="L757" t="n">
        <v>0</v>
      </c>
      <c r="M757" t="n">
        <v>0</v>
      </c>
      <c r="N757" t="n">
        <v>0</v>
      </c>
      <c r="O757" t="n">
        <v>0</v>
      </c>
      <c r="P757" t="n">
        <v>0</v>
      </c>
      <c r="Q757" t="n">
        <v>0</v>
      </c>
      <c r="R757" s="2" t="inlineStr"/>
    </row>
    <row r="758" ht="15" customHeight="1">
      <c r="A758" t="inlineStr">
        <is>
          <t>A 28442-2019</t>
        </is>
      </c>
      <c r="B758" s="1" t="n">
        <v>43626</v>
      </c>
      <c r="C758" s="1" t="n">
        <v>45797</v>
      </c>
      <c r="D758" t="inlineStr">
        <is>
          <t>ÖREBRO LÄN</t>
        </is>
      </c>
      <c r="E758" t="inlineStr">
        <is>
          <t>LINDESBERG</t>
        </is>
      </c>
      <c r="G758" t="n">
        <v>2.7</v>
      </c>
      <c r="H758" t="n">
        <v>0</v>
      </c>
      <c r="I758" t="n">
        <v>0</v>
      </c>
      <c r="J758" t="n">
        <v>0</v>
      </c>
      <c r="K758" t="n">
        <v>0</v>
      </c>
      <c r="L758" t="n">
        <v>0</v>
      </c>
      <c r="M758" t="n">
        <v>0</v>
      </c>
      <c r="N758" t="n">
        <v>0</v>
      </c>
      <c r="O758" t="n">
        <v>0</v>
      </c>
      <c r="P758" t="n">
        <v>0</v>
      </c>
      <c r="Q758" t="n">
        <v>0</v>
      </c>
      <c r="R758" s="2" t="inlineStr"/>
    </row>
    <row r="759" ht="15" customHeight="1">
      <c r="A759" t="inlineStr">
        <is>
          <t>A 28660-2019</t>
        </is>
      </c>
      <c r="B759" s="1" t="n">
        <v>43627</v>
      </c>
      <c r="C759" s="1" t="n">
        <v>45797</v>
      </c>
      <c r="D759" t="inlineStr">
        <is>
          <t>ÖREBRO LÄN</t>
        </is>
      </c>
      <c r="E759" t="inlineStr">
        <is>
          <t>ÖREBRO</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29110-2019</t>
        </is>
      </c>
      <c r="B760" s="1" t="n">
        <v>43628</v>
      </c>
      <c r="C760" s="1" t="n">
        <v>45797</v>
      </c>
      <c r="D760" t="inlineStr">
        <is>
          <t>ÖREBRO LÄN</t>
        </is>
      </c>
      <c r="E760" t="inlineStr">
        <is>
          <t>LINDESBERG</t>
        </is>
      </c>
      <c r="G760" t="n">
        <v>4.1</v>
      </c>
      <c r="H760" t="n">
        <v>0</v>
      </c>
      <c r="I760" t="n">
        <v>0</v>
      </c>
      <c r="J760" t="n">
        <v>0</v>
      </c>
      <c r="K760" t="n">
        <v>0</v>
      </c>
      <c r="L760" t="n">
        <v>0</v>
      </c>
      <c r="M760" t="n">
        <v>0</v>
      </c>
      <c r="N760" t="n">
        <v>0</v>
      </c>
      <c r="O760" t="n">
        <v>0</v>
      </c>
      <c r="P760" t="n">
        <v>0</v>
      </c>
      <c r="Q760" t="n">
        <v>0</v>
      </c>
      <c r="R760" s="2" t="inlineStr"/>
    </row>
    <row r="761" ht="15" customHeight="1">
      <c r="A761" t="inlineStr">
        <is>
          <t>A 29307-2019</t>
        </is>
      </c>
      <c r="B761" s="1" t="n">
        <v>43629</v>
      </c>
      <c r="C761" s="1" t="n">
        <v>45797</v>
      </c>
      <c r="D761" t="inlineStr">
        <is>
          <t>ÖREBRO LÄN</t>
        </is>
      </c>
      <c r="E761" t="inlineStr">
        <is>
          <t>LINDESBERG</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29442-2019</t>
        </is>
      </c>
      <c r="B762" s="1" t="n">
        <v>43629</v>
      </c>
      <c r="C762" s="1" t="n">
        <v>45797</v>
      </c>
      <c r="D762" t="inlineStr">
        <is>
          <t>ÖREBRO LÄN</t>
        </is>
      </c>
      <c r="E762" t="inlineStr">
        <is>
          <t>LINDESBERG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29853-2019</t>
        </is>
      </c>
      <c r="B763" s="1" t="n">
        <v>43629</v>
      </c>
      <c r="C763" s="1" t="n">
        <v>45797</v>
      </c>
      <c r="D763" t="inlineStr">
        <is>
          <t>ÖREBRO LÄN</t>
        </is>
      </c>
      <c r="E763" t="inlineStr">
        <is>
          <t>LEKEBERG</t>
        </is>
      </c>
      <c r="G763" t="n">
        <v>1</v>
      </c>
      <c r="H763" t="n">
        <v>0</v>
      </c>
      <c r="I763" t="n">
        <v>0</v>
      </c>
      <c r="J763" t="n">
        <v>0</v>
      </c>
      <c r="K763" t="n">
        <v>0</v>
      </c>
      <c r="L763" t="n">
        <v>0</v>
      </c>
      <c r="M763" t="n">
        <v>0</v>
      </c>
      <c r="N763" t="n">
        <v>0</v>
      </c>
      <c r="O763" t="n">
        <v>0</v>
      </c>
      <c r="P763" t="n">
        <v>0</v>
      </c>
      <c r="Q763" t="n">
        <v>0</v>
      </c>
      <c r="R763" s="2" t="inlineStr"/>
    </row>
    <row r="764" ht="15" customHeight="1">
      <c r="A764" t="inlineStr">
        <is>
          <t>A 29557-2019</t>
        </is>
      </c>
      <c r="B764" s="1" t="n">
        <v>43630</v>
      </c>
      <c r="C764" s="1" t="n">
        <v>45797</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29976-2019</t>
        </is>
      </c>
      <c r="B765" s="1" t="n">
        <v>43633</v>
      </c>
      <c r="C765" s="1" t="n">
        <v>45797</v>
      </c>
      <c r="D765" t="inlineStr">
        <is>
          <t>ÖREBRO LÄN</t>
        </is>
      </c>
      <c r="E765" t="inlineStr">
        <is>
          <t>LINDESBERG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30282-2019</t>
        </is>
      </c>
      <c r="B766" s="1" t="n">
        <v>43633</v>
      </c>
      <c r="C766" s="1" t="n">
        <v>45797</v>
      </c>
      <c r="D766" t="inlineStr">
        <is>
          <t>ÖREBRO LÄN</t>
        </is>
      </c>
      <c r="E766" t="inlineStr">
        <is>
          <t>LEKEBERG</t>
        </is>
      </c>
      <c r="G766" t="n">
        <v>6.4</v>
      </c>
      <c r="H766" t="n">
        <v>0</v>
      </c>
      <c r="I766" t="n">
        <v>0</v>
      </c>
      <c r="J766" t="n">
        <v>0</v>
      </c>
      <c r="K766" t="n">
        <v>0</v>
      </c>
      <c r="L766" t="n">
        <v>0</v>
      </c>
      <c r="M766" t="n">
        <v>0</v>
      </c>
      <c r="N766" t="n">
        <v>0</v>
      </c>
      <c r="O766" t="n">
        <v>0</v>
      </c>
      <c r="P766" t="n">
        <v>0</v>
      </c>
      <c r="Q766" t="n">
        <v>0</v>
      </c>
      <c r="R766" s="2" t="inlineStr"/>
    </row>
    <row r="767" ht="15" customHeight="1">
      <c r="A767" t="inlineStr">
        <is>
          <t>A 29980-2019</t>
        </is>
      </c>
      <c r="B767" s="1" t="n">
        <v>43633</v>
      </c>
      <c r="C767" s="1" t="n">
        <v>45797</v>
      </c>
      <c r="D767" t="inlineStr">
        <is>
          <t>ÖREBRO LÄN</t>
        </is>
      </c>
      <c r="E767" t="inlineStr">
        <is>
          <t>LJUSNARSBERG</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30299-2019</t>
        </is>
      </c>
      <c r="B768" s="1" t="n">
        <v>43633</v>
      </c>
      <c r="C768" s="1" t="n">
        <v>45797</v>
      </c>
      <c r="D768" t="inlineStr">
        <is>
          <t>ÖREBRO LÄN</t>
        </is>
      </c>
      <c r="E768" t="inlineStr">
        <is>
          <t>LEKEBERG</t>
        </is>
      </c>
      <c r="G768" t="n">
        <v>7.9</v>
      </c>
      <c r="H768" t="n">
        <v>0</v>
      </c>
      <c r="I768" t="n">
        <v>0</v>
      </c>
      <c r="J768" t="n">
        <v>0</v>
      </c>
      <c r="K768" t="n">
        <v>0</v>
      </c>
      <c r="L768" t="n">
        <v>0</v>
      </c>
      <c r="M768" t="n">
        <v>0</v>
      </c>
      <c r="N768" t="n">
        <v>0</v>
      </c>
      <c r="O768" t="n">
        <v>0</v>
      </c>
      <c r="P768" t="n">
        <v>0</v>
      </c>
      <c r="Q768" t="n">
        <v>0</v>
      </c>
      <c r="R768" s="2" t="inlineStr"/>
    </row>
    <row r="769" ht="15" customHeight="1">
      <c r="A769" t="inlineStr">
        <is>
          <t>A 29983-2019</t>
        </is>
      </c>
      <c r="B769" s="1" t="n">
        <v>43633</v>
      </c>
      <c r="C769" s="1" t="n">
        <v>45797</v>
      </c>
      <c r="D769" t="inlineStr">
        <is>
          <t>ÖREBRO LÄN</t>
        </is>
      </c>
      <c r="E769" t="inlineStr">
        <is>
          <t>LJUSNARSBERG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32073-2019</t>
        </is>
      </c>
      <c r="B770" s="1" t="n">
        <v>43633</v>
      </c>
      <c r="C770" s="1" t="n">
        <v>45797</v>
      </c>
      <c r="D770" t="inlineStr">
        <is>
          <t>ÖREBRO LÄN</t>
        </is>
      </c>
      <c r="E770" t="inlineStr">
        <is>
          <t>LEKEBERG</t>
        </is>
      </c>
      <c r="G770" t="n">
        <v>0.8</v>
      </c>
      <c r="H770" t="n">
        <v>0</v>
      </c>
      <c r="I770" t="n">
        <v>0</v>
      </c>
      <c r="J770" t="n">
        <v>0</v>
      </c>
      <c r="K770" t="n">
        <v>0</v>
      </c>
      <c r="L770" t="n">
        <v>0</v>
      </c>
      <c r="M770" t="n">
        <v>0</v>
      </c>
      <c r="N770" t="n">
        <v>0</v>
      </c>
      <c r="O770" t="n">
        <v>0</v>
      </c>
      <c r="P770" t="n">
        <v>0</v>
      </c>
      <c r="Q770" t="n">
        <v>0</v>
      </c>
      <c r="R770" s="2" t="inlineStr"/>
    </row>
    <row r="771" ht="15" customHeight="1">
      <c r="A771" t="inlineStr">
        <is>
          <t>A 29948-2019</t>
        </is>
      </c>
      <c r="B771" s="1" t="n">
        <v>43633</v>
      </c>
      <c r="C771" s="1" t="n">
        <v>45797</v>
      </c>
      <c r="D771" t="inlineStr">
        <is>
          <t>ÖREBRO LÄN</t>
        </is>
      </c>
      <c r="E771" t="inlineStr">
        <is>
          <t>LINDESBERG</t>
        </is>
      </c>
      <c r="G771" t="n">
        <v>7</v>
      </c>
      <c r="H771" t="n">
        <v>0</v>
      </c>
      <c r="I771" t="n">
        <v>0</v>
      </c>
      <c r="J771" t="n">
        <v>0</v>
      </c>
      <c r="K771" t="n">
        <v>0</v>
      </c>
      <c r="L771" t="n">
        <v>0</v>
      </c>
      <c r="M771" t="n">
        <v>0</v>
      </c>
      <c r="N771" t="n">
        <v>0</v>
      </c>
      <c r="O771" t="n">
        <v>0</v>
      </c>
      <c r="P771" t="n">
        <v>0</v>
      </c>
      <c r="Q771" t="n">
        <v>0</v>
      </c>
      <c r="R771" s="2" t="inlineStr"/>
    </row>
    <row r="772" ht="15" customHeight="1">
      <c r="A772" t="inlineStr">
        <is>
          <t>A 30104-2019</t>
        </is>
      </c>
      <c r="B772" s="1" t="n">
        <v>43634</v>
      </c>
      <c r="C772" s="1" t="n">
        <v>45797</v>
      </c>
      <c r="D772" t="inlineStr">
        <is>
          <t>ÖREBRO LÄN</t>
        </is>
      </c>
      <c r="E772" t="inlineStr">
        <is>
          <t>LINDESBERG</t>
        </is>
      </c>
      <c r="G772" t="n">
        <v>4.1</v>
      </c>
      <c r="H772" t="n">
        <v>0</v>
      </c>
      <c r="I772" t="n">
        <v>0</v>
      </c>
      <c r="J772" t="n">
        <v>0</v>
      </c>
      <c r="K772" t="n">
        <v>0</v>
      </c>
      <c r="L772" t="n">
        <v>0</v>
      </c>
      <c r="M772" t="n">
        <v>0</v>
      </c>
      <c r="N772" t="n">
        <v>0</v>
      </c>
      <c r="O772" t="n">
        <v>0</v>
      </c>
      <c r="P772" t="n">
        <v>0</v>
      </c>
      <c r="Q772" t="n">
        <v>0</v>
      </c>
      <c r="R772" s="2" t="inlineStr"/>
    </row>
    <row r="773" ht="15" customHeight="1">
      <c r="A773" t="inlineStr">
        <is>
          <t>A 30147-2019</t>
        </is>
      </c>
      <c r="B773" s="1" t="n">
        <v>43634</v>
      </c>
      <c r="C773" s="1" t="n">
        <v>45797</v>
      </c>
      <c r="D773" t="inlineStr">
        <is>
          <t>ÖREBRO LÄN</t>
        </is>
      </c>
      <c r="E773" t="inlineStr">
        <is>
          <t>NORA</t>
        </is>
      </c>
      <c r="G773" t="n">
        <v>18.5</v>
      </c>
      <c r="H773" t="n">
        <v>0</v>
      </c>
      <c r="I773" t="n">
        <v>0</v>
      </c>
      <c r="J773" t="n">
        <v>0</v>
      </c>
      <c r="K773" t="n">
        <v>0</v>
      </c>
      <c r="L773" t="n">
        <v>0</v>
      </c>
      <c r="M773" t="n">
        <v>0</v>
      </c>
      <c r="N773" t="n">
        <v>0</v>
      </c>
      <c r="O773" t="n">
        <v>0</v>
      </c>
      <c r="P773" t="n">
        <v>0</v>
      </c>
      <c r="Q773" t="n">
        <v>0</v>
      </c>
      <c r="R773" s="2" t="inlineStr"/>
    </row>
    <row r="774" ht="15" customHeight="1">
      <c r="A774" t="inlineStr">
        <is>
          <t>A 30236-2019</t>
        </is>
      </c>
      <c r="B774" s="1" t="n">
        <v>43634</v>
      </c>
      <c r="C774" s="1" t="n">
        <v>45797</v>
      </c>
      <c r="D774" t="inlineStr">
        <is>
          <t>ÖREBRO LÄN</t>
        </is>
      </c>
      <c r="E774" t="inlineStr">
        <is>
          <t>HALLSBERG</t>
        </is>
      </c>
      <c r="G774" t="n">
        <v>1</v>
      </c>
      <c r="H774" t="n">
        <v>0</v>
      </c>
      <c r="I774" t="n">
        <v>0</v>
      </c>
      <c r="J774" t="n">
        <v>0</v>
      </c>
      <c r="K774" t="n">
        <v>0</v>
      </c>
      <c r="L774" t="n">
        <v>0</v>
      </c>
      <c r="M774" t="n">
        <v>0</v>
      </c>
      <c r="N774" t="n">
        <v>0</v>
      </c>
      <c r="O774" t="n">
        <v>0</v>
      </c>
      <c r="P774" t="n">
        <v>0</v>
      </c>
      <c r="Q774" t="n">
        <v>0</v>
      </c>
      <c r="R774" s="2" t="inlineStr"/>
    </row>
    <row r="775" ht="15" customHeight="1">
      <c r="A775" t="inlineStr">
        <is>
          <t>A 30347-2019</t>
        </is>
      </c>
      <c r="B775" s="1" t="n">
        <v>43634</v>
      </c>
      <c r="C775" s="1" t="n">
        <v>45797</v>
      </c>
      <c r="D775" t="inlineStr">
        <is>
          <t>ÖREBRO LÄN</t>
        </is>
      </c>
      <c r="E775" t="inlineStr">
        <is>
          <t>HALLSBERG</t>
        </is>
      </c>
      <c r="F775" t="inlineStr">
        <is>
          <t>Övriga Aktiebolag</t>
        </is>
      </c>
      <c r="G775" t="n">
        <v>2.4</v>
      </c>
      <c r="H775" t="n">
        <v>0</v>
      </c>
      <c r="I775" t="n">
        <v>0</v>
      </c>
      <c r="J775" t="n">
        <v>0</v>
      </c>
      <c r="K775" t="n">
        <v>0</v>
      </c>
      <c r="L775" t="n">
        <v>0</v>
      </c>
      <c r="M775" t="n">
        <v>0</v>
      </c>
      <c r="N775" t="n">
        <v>0</v>
      </c>
      <c r="O775" t="n">
        <v>0</v>
      </c>
      <c r="P775" t="n">
        <v>0</v>
      </c>
      <c r="Q775" t="n">
        <v>0</v>
      </c>
      <c r="R775" s="2" t="inlineStr"/>
    </row>
    <row r="776" ht="15" customHeight="1">
      <c r="A776" t="inlineStr">
        <is>
          <t>A 30172-2019</t>
        </is>
      </c>
      <c r="B776" s="1" t="n">
        <v>43634</v>
      </c>
      <c r="C776" s="1" t="n">
        <v>45797</v>
      </c>
      <c r="D776" t="inlineStr">
        <is>
          <t>ÖREBRO LÄN</t>
        </is>
      </c>
      <c r="E776" t="inlineStr">
        <is>
          <t>LINDESBERG</t>
        </is>
      </c>
      <c r="F776" t="inlineStr">
        <is>
          <t>Naturvårdsverket</t>
        </is>
      </c>
      <c r="G776" t="n">
        <v>2.2</v>
      </c>
      <c r="H776" t="n">
        <v>0</v>
      </c>
      <c r="I776" t="n">
        <v>0</v>
      </c>
      <c r="J776" t="n">
        <v>0</v>
      </c>
      <c r="K776" t="n">
        <v>0</v>
      </c>
      <c r="L776" t="n">
        <v>0</v>
      </c>
      <c r="M776" t="n">
        <v>0</v>
      </c>
      <c r="N776" t="n">
        <v>0</v>
      </c>
      <c r="O776" t="n">
        <v>0</v>
      </c>
      <c r="P776" t="n">
        <v>0</v>
      </c>
      <c r="Q776" t="n">
        <v>0</v>
      </c>
      <c r="R776" s="2" t="inlineStr"/>
    </row>
    <row r="777" ht="15" customHeight="1">
      <c r="A777" t="inlineStr">
        <is>
          <t>A 30525-2019</t>
        </is>
      </c>
      <c r="B777" s="1" t="n">
        <v>43635</v>
      </c>
      <c r="C777" s="1" t="n">
        <v>45797</v>
      </c>
      <c r="D777" t="inlineStr">
        <is>
          <t>ÖREBRO LÄN</t>
        </is>
      </c>
      <c r="E777" t="inlineStr">
        <is>
          <t>LINDESBERG</t>
        </is>
      </c>
      <c r="F777" t="inlineStr">
        <is>
          <t>Naturvårdsverket</t>
        </is>
      </c>
      <c r="G777" t="n">
        <v>2.6</v>
      </c>
      <c r="H777" t="n">
        <v>0</v>
      </c>
      <c r="I777" t="n">
        <v>0</v>
      </c>
      <c r="J777" t="n">
        <v>0</v>
      </c>
      <c r="K777" t="n">
        <v>0</v>
      </c>
      <c r="L777" t="n">
        <v>0</v>
      </c>
      <c r="M777" t="n">
        <v>0</v>
      </c>
      <c r="N777" t="n">
        <v>0</v>
      </c>
      <c r="O777" t="n">
        <v>0</v>
      </c>
      <c r="P777" t="n">
        <v>0</v>
      </c>
      <c r="Q777" t="n">
        <v>0</v>
      </c>
      <c r="R777" s="2" t="inlineStr"/>
    </row>
    <row r="778" ht="15" customHeight="1">
      <c r="A778" t="inlineStr">
        <is>
          <t>A 30709-2019</t>
        </is>
      </c>
      <c r="B778" s="1" t="n">
        <v>43636</v>
      </c>
      <c r="C778" s="1" t="n">
        <v>45797</v>
      </c>
      <c r="D778" t="inlineStr">
        <is>
          <t>ÖREBRO LÄN</t>
        </is>
      </c>
      <c r="E778" t="inlineStr">
        <is>
          <t>LINDESBERG</t>
        </is>
      </c>
      <c r="F778" t="inlineStr">
        <is>
          <t>Naturvårdsverket</t>
        </is>
      </c>
      <c r="G778" t="n">
        <v>5.3</v>
      </c>
      <c r="H778" t="n">
        <v>0</v>
      </c>
      <c r="I778" t="n">
        <v>0</v>
      </c>
      <c r="J778" t="n">
        <v>0</v>
      </c>
      <c r="K778" t="n">
        <v>0</v>
      </c>
      <c r="L778" t="n">
        <v>0</v>
      </c>
      <c r="M778" t="n">
        <v>0</v>
      </c>
      <c r="N778" t="n">
        <v>0</v>
      </c>
      <c r="O778" t="n">
        <v>0</v>
      </c>
      <c r="P778" t="n">
        <v>0</v>
      </c>
      <c r="Q778" t="n">
        <v>0</v>
      </c>
      <c r="R778" s="2" t="inlineStr"/>
    </row>
    <row r="779" ht="15" customHeight="1">
      <c r="A779" t="inlineStr">
        <is>
          <t>A 30719-2019</t>
        </is>
      </c>
      <c r="B779" s="1" t="n">
        <v>43636</v>
      </c>
      <c r="C779" s="1" t="n">
        <v>45797</v>
      </c>
      <c r="D779" t="inlineStr">
        <is>
          <t>ÖREBRO LÄN</t>
        </is>
      </c>
      <c r="E779" t="inlineStr">
        <is>
          <t>HÄLLEFORS</t>
        </is>
      </c>
      <c r="F779" t="inlineStr">
        <is>
          <t>Bergvik skog väst AB</t>
        </is>
      </c>
      <c r="G779" t="n">
        <v>3.7</v>
      </c>
      <c r="H779" t="n">
        <v>0</v>
      </c>
      <c r="I779" t="n">
        <v>0</v>
      </c>
      <c r="J779" t="n">
        <v>0</v>
      </c>
      <c r="K779" t="n">
        <v>0</v>
      </c>
      <c r="L779" t="n">
        <v>0</v>
      </c>
      <c r="M779" t="n">
        <v>0</v>
      </c>
      <c r="N779" t="n">
        <v>0</v>
      </c>
      <c r="O779" t="n">
        <v>0</v>
      </c>
      <c r="P779" t="n">
        <v>0</v>
      </c>
      <c r="Q779" t="n">
        <v>0</v>
      </c>
      <c r="R779" s="2" t="inlineStr"/>
    </row>
    <row r="780" ht="15" customHeight="1">
      <c r="A780" t="inlineStr">
        <is>
          <t>A 31028-2019</t>
        </is>
      </c>
      <c r="B780" s="1" t="n">
        <v>43640</v>
      </c>
      <c r="C780" s="1" t="n">
        <v>45797</v>
      </c>
      <c r="D780" t="inlineStr">
        <is>
          <t>ÖREBRO LÄN</t>
        </is>
      </c>
      <c r="E780" t="inlineStr">
        <is>
          <t>LEKEBERG</t>
        </is>
      </c>
      <c r="G780" t="n">
        <v>1.9</v>
      </c>
      <c r="H780" t="n">
        <v>0</v>
      </c>
      <c r="I780" t="n">
        <v>0</v>
      </c>
      <c r="J780" t="n">
        <v>0</v>
      </c>
      <c r="K780" t="n">
        <v>0</v>
      </c>
      <c r="L780" t="n">
        <v>0</v>
      </c>
      <c r="M780" t="n">
        <v>0</v>
      </c>
      <c r="N780" t="n">
        <v>0</v>
      </c>
      <c r="O780" t="n">
        <v>0</v>
      </c>
      <c r="P780" t="n">
        <v>0</v>
      </c>
      <c r="Q780" t="n">
        <v>0</v>
      </c>
      <c r="R780" s="2" t="inlineStr"/>
    </row>
    <row r="781" ht="15" customHeight="1">
      <c r="A781" t="inlineStr">
        <is>
          <t>A 31300-2019</t>
        </is>
      </c>
      <c r="B781" s="1" t="n">
        <v>43641</v>
      </c>
      <c r="C781" s="1" t="n">
        <v>45797</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31708-2019</t>
        </is>
      </c>
      <c r="B782" s="1" t="n">
        <v>43642</v>
      </c>
      <c r="C782" s="1" t="n">
        <v>45797</v>
      </c>
      <c r="D782" t="inlineStr">
        <is>
          <t>ÖREBRO LÄN</t>
        </is>
      </c>
      <c r="E782" t="inlineStr">
        <is>
          <t>LAXÅ</t>
        </is>
      </c>
      <c r="G782" t="n">
        <v>3.8</v>
      </c>
      <c r="H782" t="n">
        <v>0</v>
      </c>
      <c r="I782" t="n">
        <v>0</v>
      </c>
      <c r="J782" t="n">
        <v>0</v>
      </c>
      <c r="K782" t="n">
        <v>0</v>
      </c>
      <c r="L782" t="n">
        <v>0</v>
      </c>
      <c r="M782" t="n">
        <v>0</v>
      </c>
      <c r="N782" t="n">
        <v>0</v>
      </c>
      <c r="O782" t="n">
        <v>0</v>
      </c>
      <c r="P782" t="n">
        <v>0</v>
      </c>
      <c r="Q782" t="n">
        <v>0</v>
      </c>
      <c r="R782" s="2" t="inlineStr"/>
    </row>
    <row r="783" ht="15" customHeight="1">
      <c r="A783" t="inlineStr">
        <is>
          <t>A 31766-2019</t>
        </is>
      </c>
      <c r="B783" s="1" t="n">
        <v>43642</v>
      </c>
      <c r="C783" s="1" t="n">
        <v>45797</v>
      </c>
      <c r="D783" t="inlineStr">
        <is>
          <t>ÖREBRO LÄN</t>
        </is>
      </c>
      <c r="E783" t="inlineStr">
        <is>
          <t>LINDESBERG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31891-2019</t>
        </is>
      </c>
      <c r="B784" s="1" t="n">
        <v>43642</v>
      </c>
      <c r="C784" s="1" t="n">
        <v>45797</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31913-2019</t>
        </is>
      </c>
      <c r="B785" s="1" t="n">
        <v>43643</v>
      </c>
      <c r="C785" s="1" t="n">
        <v>45797</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32175-2019</t>
        </is>
      </c>
      <c r="B786" s="1" t="n">
        <v>43643</v>
      </c>
      <c r="C786" s="1" t="n">
        <v>45797</v>
      </c>
      <c r="D786" t="inlineStr">
        <is>
          <t>ÖREBRO LÄN</t>
        </is>
      </c>
      <c r="E786" t="inlineStr">
        <is>
          <t>LINDESBERG</t>
        </is>
      </c>
      <c r="F786" t="inlineStr">
        <is>
          <t>Kyrkan</t>
        </is>
      </c>
      <c r="G786" t="n">
        <v>17.9</v>
      </c>
      <c r="H786" t="n">
        <v>0</v>
      </c>
      <c r="I786" t="n">
        <v>0</v>
      </c>
      <c r="J786" t="n">
        <v>0</v>
      </c>
      <c r="K786" t="n">
        <v>0</v>
      </c>
      <c r="L786" t="n">
        <v>0</v>
      </c>
      <c r="M786" t="n">
        <v>0</v>
      </c>
      <c r="N786" t="n">
        <v>0</v>
      </c>
      <c r="O786" t="n">
        <v>0</v>
      </c>
      <c r="P786" t="n">
        <v>0</v>
      </c>
      <c r="Q786" t="n">
        <v>0</v>
      </c>
      <c r="R786" s="2" t="inlineStr"/>
    </row>
    <row r="787" ht="15" customHeight="1">
      <c r="A787" t="inlineStr">
        <is>
          <t>A 32069-2019</t>
        </is>
      </c>
      <c r="B787" s="1" t="n">
        <v>43643</v>
      </c>
      <c r="C787" s="1" t="n">
        <v>45797</v>
      </c>
      <c r="D787" t="inlineStr">
        <is>
          <t>ÖREBRO LÄN</t>
        </is>
      </c>
      <c r="E787" t="inlineStr">
        <is>
          <t>LINDESBERG</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32093-2019</t>
        </is>
      </c>
      <c r="B788" s="1" t="n">
        <v>43643</v>
      </c>
      <c r="C788" s="1" t="n">
        <v>45797</v>
      </c>
      <c r="D788" t="inlineStr">
        <is>
          <t>ÖREBRO LÄN</t>
        </is>
      </c>
      <c r="E788" t="inlineStr">
        <is>
          <t>LINDESBERG</t>
        </is>
      </c>
      <c r="G788" t="n">
        <v>1.7</v>
      </c>
      <c r="H788" t="n">
        <v>0</v>
      </c>
      <c r="I788" t="n">
        <v>0</v>
      </c>
      <c r="J788" t="n">
        <v>0</v>
      </c>
      <c r="K788" t="n">
        <v>0</v>
      </c>
      <c r="L788" t="n">
        <v>0</v>
      </c>
      <c r="M788" t="n">
        <v>0</v>
      </c>
      <c r="N788" t="n">
        <v>0</v>
      </c>
      <c r="O788" t="n">
        <v>0</v>
      </c>
      <c r="P788" t="n">
        <v>0</v>
      </c>
      <c r="Q788" t="n">
        <v>0</v>
      </c>
      <c r="R788" s="2" t="inlineStr"/>
    </row>
    <row r="789" ht="15" customHeight="1">
      <c r="A789" t="inlineStr">
        <is>
          <t>A 32012-2019</t>
        </is>
      </c>
      <c r="B789" s="1" t="n">
        <v>43643</v>
      </c>
      <c r="C789" s="1" t="n">
        <v>45797</v>
      </c>
      <c r="D789" t="inlineStr">
        <is>
          <t>ÖREBRO LÄN</t>
        </is>
      </c>
      <c r="E789" t="inlineStr">
        <is>
          <t>LINDESBERG</t>
        </is>
      </c>
      <c r="G789" t="n">
        <v>5</v>
      </c>
      <c r="H789" t="n">
        <v>0</v>
      </c>
      <c r="I789" t="n">
        <v>0</v>
      </c>
      <c r="J789" t="n">
        <v>0</v>
      </c>
      <c r="K789" t="n">
        <v>0</v>
      </c>
      <c r="L789" t="n">
        <v>0</v>
      </c>
      <c r="M789" t="n">
        <v>0</v>
      </c>
      <c r="N789" t="n">
        <v>0</v>
      </c>
      <c r="O789" t="n">
        <v>0</v>
      </c>
      <c r="P789" t="n">
        <v>0</v>
      </c>
      <c r="Q789" t="n">
        <v>0</v>
      </c>
      <c r="R789" s="2" t="inlineStr"/>
    </row>
    <row r="790" ht="15" customHeight="1">
      <c r="A790" t="inlineStr">
        <is>
          <t>A 32325-2019</t>
        </is>
      </c>
      <c r="B790" s="1" t="n">
        <v>43644</v>
      </c>
      <c r="C790" s="1" t="n">
        <v>45797</v>
      </c>
      <c r="D790" t="inlineStr">
        <is>
          <t>ÖREBRO LÄN</t>
        </is>
      </c>
      <c r="E790" t="inlineStr">
        <is>
          <t>LINDESBERG</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32320-2019</t>
        </is>
      </c>
      <c r="B791" s="1" t="n">
        <v>43644</v>
      </c>
      <c r="C791" s="1" t="n">
        <v>45797</v>
      </c>
      <c r="D791" t="inlineStr">
        <is>
          <t>ÖREBRO LÄN</t>
        </is>
      </c>
      <c r="E791" t="inlineStr">
        <is>
          <t>LJUSNARSBERG</t>
        </is>
      </c>
      <c r="F791" t="inlineStr">
        <is>
          <t>Kyrkan</t>
        </is>
      </c>
      <c r="G791" t="n">
        <v>4.8</v>
      </c>
      <c r="H791" t="n">
        <v>0</v>
      </c>
      <c r="I791" t="n">
        <v>0</v>
      </c>
      <c r="J791" t="n">
        <v>0</v>
      </c>
      <c r="K791" t="n">
        <v>0</v>
      </c>
      <c r="L791" t="n">
        <v>0</v>
      </c>
      <c r="M791" t="n">
        <v>0</v>
      </c>
      <c r="N791" t="n">
        <v>0</v>
      </c>
      <c r="O791" t="n">
        <v>0</v>
      </c>
      <c r="P791" t="n">
        <v>0</v>
      </c>
      <c r="Q791" t="n">
        <v>0</v>
      </c>
      <c r="R791" s="2" t="inlineStr"/>
    </row>
    <row r="792" ht="15" customHeight="1">
      <c r="A792" t="inlineStr">
        <is>
          <t>A 32327-2019</t>
        </is>
      </c>
      <c r="B792" s="1" t="n">
        <v>43644</v>
      </c>
      <c r="C792" s="1" t="n">
        <v>45797</v>
      </c>
      <c r="D792" t="inlineStr">
        <is>
          <t>ÖREBRO LÄN</t>
        </is>
      </c>
      <c r="E792" t="inlineStr">
        <is>
          <t>LINDESBERG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32330-2019</t>
        </is>
      </c>
      <c r="B793" s="1" t="n">
        <v>43644</v>
      </c>
      <c r="C793" s="1" t="n">
        <v>45797</v>
      </c>
      <c r="D793" t="inlineStr">
        <is>
          <t>ÖREBRO LÄN</t>
        </is>
      </c>
      <c r="E793" t="inlineStr">
        <is>
          <t>LINDESBERG</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34518-2019</t>
        </is>
      </c>
      <c r="B794" s="1" t="n">
        <v>43647</v>
      </c>
      <c r="C794" s="1" t="n">
        <v>45797</v>
      </c>
      <c r="D794" t="inlineStr">
        <is>
          <t>ÖREBRO LÄN</t>
        </is>
      </c>
      <c r="E794" t="inlineStr">
        <is>
          <t>KARLSKOGA</t>
        </is>
      </c>
      <c r="G794" t="n">
        <v>4.6</v>
      </c>
      <c r="H794" t="n">
        <v>0</v>
      </c>
      <c r="I794" t="n">
        <v>0</v>
      </c>
      <c r="J794" t="n">
        <v>0</v>
      </c>
      <c r="K794" t="n">
        <v>0</v>
      </c>
      <c r="L794" t="n">
        <v>0</v>
      </c>
      <c r="M794" t="n">
        <v>0</v>
      </c>
      <c r="N794" t="n">
        <v>0</v>
      </c>
      <c r="O794" t="n">
        <v>0</v>
      </c>
      <c r="P794" t="n">
        <v>0</v>
      </c>
      <c r="Q794" t="n">
        <v>0</v>
      </c>
      <c r="R794" s="2" t="inlineStr"/>
    </row>
    <row r="795" ht="15" customHeight="1">
      <c r="A795" t="inlineStr">
        <is>
          <t>A 34508-2019</t>
        </is>
      </c>
      <c r="B795" s="1" t="n">
        <v>43647</v>
      </c>
      <c r="C795" s="1" t="n">
        <v>45797</v>
      </c>
      <c r="D795" t="inlineStr">
        <is>
          <t>ÖREBRO LÄN</t>
        </is>
      </c>
      <c r="E795" t="inlineStr">
        <is>
          <t>DEGERFORS</t>
        </is>
      </c>
      <c r="G795" t="n">
        <v>0.5</v>
      </c>
      <c r="H795" t="n">
        <v>0</v>
      </c>
      <c r="I795" t="n">
        <v>0</v>
      </c>
      <c r="J795" t="n">
        <v>0</v>
      </c>
      <c r="K795" t="n">
        <v>0</v>
      </c>
      <c r="L795" t="n">
        <v>0</v>
      </c>
      <c r="M795" t="n">
        <v>0</v>
      </c>
      <c r="N795" t="n">
        <v>0</v>
      </c>
      <c r="O795" t="n">
        <v>0</v>
      </c>
      <c r="P795" t="n">
        <v>0</v>
      </c>
      <c r="Q795" t="n">
        <v>0</v>
      </c>
      <c r="R795" s="2" t="inlineStr"/>
    </row>
    <row r="796" ht="15" customHeight="1">
      <c r="A796" t="inlineStr">
        <is>
          <t>A 34524-2019</t>
        </is>
      </c>
      <c r="B796" s="1" t="n">
        <v>43647</v>
      </c>
      <c r="C796" s="1" t="n">
        <v>45797</v>
      </c>
      <c r="D796" t="inlineStr">
        <is>
          <t>ÖREBRO LÄN</t>
        </is>
      </c>
      <c r="E796" t="inlineStr">
        <is>
          <t>KARLSKOGA</t>
        </is>
      </c>
      <c r="G796" t="n">
        <v>6</v>
      </c>
      <c r="H796" t="n">
        <v>0</v>
      </c>
      <c r="I796" t="n">
        <v>0</v>
      </c>
      <c r="J796" t="n">
        <v>0</v>
      </c>
      <c r="K796" t="n">
        <v>0</v>
      </c>
      <c r="L796" t="n">
        <v>0</v>
      </c>
      <c r="M796" t="n">
        <v>0</v>
      </c>
      <c r="N796" t="n">
        <v>0</v>
      </c>
      <c r="O796" t="n">
        <v>0</v>
      </c>
      <c r="P796" t="n">
        <v>0</v>
      </c>
      <c r="Q796" t="n">
        <v>0</v>
      </c>
      <c r="R796" s="2" t="inlineStr"/>
    </row>
    <row r="797" ht="15" customHeight="1">
      <c r="A797" t="inlineStr">
        <is>
          <t>A 32701-2019</t>
        </is>
      </c>
      <c r="B797" s="1" t="n">
        <v>43647</v>
      </c>
      <c r="C797" s="1" t="n">
        <v>45797</v>
      </c>
      <c r="D797" t="inlineStr">
        <is>
          <t>ÖREBRO LÄN</t>
        </is>
      </c>
      <c r="E797" t="inlineStr">
        <is>
          <t>ÖREBRO</t>
        </is>
      </c>
      <c r="F797" t="inlineStr">
        <is>
          <t>Övriga Aktiebolag</t>
        </is>
      </c>
      <c r="G797" t="n">
        <v>6.4</v>
      </c>
      <c r="H797" t="n">
        <v>0</v>
      </c>
      <c r="I797" t="n">
        <v>0</v>
      </c>
      <c r="J797" t="n">
        <v>0</v>
      </c>
      <c r="K797" t="n">
        <v>0</v>
      </c>
      <c r="L797" t="n">
        <v>0</v>
      </c>
      <c r="M797" t="n">
        <v>0</v>
      </c>
      <c r="N797" t="n">
        <v>0</v>
      </c>
      <c r="O797" t="n">
        <v>0</v>
      </c>
      <c r="P797" t="n">
        <v>0</v>
      </c>
      <c r="Q797" t="n">
        <v>0</v>
      </c>
      <c r="R797" s="2" t="inlineStr"/>
    </row>
    <row r="798" ht="15" customHeight="1">
      <c r="A798" t="inlineStr">
        <is>
          <t>A 34578-2019</t>
        </is>
      </c>
      <c r="B798" s="1" t="n">
        <v>43647</v>
      </c>
      <c r="C798" s="1" t="n">
        <v>45797</v>
      </c>
      <c r="D798" t="inlineStr">
        <is>
          <t>ÖREBRO LÄN</t>
        </is>
      </c>
      <c r="E798" t="inlineStr">
        <is>
          <t>KUMLA</t>
        </is>
      </c>
      <c r="G798" t="n">
        <v>1.3</v>
      </c>
      <c r="H798" t="n">
        <v>0</v>
      </c>
      <c r="I798" t="n">
        <v>0</v>
      </c>
      <c r="J798" t="n">
        <v>0</v>
      </c>
      <c r="K798" t="n">
        <v>0</v>
      </c>
      <c r="L798" t="n">
        <v>0</v>
      </c>
      <c r="M798" t="n">
        <v>0</v>
      </c>
      <c r="N798" t="n">
        <v>0</v>
      </c>
      <c r="O798" t="n">
        <v>0</v>
      </c>
      <c r="P798" t="n">
        <v>0</v>
      </c>
      <c r="Q798" t="n">
        <v>0</v>
      </c>
      <c r="R798" s="2" t="inlineStr"/>
    </row>
    <row r="799" ht="15" customHeight="1">
      <c r="A799" t="inlineStr">
        <is>
          <t>A 32861-2019</t>
        </is>
      </c>
      <c r="B799" s="1" t="n">
        <v>43648</v>
      </c>
      <c r="C799" s="1" t="n">
        <v>45797</v>
      </c>
      <c r="D799" t="inlineStr">
        <is>
          <t>ÖREBRO LÄN</t>
        </is>
      </c>
      <c r="E799" t="inlineStr">
        <is>
          <t>ÖREBRO</t>
        </is>
      </c>
      <c r="G799" t="n">
        <v>0.9</v>
      </c>
      <c r="H799" t="n">
        <v>0</v>
      </c>
      <c r="I799" t="n">
        <v>0</v>
      </c>
      <c r="J799" t="n">
        <v>0</v>
      </c>
      <c r="K799" t="n">
        <v>0</v>
      </c>
      <c r="L799" t="n">
        <v>0</v>
      </c>
      <c r="M799" t="n">
        <v>0</v>
      </c>
      <c r="N799" t="n">
        <v>0</v>
      </c>
      <c r="O799" t="n">
        <v>0</v>
      </c>
      <c r="P799" t="n">
        <v>0</v>
      </c>
      <c r="Q799" t="n">
        <v>0</v>
      </c>
      <c r="R799" s="2" t="inlineStr"/>
    </row>
    <row r="800" ht="15" customHeight="1">
      <c r="A800" t="inlineStr">
        <is>
          <t>A 33102-2019</t>
        </is>
      </c>
      <c r="B800" s="1" t="n">
        <v>43649</v>
      </c>
      <c r="C800" s="1" t="n">
        <v>45797</v>
      </c>
      <c r="D800" t="inlineStr">
        <is>
          <t>ÖREBRO LÄN</t>
        </is>
      </c>
      <c r="E800" t="inlineStr">
        <is>
          <t>HÄLLEFORS</t>
        </is>
      </c>
      <c r="G800" t="n">
        <v>1.6</v>
      </c>
      <c r="H800" t="n">
        <v>0</v>
      </c>
      <c r="I800" t="n">
        <v>0</v>
      </c>
      <c r="J800" t="n">
        <v>0</v>
      </c>
      <c r="K800" t="n">
        <v>0</v>
      </c>
      <c r="L800" t="n">
        <v>0</v>
      </c>
      <c r="M800" t="n">
        <v>0</v>
      </c>
      <c r="N800" t="n">
        <v>0</v>
      </c>
      <c r="O800" t="n">
        <v>0</v>
      </c>
      <c r="P800" t="n">
        <v>0</v>
      </c>
      <c r="Q800" t="n">
        <v>0</v>
      </c>
      <c r="R800" s="2" t="inlineStr"/>
    </row>
    <row r="801" ht="15" customHeight="1">
      <c r="A801" t="inlineStr">
        <is>
          <t>A 34787-2019</t>
        </is>
      </c>
      <c r="B801" s="1" t="n">
        <v>43649</v>
      </c>
      <c r="C801" s="1" t="n">
        <v>45797</v>
      </c>
      <c r="D801" t="inlineStr">
        <is>
          <t>ÖREBRO LÄN</t>
        </is>
      </c>
      <c r="E801" t="inlineStr">
        <is>
          <t>HALLSBERG</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33314-2019</t>
        </is>
      </c>
      <c r="B802" s="1" t="n">
        <v>43650</v>
      </c>
      <c r="C802" s="1" t="n">
        <v>45797</v>
      </c>
      <c r="D802" t="inlineStr">
        <is>
          <t>ÖREBRO LÄN</t>
        </is>
      </c>
      <c r="E802" t="inlineStr">
        <is>
          <t>ÖREBRO</t>
        </is>
      </c>
      <c r="G802" t="n">
        <v>3.6</v>
      </c>
      <c r="H802" t="n">
        <v>0</v>
      </c>
      <c r="I802" t="n">
        <v>0</v>
      </c>
      <c r="J802" t="n">
        <v>0</v>
      </c>
      <c r="K802" t="n">
        <v>0</v>
      </c>
      <c r="L802" t="n">
        <v>0</v>
      </c>
      <c r="M802" t="n">
        <v>0</v>
      </c>
      <c r="N802" t="n">
        <v>0</v>
      </c>
      <c r="O802" t="n">
        <v>0</v>
      </c>
      <c r="P802" t="n">
        <v>0</v>
      </c>
      <c r="Q802" t="n">
        <v>0</v>
      </c>
      <c r="R802" s="2" t="inlineStr"/>
    </row>
    <row r="803" ht="15" customHeight="1">
      <c r="A803" t="inlineStr">
        <is>
          <t>A 33875-2019</t>
        </is>
      </c>
      <c r="B803" s="1" t="n">
        <v>43653</v>
      </c>
      <c r="C803" s="1" t="n">
        <v>45797</v>
      </c>
      <c r="D803" t="inlineStr">
        <is>
          <t>ÖREBRO LÄN</t>
        </is>
      </c>
      <c r="E803" t="inlineStr">
        <is>
          <t>NORA</t>
        </is>
      </c>
      <c r="G803" t="n">
        <v>8.9</v>
      </c>
      <c r="H803" t="n">
        <v>0</v>
      </c>
      <c r="I803" t="n">
        <v>0</v>
      </c>
      <c r="J803" t="n">
        <v>0</v>
      </c>
      <c r="K803" t="n">
        <v>0</v>
      </c>
      <c r="L803" t="n">
        <v>0</v>
      </c>
      <c r="M803" t="n">
        <v>0</v>
      </c>
      <c r="N803" t="n">
        <v>0</v>
      </c>
      <c r="O803" t="n">
        <v>0</v>
      </c>
      <c r="P803" t="n">
        <v>0</v>
      </c>
      <c r="Q803" t="n">
        <v>0</v>
      </c>
      <c r="R803" s="2" t="inlineStr"/>
    </row>
    <row r="804" ht="15" customHeight="1">
      <c r="A804" t="inlineStr">
        <is>
          <t>A 35426-2019</t>
        </is>
      </c>
      <c r="B804" s="1" t="n">
        <v>43654</v>
      </c>
      <c r="C804" s="1" t="n">
        <v>45797</v>
      </c>
      <c r="D804" t="inlineStr">
        <is>
          <t>ÖREBRO LÄN</t>
        </is>
      </c>
      <c r="E804" t="inlineStr">
        <is>
          <t>DEGERFORS</t>
        </is>
      </c>
      <c r="G804" t="n">
        <v>2.6</v>
      </c>
      <c r="H804" t="n">
        <v>0</v>
      </c>
      <c r="I804" t="n">
        <v>0</v>
      </c>
      <c r="J804" t="n">
        <v>0</v>
      </c>
      <c r="K804" t="n">
        <v>0</v>
      </c>
      <c r="L804" t="n">
        <v>0</v>
      </c>
      <c r="M804" t="n">
        <v>0</v>
      </c>
      <c r="N804" t="n">
        <v>0</v>
      </c>
      <c r="O804" t="n">
        <v>0</v>
      </c>
      <c r="P804" t="n">
        <v>0</v>
      </c>
      <c r="Q804" t="n">
        <v>0</v>
      </c>
      <c r="R804" s="2" t="inlineStr"/>
    </row>
    <row r="805" ht="15" customHeight="1">
      <c r="A805" t="inlineStr">
        <is>
          <t>A 35682-2019</t>
        </is>
      </c>
      <c r="B805" s="1" t="n">
        <v>43654</v>
      </c>
      <c r="C805" s="1" t="n">
        <v>45797</v>
      </c>
      <c r="D805" t="inlineStr">
        <is>
          <t>ÖREBRO LÄN</t>
        </is>
      </c>
      <c r="E805" t="inlineStr">
        <is>
          <t>HALLSBERG</t>
        </is>
      </c>
      <c r="G805" t="n">
        <v>2</v>
      </c>
      <c r="H805" t="n">
        <v>0</v>
      </c>
      <c r="I805" t="n">
        <v>0</v>
      </c>
      <c r="J805" t="n">
        <v>0</v>
      </c>
      <c r="K805" t="n">
        <v>0</v>
      </c>
      <c r="L805" t="n">
        <v>0</v>
      </c>
      <c r="M805" t="n">
        <v>0</v>
      </c>
      <c r="N805" t="n">
        <v>0</v>
      </c>
      <c r="O805" t="n">
        <v>0</v>
      </c>
      <c r="P805" t="n">
        <v>0</v>
      </c>
      <c r="Q805" t="n">
        <v>0</v>
      </c>
      <c r="R805" s="2" t="inlineStr"/>
    </row>
    <row r="806" ht="15" customHeight="1">
      <c r="A806" t="inlineStr">
        <is>
          <t>A 35557-2019</t>
        </is>
      </c>
      <c r="B806" s="1" t="n">
        <v>43654</v>
      </c>
      <c r="C806" s="1" t="n">
        <v>45797</v>
      </c>
      <c r="D806" t="inlineStr">
        <is>
          <t>ÖREBRO LÄN</t>
        </is>
      </c>
      <c r="E806" t="inlineStr">
        <is>
          <t>ÖREBRO</t>
        </is>
      </c>
      <c r="F806" t="inlineStr">
        <is>
          <t>Kommuner</t>
        </is>
      </c>
      <c r="G806" t="n">
        <v>1</v>
      </c>
      <c r="H806" t="n">
        <v>0</v>
      </c>
      <c r="I806" t="n">
        <v>0</v>
      </c>
      <c r="J806" t="n">
        <v>0</v>
      </c>
      <c r="K806" t="n">
        <v>0</v>
      </c>
      <c r="L806" t="n">
        <v>0</v>
      </c>
      <c r="M806" t="n">
        <v>0</v>
      </c>
      <c r="N806" t="n">
        <v>0</v>
      </c>
      <c r="O806" t="n">
        <v>0</v>
      </c>
      <c r="P806" t="n">
        <v>0</v>
      </c>
      <c r="Q806" t="n">
        <v>0</v>
      </c>
      <c r="R806" s="2" t="inlineStr"/>
    </row>
    <row r="807" ht="15" customHeight="1">
      <c r="A807" t="inlineStr">
        <is>
          <t>A 35673-2019</t>
        </is>
      </c>
      <c r="B807" s="1" t="n">
        <v>43654</v>
      </c>
      <c r="C807" s="1" t="n">
        <v>45797</v>
      </c>
      <c r="D807" t="inlineStr">
        <is>
          <t>ÖREBRO LÄN</t>
        </is>
      </c>
      <c r="E807" t="inlineStr">
        <is>
          <t>HALLSBERG</t>
        </is>
      </c>
      <c r="G807" t="n">
        <v>1.2</v>
      </c>
      <c r="H807" t="n">
        <v>0</v>
      </c>
      <c r="I807" t="n">
        <v>0</v>
      </c>
      <c r="J807" t="n">
        <v>0</v>
      </c>
      <c r="K807" t="n">
        <v>0</v>
      </c>
      <c r="L807" t="n">
        <v>0</v>
      </c>
      <c r="M807" t="n">
        <v>0</v>
      </c>
      <c r="N807" t="n">
        <v>0</v>
      </c>
      <c r="O807" t="n">
        <v>0</v>
      </c>
      <c r="P807" t="n">
        <v>0</v>
      </c>
      <c r="Q807" t="n">
        <v>0</v>
      </c>
      <c r="R807" s="2" t="inlineStr"/>
    </row>
    <row r="808" ht="15" customHeight="1">
      <c r="A808" t="inlineStr">
        <is>
          <t>A 34279-2019</t>
        </is>
      </c>
      <c r="B808" s="1" t="n">
        <v>43655</v>
      </c>
      <c r="C808" s="1" t="n">
        <v>45797</v>
      </c>
      <c r="D808" t="inlineStr">
        <is>
          <t>ÖREBRO LÄN</t>
        </is>
      </c>
      <c r="E808" t="inlineStr">
        <is>
          <t>HALLSBERG</t>
        </is>
      </c>
      <c r="F808" t="inlineStr">
        <is>
          <t>Allmännings- och besparingsskogar</t>
        </is>
      </c>
      <c r="G808" t="n">
        <v>1</v>
      </c>
      <c r="H808" t="n">
        <v>0</v>
      </c>
      <c r="I808" t="n">
        <v>0</v>
      </c>
      <c r="J808" t="n">
        <v>0</v>
      </c>
      <c r="K808" t="n">
        <v>0</v>
      </c>
      <c r="L808" t="n">
        <v>0</v>
      </c>
      <c r="M808" t="n">
        <v>0</v>
      </c>
      <c r="N808" t="n">
        <v>0</v>
      </c>
      <c r="O808" t="n">
        <v>0</v>
      </c>
      <c r="P808" t="n">
        <v>0</v>
      </c>
      <c r="Q808" t="n">
        <v>0</v>
      </c>
      <c r="R808" s="2" t="inlineStr"/>
    </row>
    <row r="809" ht="15" customHeight="1">
      <c r="A809" t="inlineStr">
        <is>
          <t>A 35532-2019</t>
        </is>
      </c>
      <c r="B809" s="1" t="n">
        <v>43655</v>
      </c>
      <c r="C809" s="1" t="n">
        <v>45797</v>
      </c>
      <c r="D809" t="inlineStr">
        <is>
          <t>ÖREBRO LÄN</t>
        </is>
      </c>
      <c r="E809" t="inlineStr">
        <is>
          <t>HALLSBERG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35625-2019</t>
        </is>
      </c>
      <c r="B810" s="1" t="n">
        <v>43655</v>
      </c>
      <c r="C810" s="1" t="n">
        <v>45797</v>
      </c>
      <c r="D810" t="inlineStr">
        <is>
          <t>ÖREBRO LÄN</t>
        </is>
      </c>
      <c r="E810" t="inlineStr">
        <is>
          <t>ÖREBRO</t>
        </is>
      </c>
      <c r="G810" t="n">
        <v>10.2</v>
      </c>
      <c r="H810" t="n">
        <v>0</v>
      </c>
      <c r="I810" t="n">
        <v>0</v>
      </c>
      <c r="J810" t="n">
        <v>0</v>
      </c>
      <c r="K810" t="n">
        <v>0</v>
      </c>
      <c r="L810" t="n">
        <v>0</v>
      </c>
      <c r="M810" t="n">
        <v>0</v>
      </c>
      <c r="N810" t="n">
        <v>0</v>
      </c>
      <c r="O810" t="n">
        <v>0</v>
      </c>
      <c r="P810" t="n">
        <v>0</v>
      </c>
      <c r="Q810" t="n">
        <v>0</v>
      </c>
      <c r="R810" s="2" t="inlineStr"/>
    </row>
    <row r="811" ht="15" customHeight="1">
      <c r="A811" t="inlineStr">
        <is>
          <t>A 35662-2019</t>
        </is>
      </c>
      <c r="B811" s="1" t="n">
        <v>43655</v>
      </c>
      <c r="C811" s="1" t="n">
        <v>45797</v>
      </c>
      <c r="D811" t="inlineStr">
        <is>
          <t>ÖREBRO LÄN</t>
        </is>
      </c>
      <c r="E811" t="inlineStr">
        <is>
          <t>HALLSBERG</t>
        </is>
      </c>
      <c r="F811" t="inlineStr">
        <is>
          <t>Allmännings- och besparingsskogar</t>
        </is>
      </c>
      <c r="G811" t="n">
        <v>7.2</v>
      </c>
      <c r="H811" t="n">
        <v>0</v>
      </c>
      <c r="I811" t="n">
        <v>0</v>
      </c>
      <c r="J811" t="n">
        <v>0</v>
      </c>
      <c r="K811" t="n">
        <v>0</v>
      </c>
      <c r="L811" t="n">
        <v>0</v>
      </c>
      <c r="M811" t="n">
        <v>0</v>
      </c>
      <c r="N811" t="n">
        <v>0</v>
      </c>
      <c r="O811" t="n">
        <v>0</v>
      </c>
      <c r="P811" t="n">
        <v>0</v>
      </c>
      <c r="Q811" t="n">
        <v>0</v>
      </c>
      <c r="R811" s="2" t="inlineStr"/>
    </row>
    <row r="812" ht="15" customHeight="1">
      <c r="A812" t="inlineStr">
        <is>
          <t>A 34281-2019</t>
        </is>
      </c>
      <c r="B812" s="1" t="n">
        <v>43655</v>
      </c>
      <c r="C812" s="1" t="n">
        <v>45797</v>
      </c>
      <c r="D812" t="inlineStr">
        <is>
          <t>ÖREBRO LÄN</t>
        </is>
      </c>
      <c r="E812" t="inlineStr">
        <is>
          <t>HALLSBERG</t>
        </is>
      </c>
      <c r="F812" t="inlineStr">
        <is>
          <t>Allmännings- och besparingsskogar</t>
        </is>
      </c>
      <c r="G812" t="n">
        <v>3.3</v>
      </c>
      <c r="H812" t="n">
        <v>0</v>
      </c>
      <c r="I812" t="n">
        <v>0</v>
      </c>
      <c r="J812" t="n">
        <v>0</v>
      </c>
      <c r="K812" t="n">
        <v>0</v>
      </c>
      <c r="L812" t="n">
        <v>0</v>
      </c>
      <c r="M812" t="n">
        <v>0</v>
      </c>
      <c r="N812" t="n">
        <v>0</v>
      </c>
      <c r="O812" t="n">
        <v>0</v>
      </c>
      <c r="P812" t="n">
        <v>0</v>
      </c>
      <c r="Q812" t="n">
        <v>0</v>
      </c>
      <c r="R812" s="2" t="inlineStr"/>
      <c r="U812">
        <f>HYPERLINK("https://klasma.github.io/Logging_1861/knärot/A 34281-2019 karta knärot.png", "A 34281-2019")</f>
        <v/>
      </c>
      <c r="V812">
        <f>HYPERLINK("https://klasma.github.io/Logging_1861/klagomål/A 34281-2019 FSC-klagomål.docx", "A 34281-2019")</f>
        <v/>
      </c>
      <c r="W812">
        <f>HYPERLINK("https://klasma.github.io/Logging_1861/klagomålsmail/A 34281-2019 FSC-klagomål mail.docx", "A 34281-2019")</f>
        <v/>
      </c>
      <c r="X812">
        <f>HYPERLINK("https://klasma.github.io/Logging_1861/tillsyn/A 34281-2019 tillsynsbegäran.docx", "A 34281-2019")</f>
        <v/>
      </c>
      <c r="Y812">
        <f>HYPERLINK("https://klasma.github.io/Logging_1861/tillsynsmail/A 34281-2019 tillsynsbegäran mail.docx", "A 34281-2019")</f>
        <v/>
      </c>
    </row>
    <row r="813" ht="15" customHeight="1">
      <c r="A813" t="inlineStr">
        <is>
          <t>A 35665-2019</t>
        </is>
      </c>
      <c r="B813" s="1" t="n">
        <v>43655</v>
      </c>
      <c r="C813" s="1" t="n">
        <v>45797</v>
      </c>
      <c r="D813" t="inlineStr">
        <is>
          <t>ÖREBRO LÄN</t>
        </is>
      </c>
      <c r="E813" t="inlineStr">
        <is>
          <t>HALLSBERG</t>
        </is>
      </c>
      <c r="F813" t="inlineStr">
        <is>
          <t>Allmännings- och besparingsskogar</t>
        </is>
      </c>
      <c r="G813" t="n">
        <v>5.2</v>
      </c>
      <c r="H813" t="n">
        <v>0</v>
      </c>
      <c r="I813" t="n">
        <v>0</v>
      </c>
      <c r="J813" t="n">
        <v>0</v>
      </c>
      <c r="K813" t="n">
        <v>0</v>
      </c>
      <c r="L813" t="n">
        <v>0</v>
      </c>
      <c r="M813" t="n">
        <v>0</v>
      </c>
      <c r="N813" t="n">
        <v>0</v>
      </c>
      <c r="O813" t="n">
        <v>0</v>
      </c>
      <c r="P813" t="n">
        <v>0</v>
      </c>
      <c r="Q813" t="n">
        <v>0</v>
      </c>
      <c r="R813" s="2" t="inlineStr"/>
    </row>
    <row r="814" ht="15" customHeight="1">
      <c r="A814" t="inlineStr">
        <is>
          <t>A 35540-2019</t>
        </is>
      </c>
      <c r="B814" s="1" t="n">
        <v>43655</v>
      </c>
      <c r="C814" s="1" t="n">
        <v>45797</v>
      </c>
      <c r="D814" t="inlineStr">
        <is>
          <t>ÖREBRO LÄN</t>
        </is>
      </c>
      <c r="E814" t="inlineStr">
        <is>
          <t>ASKERSUND</t>
        </is>
      </c>
      <c r="G814" t="n">
        <v>1.2</v>
      </c>
      <c r="H814" t="n">
        <v>0</v>
      </c>
      <c r="I814" t="n">
        <v>0</v>
      </c>
      <c r="J814" t="n">
        <v>0</v>
      </c>
      <c r="K814" t="n">
        <v>0</v>
      </c>
      <c r="L814" t="n">
        <v>0</v>
      </c>
      <c r="M814" t="n">
        <v>0</v>
      </c>
      <c r="N814" t="n">
        <v>0</v>
      </c>
      <c r="O814" t="n">
        <v>0</v>
      </c>
      <c r="P814" t="n">
        <v>0</v>
      </c>
      <c r="Q814" t="n">
        <v>0</v>
      </c>
      <c r="R814" s="2" t="inlineStr"/>
    </row>
    <row r="815" ht="15" customHeight="1">
      <c r="A815" t="inlineStr">
        <is>
          <t>A 34157-2019</t>
        </is>
      </c>
      <c r="B815" s="1" t="n">
        <v>43655</v>
      </c>
      <c r="C815" s="1" t="n">
        <v>45797</v>
      </c>
      <c r="D815" t="inlineStr">
        <is>
          <t>ÖREBRO LÄN</t>
        </is>
      </c>
      <c r="E815" t="inlineStr">
        <is>
          <t>ASKERSUND</t>
        </is>
      </c>
      <c r="G815" t="n">
        <v>4.1</v>
      </c>
      <c r="H815" t="n">
        <v>0</v>
      </c>
      <c r="I815" t="n">
        <v>0</v>
      </c>
      <c r="J815" t="n">
        <v>0</v>
      </c>
      <c r="K815" t="n">
        <v>0</v>
      </c>
      <c r="L815" t="n">
        <v>0</v>
      </c>
      <c r="M815" t="n">
        <v>0</v>
      </c>
      <c r="N815" t="n">
        <v>0</v>
      </c>
      <c r="O815" t="n">
        <v>0</v>
      </c>
      <c r="P815" t="n">
        <v>0</v>
      </c>
      <c r="Q815" t="n">
        <v>0</v>
      </c>
      <c r="R815" s="2" t="inlineStr"/>
    </row>
    <row r="816" ht="15" customHeight="1">
      <c r="A816" t="inlineStr">
        <is>
          <t>A 35659-2019</t>
        </is>
      </c>
      <c r="B816" s="1" t="n">
        <v>43655</v>
      </c>
      <c r="C816" s="1" t="n">
        <v>45797</v>
      </c>
      <c r="D816" t="inlineStr">
        <is>
          <t>ÖREBRO LÄN</t>
        </is>
      </c>
      <c r="E816" t="inlineStr">
        <is>
          <t>HALLSBERG</t>
        </is>
      </c>
      <c r="F816" t="inlineStr">
        <is>
          <t>Allmännings- och besparingsskogar</t>
        </is>
      </c>
      <c r="G816" t="n">
        <v>2.8</v>
      </c>
      <c r="H816" t="n">
        <v>0</v>
      </c>
      <c r="I816" t="n">
        <v>0</v>
      </c>
      <c r="J816" t="n">
        <v>0</v>
      </c>
      <c r="K816" t="n">
        <v>0</v>
      </c>
      <c r="L816" t="n">
        <v>0</v>
      </c>
      <c r="M816" t="n">
        <v>0</v>
      </c>
      <c r="N816" t="n">
        <v>0</v>
      </c>
      <c r="O816" t="n">
        <v>0</v>
      </c>
      <c r="P816" t="n">
        <v>0</v>
      </c>
      <c r="Q816" t="n">
        <v>0</v>
      </c>
      <c r="R816" s="2" t="inlineStr"/>
    </row>
    <row r="817" ht="15" customHeight="1">
      <c r="A817" t="inlineStr">
        <is>
          <t>A 35544-2019</t>
        </is>
      </c>
      <c r="B817" s="1" t="n">
        <v>43655</v>
      </c>
      <c r="C817" s="1" t="n">
        <v>45797</v>
      </c>
      <c r="D817" t="inlineStr">
        <is>
          <t>ÖREBRO LÄN</t>
        </is>
      </c>
      <c r="E817" t="inlineStr">
        <is>
          <t>ASKERSUND</t>
        </is>
      </c>
      <c r="G817" t="n">
        <v>3.6</v>
      </c>
      <c r="H817" t="n">
        <v>0</v>
      </c>
      <c r="I817" t="n">
        <v>0</v>
      </c>
      <c r="J817" t="n">
        <v>0</v>
      </c>
      <c r="K817" t="n">
        <v>0</v>
      </c>
      <c r="L817" t="n">
        <v>0</v>
      </c>
      <c r="M817" t="n">
        <v>0</v>
      </c>
      <c r="N817" t="n">
        <v>0</v>
      </c>
      <c r="O817" t="n">
        <v>0</v>
      </c>
      <c r="P817" t="n">
        <v>0</v>
      </c>
      <c r="Q817" t="n">
        <v>0</v>
      </c>
      <c r="R817" s="2" t="inlineStr"/>
    </row>
    <row r="818" ht="15" customHeight="1">
      <c r="A818" t="inlineStr">
        <is>
          <t>A 34277-2019</t>
        </is>
      </c>
      <c r="B818" s="1" t="n">
        <v>43655</v>
      </c>
      <c r="C818" s="1" t="n">
        <v>45797</v>
      </c>
      <c r="D818" t="inlineStr">
        <is>
          <t>ÖREBRO LÄN</t>
        </is>
      </c>
      <c r="E818" t="inlineStr">
        <is>
          <t>HALLSBERG</t>
        </is>
      </c>
      <c r="F818" t="inlineStr">
        <is>
          <t>Allmännings- och besparingsskogar</t>
        </is>
      </c>
      <c r="G818" t="n">
        <v>1.4</v>
      </c>
      <c r="H818" t="n">
        <v>0</v>
      </c>
      <c r="I818" t="n">
        <v>0</v>
      </c>
      <c r="J818" t="n">
        <v>0</v>
      </c>
      <c r="K818" t="n">
        <v>0</v>
      </c>
      <c r="L818" t="n">
        <v>0</v>
      </c>
      <c r="M818" t="n">
        <v>0</v>
      </c>
      <c r="N818" t="n">
        <v>0</v>
      </c>
      <c r="O818" t="n">
        <v>0</v>
      </c>
      <c r="P818" t="n">
        <v>0</v>
      </c>
      <c r="Q818" t="n">
        <v>0</v>
      </c>
      <c r="R818" s="2" t="inlineStr"/>
    </row>
    <row r="819" ht="15" customHeight="1">
      <c r="A819" t="inlineStr">
        <is>
          <t>A 34139-2019</t>
        </is>
      </c>
      <c r="B819" s="1" t="n">
        <v>43655</v>
      </c>
      <c r="C819" s="1" t="n">
        <v>45797</v>
      </c>
      <c r="D819" t="inlineStr">
        <is>
          <t>ÖREBRO LÄN</t>
        </is>
      </c>
      <c r="E819" t="inlineStr">
        <is>
          <t>LINDESBERG</t>
        </is>
      </c>
      <c r="G819" t="n">
        <v>4.2</v>
      </c>
      <c r="H819" t="n">
        <v>0</v>
      </c>
      <c r="I819" t="n">
        <v>0</v>
      </c>
      <c r="J819" t="n">
        <v>0</v>
      </c>
      <c r="K819" t="n">
        <v>0</v>
      </c>
      <c r="L819" t="n">
        <v>0</v>
      </c>
      <c r="M819" t="n">
        <v>0</v>
      </c>
      <c r="N819" t="n">
        <v>0</v>
      </c>
      <c r="O819" t="n">
        <v>0</v>
      </c>
      <c r="P819" t="n">
        <v>0</v>
      </c>
      <c r="Q819" t="n">
        <v>0</v>
      </c>
      <c r="R819" s="2" t="inlineStr"/>
    </row>
    <row r="820" ht="15" customHeight="1">
      <c r="A820" t="inlineStr">
        <is>
          <t>A 35588-2019</t>
        </is>
      </c>
      <c r="B820" s="1" t="n">
        <v>43655</v>
      </c>
      <c r="C820" s="1" t="n">
        <v>45797</v>
      </c>
      <c r="D820" t="inlineStr">
        <is>
          <t>ÖREBRO LÄN</t>
        </is>
      </c>
      <c r="E820" t="inlineStr">
        <is>
          <t>ÖREBRO</t>
        </is>
      </c>
      <c r="G820" t="n">
        <v>4.6</v>
      </c>
      <c r="H820" t="n">
        <v>0</v>
      </c>
      <c r="I820" t="n">
        <v>0</v>
      </c>
      <c r="J820" t="n">
        <v>0</v>
      </c>
      <c r="K820" t="n">
        <v>0</v>
      </c>
      <c r="L820" t="n">
        <v>0</v>
      </c>
      <c r="M820" t="n">
        <v>0</v>
      </c>
      <c r="N820" t="n">
        <v>0</v>
      </c>
      <c r="O820" t="n">
        <v>0</v>
      </c>
      <c r="P820" t="n">
        <v>0</v>
      </c>
      <c r="Q820" t="n">
        <v>0</v>
      </c>
      <c r="R820" s="2" t="inlineStr"/>
    </row>
    <row r="821" ht="15" customHeight="1">
      <c r="A821" t="inlineStr">
        <is>
          <t>A 35536-2019</t>
        </is>
      </c>
      <c r="B821" s="1" t="n">
        <v>43655</v>
      </c>
      <c r="C821" s="1" t="n">
        <v>45797</v>
      </c>
      <c r="D821" t="inlineStr">
        <is>
          <t>ÖREBRO LÄN</t>
        </is>
      </c>
      <c r="E821" t="inlineStr">
        <is>
          <t>ASKERSUND</t>
        </is>
      </c>
      <c r="G821" t="n">
        <v>1.9</v>
      </c>
      <c r="H821" t="n">
        <v>0</v>
      </c>
      <c r="I821" t="n">
        <v>0</v>
      </c>
      <c r="J821" t="n">
        <v>0</v>
      </c>
      <c r="K821" t="n">
        <v>0</v>
      </c>
      <c r="L821" t="n">
        <v>0</v>
      </c>
      <c r="M821" t="n">
        <v>0</v>
      </c>
      <c r="N821" t="n">
        <v>0</v>
      </c>
      <c r="O821" t="n">
        <v>0</v>
      </c>
      <c r="P821" t="n">
        <v>0</v>
      </c>
      <c r="Q821" t="n">
        <v>0</v>
      </c>
      <c r="R821" s="2" t="inlineStr"/>
    </row>
    <row r="822" ht="15" customHeight="1">
      <c r="A822" t="inlineStr">
        <is>
          <t>A 34312-2019</t>
        </is>
      </c>
      <c r="B822" s="1" t="n">
        <v>43656</v>
      </c>
      <c r="C822" s="1" t="n">
        <v>45797</v>
      </c>
      <c r="D822" t="inlineStr">
        <is>
          <t>ÖREBRO LÄN</t>
        </is>
      </c>
      <c r="E822" t="inlineStr">
        <is>
          <t>LINDESBERG</t>
        </is>
      </c>
      <c r="G822" t="n">
        <v>3.8</v>
      </c>
      <c r="H822" t="n">
        <v>0</v>
      </c>
      <c r="I822" t="n">
        <v>0</v>
      </c>
      <c r="J822" t="n">
        <v>0</v>
      </c>
      <c r="K822" t="n">
        <v>0</v>
      </c>
      <c r="L822" t="n">
        <v>0</v>
      </c>
      <c r="M822" t="n">
        <v>0</v>
      </c>
      <c r="N822" t="n">
        <v>0</v>
      </c>
      <c r="O822" t="n">
        <v>0</v>
      </c>
      <c r="P822" t="n">
        <v>0</v>
      </c>
      <c r="Q822" t="n">
        <v>0</v>
      </c>
      <c r="R822" s="2" t="inlineStr"/>
    </row>
    <row r="823" ht="15" customHeight="1">
      <c r="A823" t="inlineStr">
        <is>
          <t>A 35840-2019</t>
        </is>
      </c>
      <c r="B823" s="1" t="n">
        <v>43656</v>
      </c>
      <c r="C823" s="1" t="n">
        <v>45797</v>
      </c>
      <c r="D823" t="inlineStr">
        <is>
          <t>ÖREBRO LÄN</t>
        </is>
      </c>
      <c r="E823" t="inlineStr">
        <is>
          <t>LJUSNARSBERG</t>
        </is>
      </c>
      <c r="G823" t="n">
        <v>1.1</v>
      </c>
      <c r="H823" t="n">
        <v>0</v>
      </c>
      <c r="I823" t="n">
        <v>0</v>
      </c>
      <c r="J823" t="n">
        <v>0</v>
      </c>
      <c r="K823" t="n">
        <v>0</v>
      </c>
      <c r="L823" t="n">
        <v>0</v>
      </c>
      <c r="M823" t="n">
        <v>0</v>
      </c>
      <c r="N823" t="n">
        <v>0</v>
      </c>
      <c r="O823" t="n">
        <v>0</v>
      </c>
      <c r="P823" t="n">
        <v>0</v>
      </c>
      <c r="Q823" t="n">
        <v>0</v>
      </c>
      <c r="R823" s="2" t="inlineStr"/>
    </row>
    <row r="824" ht="15" customHeight="1">
      <c r="A824" t="inlineStr">
        <is>
          <t>A 35826-2019</t>
        </is>
      </c>
      <c r="B824" s="1" t="n">
        <v>43656</v>
      </c>
      <c r="C824" s="1" t="n">
        <v>45797</v>
      </c>
      <c r="D824" t="inlineStr">
        <is>
          <t>ÖREBRO LÄN</t>
        </is>
      </c>
      <c r="E824" t="inlineStr">
        <is>
          <t>LJUSNARSBERG</t>
        </is>
      </c>
      <c r="G824" t="n">
        <v>2.3</v>
      </c>
      <c r="H824" t="n">
        <v>0</v>
      </c>
      <c r="I824" t="n">
        <v>0</v>
      </c>
      <c r="J824" t="n">
        <v>0</v>
      </c>
      <c r="K824" t="n">
        <v>0</v>
      </c>
      <c r="L824" t="n">
        <v>0</v>
      </c>
      <c r="M824" t="n">
        <v>0</v>
      </c>
      <c r="N824" t="n">
        <v>0</v>
      </c>
      <c r="O824" t="n">
        <v>0</v>
      </c>
      <c r="P824" t="n">
        <v>0</v>
      </c>
      <c r="Q824" t="n">
        <v>0</v>
      </c>
      <c r="R824" s="2" t="inlineStr"/>
    </row>
    <row r="825" ht="15" customHeight="1">
      <c r="A825" t="inlineStr">
        <is>
          <t>A 35836-2019</t>
        </is>
      </c>
      <c r="B825" s="1" t="n">
        <v>43656</v>
      </c>
      <c r="C825" s="1" t="n">
        <v>45797</v>
      </c>
      <c r="D825" t="inlineStr">
        <is>
          <t>ÖREBRO LÄN</t>
        </is>
      </c>
      <c r="E825" t="inlineStr">
        <is>
          <t>LJUSNARSBERG</t>
        </is>
      </c>
      <c r="G825" t="n">
        <v>3</v>
      </c>
      <c r="H825" t="n">
        <v>0</v>
      </c>
      <c r="I825" t="n">
        <v>0</v>
      </c>
      <c r="J825" t="n">
        <v>0</v>
      </c>
      <c r="K825" t="n">
        <v>0</v>
      </c>
      <c r="L825" t="n">
        <v>0</v>
      </c>
      <c r="M825" t="n">
        <v>0</v>
      </c>
      <c r="N825" t="n">
        <v>0</v>
      </c>
      <c r="O825" t="n">
        <v>0</v>
      </c>
      <c r="P825" t="n">
        <v>0</v>
      </c>
      <c r="Q825" t="n">
        <v>0</v>
      </c>
      <c r="R825" s="2" t="inlineStr"/>
    </row>
    <row r="826" ht="15" customHeight="1">
      <c r="A826" t="inlineStr">
        <is>
          <t>A 35843-2019</t>
        </is>
      </c>
      <c r="B826" s="1" t="n">
        <v>43656</v>
      </c>
      <c r="C826" s="1" t="n">
        <v>45797</v>
      </c>
      <c r="D826" t="inlineStr">
        <is>
          <t>ÖREBRO LÄN</t>
        </is>
      </c>
      <c r="E826" t="inlineStr">
        <is>
          <t>LJUSNARSBERG</t>
        </is>
      </c>
      <c r="G826" t="n">
        <v>7.4</v>
      </c>
      <c r="H826" t="n">
        <v>0</v>
      </c>
      <c r="I826" t="n">
        <v>0</v>
      </c>
      <c r="J826" t="n">
        <v>0</v>
      </c>
      <c r="K826" t="n">
        <v>0</v>
      </c>
      <c r="L826" t="n">
        <v>0</v>
      </c>
      <c r="M826" t="n">
        <v>0</v>
      </c>
      <c r="N826" t="n">
        <v>0</v>
      </c>
      <c r="O826" t="n">
        <v>0</v>
      </c>
      <c r="P826" t="n">
        <v>0</v>
      </c>
      <c r="Q826" t="n">
        <v>0</v>
      </c>
      <c r="R826" s="2" t="inlineStr"/>
    </row>
    <row r="827" ht="15" customHeight="1">
      <c r="A827" t="inlineStr">
        <is>
          <t>A 35776-2019</t>
        </is>
      </c>
      <c r="B827" s="1" t="n">
        <v>43656</v>
      </c>
      <c r="C827" s="1" t="n">
        <v>45797</v>
      </c>
      <c r="D827" t="inlineStr">
        <is>
          <t>ÖREBRO LÄN</t>
        </is>
      </c>
      <c r="E827" t="inlineStr">
        <is>
          <t>LJUSNARSBERG</t>
        </is>
      </c>
      <c r="G827" t="n">
        <v>1.8</v>
      </c>
      <c r="H827" t="n">
        <v>0</v>
      </c>
      <c r="I827" t="n">
        <v>0</v>
      </c>
      <c r="J827" t="n">
        <v>0</v>
      </c>
      <c r="K827" t="n">
        <v>0</v>
      </c>
      <c r="L827" t="n">
        <v>0</v>
      </c>
      <c r="M827" t="n">
        <v>0</v>
      </c>
      <c r="N827" t="n">
        <v>0</v>
      </c>
      <c r="O827" t="n">
        <v>0</v>
      </c>
      <c r="P827" t="n">
        <v>0</v>
      </c>
      <c r="Q827" t="n">
        <v>0</v>
      </c>
      <c r="R827" s="2" t="inlineStr"/>
    </row>
    <row r="828" ht="15" customHeight="1">
      <c r="A828" t="inlineStr">
        <is>
          <t>A 34895-2019</t>
        </is>
      </c>
      <c r="B828" s="1" t="n">
        <v>43658</v>
      </c>
      <c r="C828" s="1" t="n">
        <v>45797</v>
      </c>
      <c r="D828" t="inlineStr">
        <is>
          <t>ÖREBRO LÄN</t>
        </is>
      </c>
      <c r="E828" t="inlineStr">
        <is>
          <t>ÖREBRO</t>
        </is>
      </c>
      <c r="G828" t="n">
        <v>1.6</v>
      </c>
      <c r="H828" t="n">
        <v>0</v>
      </c>
      <c r="I828" t="n">
        <v>0</v>
      </c>
      <c r="J828" t="n">
        <v>0</v>
      </c>
      <c r="K828" t="n">
        <v>0</v>
      </c>
      <c r="L828" t="n">
        <v>0</v>
      </c>
      <c r="M828" t="n">
        <v>0</v>
      </c>
      <c r="N828" t="n">
        <v>0</v>
      </c>
      <c r="O828" t="n">
        <v>0</v>
      </c>
      <c r="P828" t="n">
        <v>0</v>
      </c>
      <c r="Q828" t="n">
        <v>0</v>
      </c>
      <c r="R828" s="2" t="inlineStr"/>
    </row>
    <row r="829" ht="15" customHeight="1">
      <c r="A829" t="inlineStr">
        <is>
          <t>A 34965-2019</t>
        </is>
      </c>
      <c r="B829" s="1" t="n">
        <v>43658</v>
      </c>
      <c r="C829" s="1" t="n">
        <v>45797</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35125-2019</t>
        </is>
      </c>
      <c r="B830" s="1" t="n">
        <v>43661</v>
      </c>
      <c r="C830" s="1" t="n">
        <v>45797</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35127-2019</t>
        </is>
      </c>
      <c r="B831" s="1" t="n">
        <v>43661</v>
      </c>
      <c r="C831" s="1" t="n">
        <v>45797</v>
      </c>
      <c r="D831" t="inlineStr">
        <is>
          <t>ÖREBRO LÄN</t>
        </is>
      </c>
      <c r="E831" t="inlineStr">
        <is>
          <t>LINDESBERG</t>
        </is>
      </c>
      <c r="G831" t="n">
        <v>2</v>
      </c>
      <c r="H831" t="n">
        <v>0</v>
      </c>
      <c r="I831" t="n">
        <v>0</v>
      </c>
      <c r="J831" t="n">
        <v>0</v>
      </c>
      <c r="K831" t="n">
        <v>0</v>
      </c>
      <c r="L831" t="n">
        <v>0</v>
      </c>
      <c r="M831" t="n">
        <v>0</v>
      </c>
      <c r="N831" t="n">
        <v>0</v>
      </c>
      <c r="O831" t="n">
        <v>0</v>
      </c>
      <c r="P831" t="n">
        <v>0</v>
      </c>
      <c r="Q831" t="n">
        <v>0</v>
      </c>
      <c r="R831" s="2" t="inlineStr"/>
    </row>
    <row r="832" ht="15" customHeight="1">
      <c r="A832" t="inlineStr">
        <is>
          <t>A 35448-2019</t>
        </is>
      </c>
      <c r="B832" s="1" t="n">
        <v>43663</v>
      </c>
      <c r="C832" s="1" t="n">
        <v>45797</v>
      </c>
      <c r="D832" t="inlineStr">
        <is>
          <t>ÖREBRO LÄN</t>
        </is>
      </c>
      <c r="E832" t="inlineStr">
        <is>
          <t>LINDESBERG</t>
        </is>
      </c>
      <c r="F832" t="inlineStr">
        <is>
          <t>Kyrkan</t>
        </is>
      </c>
      <c r="G832" t="n">
        <v>3.6</v>
      </c>
      <c r="H832" t="n">
        <v>0</v>
      </c>
      <c r="I832" t="n">
        <v>0</v>
      </c>
      <c r="J832" t="n">
        <v>0</v>
      </c>
      <c r="K832" t="n">
        <v>0</v>
      </c>
      <c r="L832" t="n">
        <v>0</v>
      </c>
      <c r="M832" t="n">
        <v>0</v>
      </c>
      <c r="N832" t="n">
        <v>0</v>
      </c>
      <c r="O832" t="n">
        <v>0</v>
      </c>
      <c r="P832" t="n">
        <v>0</v>
      </c>
      <c r="Q832" t="n">
        <v>0</v>
      </c>
      <c r="R832" s="2" t="inlineStr"/>
    </row>
    <row r="833" ht="15" customHeight="1">
      <c r="A833" t="inlineStr">
        <is>
          <t>A 35804-2019</t>
        </is>
      </c>
      <c r="B833" s="1" t="n">
        <v>43665</v>
      </c>
      <c r="C833" s="1" t="n">
        <v>45797</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35741-2019</t>
        </is>
      </c>
      <c r="B834" s="1" t="n">
        <v>43665</v>
      </c>
      <c r="C834" s="1" t="n">
        <v>45797</v>
      </c>
      <c r="D834" t="inlineStr">
        <is>
          <t>ÖREBRO LÄN</t>
        </is>
      </c>
      <c r="E834" t="inlineStr">
        <is>
          <t>HÄLLEFORS</t>
        </is>
      </c>
      <c r="G834" t="n">
        <v>2.6</v>
      </c>
      <c r="H834" t="n">
        <v>0</v>
      </c>
      <c r="I834" t="n">
        <v>0</v>
      </c>
      <c r="J834" t="n">
        <v>0</v>
      </c>
      <c r="K834" t="n">
        <v>0</v>
      </c>
      <c r="L834" t="n">
        <v>0</v>
      </c>
      <c r="M834" t="n">
        <v>0</v>
      </c>
      <c r="N834" t="n">
        <v>0</v>
      </c>
      <c r="O834" t="n">
        <v>0</v>
      </c>
      <c r="P834" t="n">
        <v>0</v>
      </c>
      <c r="Q834" t="n">
        <v>0</v>
      </c>
      <c r="R834" s="2" t="inlineStr"/>
    </row>
    <row r="835" ht="15" customHeight="1">
      <c r="A835" t="inlineStr">
        <is>
          <t>A 35743-2019</t>
        </is>
      </c>
      <c r="B835" s="1" t="n">
        <v>43665</v>
      </c>
      <c r="C835" s="1" t="n">
        <v>45797</v>
      </c>
      <c r="D835" t="inlineStr">
        <is>
          <t>ÖREBRO LÄN</t>
        </is>
      </c>
      <c r="E835" t="inlineStr">
        <is>
          <t>HÄLLEFORS</t>
        </is>
      </c>
      <c r="G835" t="n">
        <v>1.3</v>
      </c>
      <c r="H835" t="n">
        <v>0</v>
      </c>
      <c r="I835" t="n">
        <v>0</v>
      </c>
      <c r="J835" t="n">
        <v>0</v>
      </c>
      <c r="K835" t="n">
        <v>0</v>
      </c>
      <c r="L835" t="n">
        <v>0</v>
      </c>
      <c r="M835" t="n">
        <v>0</v>
      </c>
      <c r="N835" t="n">
        <v>0</v>
      </c>
      <c r="O835" t="n">
        <v>0</v>
      </c>
      <c r="P835" t="n">
        <v>0</v>
      </c>
      <c r="Q835" t="n">
        <v>0</v>
      </c>
      <c r="R835" s="2" t="inlineStr"/>
    </row>
    <row r="836" ht="15" customHeight="1">
      <c r="A836" t="inlineStr">
        <is>
          <t>A 35846-2019</t>
        </is>
      </c>
      <c r="B836" s="1" t="n">
        <v>43665</v>
      </c>
      <c r="C836" s="1" t="n">
        <v>45797</v>
      </c>
      <c r="D836" t="inlineStr">
        <is>
          <t>ÖREBRO LÄN</t>
        </is>
      </c>
      <c r="E836" t="inlineStr">
        <is>
          <t>ÖREBRO</t>
        </is>
      </c>
      <c r="G836" t="n">
        <v>5</v>
      </c>
      <c r="H836" t="n">
        <v>0</v>
      </c>
      <c r="I836" t="n">
        <v>0</v>
      </c>
      <c r="J836" t="n">
        <v>0</v>
      </c>
      <c r="K836" t="n">
        <v>0</v>
      </c>
      <c r="L836" t="n">
        <v>0</v>
      </c>
      <c r="M836" t="n">
        <v>0</v>
      </c>
      <c r="N836" t="n">
        <v>0</v>
      </c>
      <c r="O836" t="n">
        <v>0</v>
      </c>
      <c r="P836" t="n">
        <v>0</v>
      </c>
      <c r="Q836" t="n">
        <v>0</v>
      </c>
      <c r="R836" s="2" t="inlineStr"/>
    </row>
    <row r="837" ht="15" customHeight="1">
      <c r="A837" t="inlineStr">
        <is>
          <t>A 35742-2019</t>
        </is>
      </c>
      <c r="B837" s="1" t="n">
        <v>43665</v>
      </c>
      <c r="C837" s="1" t="n">
        <v>45797</v>
      </c>
      <c r="D837" t="inlineStr">
        <is>
          <t>ÖREBRO LÄN</t>
        </is>
      </c>
      <c r="E837" t="inlineStr">
        <is>
          <t>HÄLLEFORS</t>
        </is>
      </c>
      <c r="G837" t="n">
        <v>2.6</v>
      </c>
      <c r="H837" t="n">
        <v>0</v>
      </c>
      <c r="I837" t="n">
        <v>0</v>
      </c>
      <c r="J837" t="n">
        <v>0</v>
      </c>
      <c r="K837" t="n">
        <v>0</v>
      </c>
      <c r="L837" t="n">
        <v>0</v>
      </c>
      <c r="M837" t="n">
        <v>0</v>
      </c>
      <c r="N837" t="n">
        <v>0</v>
      </c>
      <c r="O837" t="n">
        <v>0</v>
      </c>
      <c r="P837" t="n">
        <v>0</v>
      </c>
      <c r="Q837" t="n">
        <v>0</v>
      </c>
      <c r="R837" s="2" t="inlineStr"/>
    </row>
    <row r="838" ht="15" customHeight="1">
      <c r="A838" t="inlineStr">
        <is>
          <t>A 35740-2019</t>
        </is>
      </c>
      <c r="B838" s="1" t="n">
        <v>43665</v>
      </c>
      <c r="C838" s="1" t="n">
        <v>45797</v>
      </c>
      <c r="D838" t="inlineStr">
        <is>
          <t>ÖREBRO LÄN</t>
        </is>
      </c>
      <c r="E838" t="inlineStr">
        <is>
          <t>HÄLLEFORS</t>
        </is>
      </c>
      <c r="G838" t="n">
        <v>2.3</v>
      </c>
      <c r="H838" t="n">
        <v>0</v>
      </c>
      <c r="I838" t="n">
        <v>0</v>
      </c>
      <c r="J838" t="n">
        <v>0</v>
      </c>
      <c r="K838" t="n">
        <v>0</v>
      </c>
      <c r="L838" t="n">
        <v>0</v>
      </c>
      <c r="M838" t="n">
        <v>0</v>
      </c>
      <c r="N838" t="n">
        <v>0</v>
      </c>
      <c r="O838" t="n">
        <v>0</v>
      </c>
      <c r="P838" t="n">
        <v>0</v>
      </c>
      <c r="Q838" t="n">
        <v>0</v>
      </c>
      <c r="R838" s="2" t="inlineStr"/>
    </row>
    <row r="839" ht="15" customHeight="1">
      <c r="A839" t="inlineStr">
        <is>
          <t>A 36124-2019</t>
        </is>
      </c>
      <c r="B839" s="1" t="n">
        <v>43665</v>
      </c>
      <c r="C839" s="1" t="n">
        <v>45797</v>
      </c>
      <c r="D839" t="inlineStr">
        <is>
          <t>ÖREBRO LÄN</t>
        </is>
      </c>
      <c r="E839" t="inlineStr">
        <is>
          <t>ÖREBRO</t>
        </is>
      </c>
      <c r="G839" t="n">
        <v>2.8</v>
      </c>
      <c r="H839" t="n">
        <v>0</v>
      </c>
      <c r="I839" t="n">
        <v>0</v>
      </c>
      <c r="J839" t="n">
        <v>0</v>
      </c>
      <c r="K839" t="n">
        <v>0</v>
      </c>
      <c r="L839" t="n">
        <v>0</v>
      </c>
      <c r="M839" t="n">
        <v>0</v>
      </c>
      <c r="N839" t="n">
        <v>0</v>
      </c>
      <c r="O839" t="n">
        <v>0</v>
      </c>
      <c r="P839" t="n">
        <v>0</v>
      </c>
      <c r="Q839" t="n">
        <v>0</v>
      </c>
      <c r="R839" s="2" t="inlineStr"/>
    </row>
    <row r="840" ht="15" customHeight="1">
      <c r="A840" t="inlineStr">
        <is>
          <t>A 36242-2019</t>
        </is>
      </c>
      <c r="B840" s="1" t="n">
        <v>43669</v>
      </c>
      <c r="C840" s="1" t="n">
        <v>45797</v>
      </c>
      <c r="D840" t="inlineStr">
        <is>
          <t>ÖREBRO LÄN</t>
        </is>
      </c>
      <c r="E840" t="inlineStr">
        <is>
          <t>LINDESBERG</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36282-2019</t>
        </is>
      </c>
      <c r="B841" s="1" t="n">
        <v>43669</v>
      </c>
      <c r="C841" s="1" t="n">
        <v>45797</v>
      </c>
      <c r="D841" t="inlineStr">
        <is>
          <t>ÖREBRO LÄN</t>
        </is>
      </c>
      <c r="E841" t="inlineStr">
        <is>
          <t>ÖREBRO</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36283-2019</t>
        </is>
      </c>
      <c r="B842" s="1" t="n">
        <v>43669</v>
      </c>
      <c r="C842" s="1" t="n">
        <v>45797</v>
      </c>
      <c r="D842" t="inlineStr">
        <is>
          <t>ÖREBRO LÄN</t>
        </is>
      </c>
      <c r="E842" t="inlineStr">
        <is>
          <t>ÖREBRO</t>
        </is>
      </c>
      <c r="G842" t="n">
        <v>3.2</v>
      </c>
      <c r="H842" t="n">
        <v>0</v>
      </c>
      <c r="I842" t="n">
        <v>0</v>
      </c>
      <c r="J842" t="n">
        <v>0</v>
      </c>
      <c r="K842" t="n">
        <v>0</v>
      </c>
      <c r="L842" t="n">
        <v>0</v>
      </c>
      <c r="M842" t="n">
        <v>0</v>
      </c>
      <c r="N842" t="n">
        <v>0</v>
      </c>
      <c r="O842" t="n">
        <v>0</v>
      </c>
      <c r="P842" t="n">
        <v>0</v>
      </c>
      <c r="Q842" t="n">
        <v>0</v>
      </c>
      <c r="R842" s="2" t="inlineStr"/>
    </row>
    <row r="843" ht="15" customHeight="1">
      <c r="A843" t="inlineStr">
        <is>
          <t>A 36284-2019</t>
        </is>
      </c>
      <c r="B843" s="1" t="n">
        <v>43669</v>
      </c>
      <c r="C843" s="1" t="n">
        <v>45797</v>
      </c>
      <c r="D843" t="inlineStr">
        <is>
          <t>ÖREBRO LÄN</t>
        </is>
      </c>
      <c r="E843" t="inlineStr">
        <is>
          <t>ÖREBRO</t>
        </is>
      </c>
      <c r="G843" t="n">
        <v>1.5</v>
      </c>
      <c r="H843" t="n">
        <v>0</v>
      </c>
      <c r="I843" t="n">
        <v>0</v>
      </c>
      <c r="J843" t="n">
        <v>0</v>
      </c>
      <c r="K843" t="n">
        <v>0</v>
      </c>
      <c r="L843" t="n">
        <v>0</v>
      </c>
      <c r="M843" t="n">
        <v>0</v>
      </c>
      <c r="N843" t="n">
        <v>0</v>
      </c>
      <c r="O843" t="n">
        <v>0</v>
      </c>
      <c r="P843" t="n">
        <v>0</v>
      </c>
      <c r="Q843" t="n">
        <v>0</v>
      </c>
      <c r="R843" s="2" t="inlineStr"/>
    </row>
    <row r="844" ht="15" customHeight="1">
      <c r="A844" t="inlineStr">
        <is>
          <t>A 36680-2019</t>
        </is>
      </c>
      <c r="B844" s="1" t="n">
        <v>43670</v>
      </c>
      <c r="C844" s="1" t="n">
        <v>45797</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36583-2019</t>
        </is>
      </c>
      <c r="B845" s="1" t="n">
        <v>43671</v>
      </c>
      <c r="C845" s="1" t="n">
        <v>45797</v>
      </c>
      <c r="D845" t="inlineStr">
        <is>
          <t>ÖREBRO LÄN</t>
        </is>
      </c>
      <c r="E845" t="inlineStr">
        <is>
          <t>LINDESBERG</t>
        </is>
      </c>
      <c r="F845" t="inlineStr">
        <is>
          <t>Kyrkan</t>
        </is>
      </c>
      <c r="G845" t="n">
        <v>0.7</v>
      </c>
      <c r="H845" t="n">
        <v>0</v>
      </c>
      <c r="I845" t="n">
        <v>0</v>
      </c>
      <c r="J845" t="n">
        <v>0</v>
      </c>
      <c r="K845" t="n">
        <v>0</v>
      </c>
      <c r="L845" t="n">
        <v>0</v>
      </c>
      <c r="M845" t="n">
        <v>0</v>
      </c>
      <c r="N845" t="n">
        <v>0</v>
      </c>
      <c r="O845" t="n">
        <v>0</v>
      </c>
      <c r="P845" t="n">
        <v>0</v>
      </c>
      <c r="Q845" t="n">
        <v>0</v>
      </c>
      <c r="R845" s="2" t="inlineStr"/>
    </row>
    <row r="846" ht="15" customHeight="1">
      <c r="A846" t="inlineStr">
        <is>
          <t>A 36564-2019</t>
        </is>
      </c>
      <c r="B846" s="1" t="n">
        <v>43671</v>
      </c>
      <c r="C846" s="1" t="n">
        <v>45797</v>
      </c>
      <c r="D846" t="inlineStr">
        <is>
          <t>ÖREBRO LÄN</t>
        </is>
      </c>
      <c r="E846" t="inlineStr">
        <is>
          <t>NORA</t>
        </is>
      </c>
      <c r="F846" t="inlineStr">
        <is>
          <t>Kyrkan</t>
        </is>
      </c>
      <c r="G846" t="n">
        <v>0.6</v>
      </c>
      <c r="H846" t="n">
        <v>0</v>
      </c>
      <c r="I846" t="n">
        <v>0</v>
      </c>
      <c r="J846" t="n">
        <v>0</v>
      </c>
      <c r="K846" t="n">
        <v>0</v>
      </c>
      <c r="L846" t="n">
        <v>0</v>
      </c>
      <c r="M846" t="n">
        <v>0</v>
      </c>
      <c r="N846" t="n">
        <v>0</v>
      </c>
      <c r="O846" t="n">
        <v>0</v>
      </c>
      <c r="P846" t="n">
        <v>0</v>
      </c>
      <c r="Q846" t="n">
        <v>0</v>
      </c>
      <c r="R846" s="2" t="inlineStr"/>
    </row>
    <row r="847" ht="15" customHeight="1">
      <c r="A847" t="inlineStr">
        <is>
          <t>A 36752-2019</t>
        </is>
      </c>
      <c r="B847" s="1" t="n">
        <v>43672</v>
      </c>
      <c r="C847" s="1" t="n">
        <v>45797</v>
      </c>
      <c r="D847" t="inlineStr">
        <is>
          <t>ÖREBRO LÄN</t>
        </is>
      </c>
      <c r="E847" t="inlineStr">
        <is>
          <t>ASKERSUND</t>
        </is>
      </c>
      <c r="G847" t="n">
        <v>3.1</v>
      </c>
      <c r="H847" t="n">
        <v>0</v>
      </c>
      <c r="I847" t="n">
        <v>0</v>
      </c>
      <c r="J847" t="n">
        <v>0</v>
      </c>
      <c r="K847" t="n">
        <v>0</v>
      </c>
      <c r="L847" t="n">
        <v>0</v>
      </c>
      <c r="M847" t="n">
        <v>0</v>
      </c>
      <c r="N847" t="n">
        <v>0</v>
      </c>
      <c r="O847" t="n">
        <v>0</v>
      </c>
      <c r="P847" t="n">
        <v>0</v>
      </c>
      <c r="Q847" t="n">
        <v>0</v>
      </c>
      <c r="R847" s="2" t="inlineStr"/>
    </row>
    <row r="848" ht="15" customHeight="1">
      <c r="A848" t="inlineStr">
        <is>
          <t>A 36754-2019</t>
        </is>
      </c>
      <c r="B848" s="1" t="n">
        <v>43672</v>
      </c>
      <c r="C848" s="1" t="n">
        <v>45797</v>
      </c>
      <c r="D848" t="inlineStr">
        <is>
          <t>ÖREBRO LÄN</t>
        </is>
      </c>
      <c r="E848" t="inlineStr">
        <is>
          <t>LINDESBERG</t>
        </is>
      </c>
      <c r="G848" t="n">
        <v>3.8</v>
      </c>
      <c r="H848" t="n">
        <v>0</v>
      </c>
      <c r="I848" t="n">
        <v>0</v>
      </c>
      <c r="J848" t="n">
        <v>0</v>
      </c>
      <c r="K848" t="n">
        <v>0</v>
      </c>
      <c r="L848" t="n">
        <v>0</v>
      </c>
      <c r="M848" t="n">
        <v>0</v>
      </c>
      <c r="N848" t="n">
        <v>0</v>
      </c>
      <c r="O848" t="n">
        <v>0</v>
      </c>
      <c r="P848" t="n">
        <v>0</v>
      </c>
      <c r="Q848" t="n">
        <v>0</v>
      </c>
      <c r="R848" s="2" t="inlineStr"/>
    </row>
    <row r="849" ht="15" customHeight="1">
      <c r="A849" t="inlineStr">
        <is>
          <t>A 36913-2019</t>
        </is>
      </c>
      <c r="B849" s="1" t="n">
        <v>43675</v>
      </c>
      <c r="C849" s="1" t="n">
        <v>45797</v>
      </c>
      <c r="D849" t="inlineStr">
        <is>
          <t>ÖREBRO LÄN</t>
        </is>
      </c>
      <c r="E849" t="inlineStr">
        <is>
          <t>DEGERFORS</t>
        </is>
      </c>
      <c r="G849" t="n">
        <v>3.5</v>
      </c>
      <c r="H849" t="n">
        <v>0</v>
      </c>
      <c r="I849" t="n">
        <v>0</v>
      </c>
      <c r="J849" t="n">
        <v>0</v>
      </c>
      <c r="K849" t="n">
        <v>0</v>
      </c>
      <c r="L849" t="n">
        <v>0</v>
      </c>
      <c r="M849" t="n">
        <v>0</v>
      </c>
      <c r="N849" t="n">
        <v>0</v>
      </c>
      <c r="O849" t="n">
        <v>0</v>
      </c>
      <c r="P849" t="n">
        <v>0</v>
      </c>
      <c r="Q849" t="n">
        <v>0</v>
      </c>
      <c r="R849" s="2" t="inlineStr"/>
    </row>
    <row r="850" ht="15" customHeight="1">
      <c r="A850" t="inlineStr">
        <is>
          <t>A 37112-2019</t>
        </is>
      </c>
      <c r="B850" s="1" t="n">
        <v>43676</v>
      </c>
      <c r="C850" s="1" t="n">
        <v>45797</v>
      </c>
      <c r="D850" t="inlineStr">
        <is>
          <t>ÖREBRO LÄN</t>
        </is>
      </c>
      <c r="E850" t="inlineStr">
        <is>
          <t>KARLSKOGA</t>
        </is>
      </c>
      <c r="G850" t="n">
        <v>1.1</v>
      </c>
      <c r="H850" t="n">
        <v>0</v>
      </c>
      <c r="I850" t="n">
        <v>0</v>
      </c>
      <c r="J850" t="n">
        <v>0</v>
      </c>
      <c r="K850" t="n">
        <v>0</v>
      </c>
      <c r="L850" t="n">
        <v>0</v>
      </c>
      <c r="M850" t="n">
        <v>0</v>
      </c>
      <c r="N850" t="n">
        <v>0</v>
      </c>
      <c r="O850" t="n">
        <v>0</v>
      </c>
      <c r="P850" t="n">
        <v>0</v>
      </c>
      <c r="Q850" t="n">
        <v>0</v>
      </c>
      <c r="R850" s="2" t="inlineStr"/>
    </row>
    <row r="851" ht="15" customHeight="1">
      <c r="A851" t="inlineStr">
        <is>
          <t>A 37066-2019</t>
        </is>
      </c>
      <c r="B851" s="1" t="n">
        <v>43676</v>
      </c>
      <c r="C851" s="1" t="n">
        <v>45797</v>
      </c>
      <c r="D851" t="inlineStr">
        <is>
          <t>ÖREBRO LÄN</t>
        </is>
      </c>
      <c r="E851" t="inlineStr">
        <is>
          <t>ASKERSUND</t>
        </is>
      </c>
      <c r="G851" t="n">
        <v>9.4</v>
      </c>
      <c r="H851" t="n">
        <v>0</v>
      </c>
      <c r="I851" t="n">
        <v>0</v>
      </c>
      <c r="J851" t="n">
        <v>0</v>
      </c>
      <c r="K851" t="n">
        <v>0</v>
      </c>
      <c r="L851" t="n">
        <v>0</v>
      </c>
      <c r="M851" t="n">
        <v>0</v>
      </c>
      <c r="N851" t="n">
        <v>0</v>
      </c>
      <c r="O851" t="n">
        <v>0</v>
      </c>
      <c r="P851" t="n">
        <v>0</v>
      </c>
      <c r="Q851" t="n">
        <v>0</v>
      </c>
      <c r="R851" s="2" t="inlineStr"/>
    </row>
    <row r="852" ht="15" customHeight="1">
      <c r="A852" t="inlineStr">
        <is>
          <t>A 36990-2019</t>
        </is>
      </c>
      <c r="B852" s="1" t="n">
        <v>43676</v>
      </c>
      <c r="C852" s="1" t="n">
        <v>45797</v>
      </c>
      <c r="D852" t="inlineStr">
        <is>
          <t>ÖREBRO LÄN</t>
        </is>
      </c>
      <c r="E852" t="inlineStr">
        <is>
          <t>ÖREBRO</t>
        </is>
      </c>
      <c r="G852" t="n">
        <v>5.1</v>
      </c>
      <c r="H852" t="n">
        <v>0</v>
      </c>
      <c r="I852" t="n">
        <v>0</v>
      </c>
      <c r="J852" t="n">
        <v>0</v>
      </c>
      <c r="K852" t="n">
        <v>0</v>
      </c>
      <c r="L852" t="n">
        <v>0</v>
      </c>
      <c r="M852" t="n">
        <v>0</v>
      </c>
      <c r="N852" t="n">
        <v>0</v>
      </c>
      <c r="O852" t="n">
        <v>0</v>
      </c>
      <c r="P852" t="n">
        <v>0</v>
      </c>
      <c r="Q852" t="n">
        <v>0</v>
      </c>
      <c r="R852" s="2" t="inlineStr"/>
    </row>
    <row r="853" ht="15" customHeight="1">
      <c r="A853" t="inlineStr">
        <is>
          <t>A 37141-2019</t>
        </is>
      </c>
      <c r="B853" s="1" t="n">
        <v>43677</v>
      </c>
      <c r="C853" s="1" t="n">
        <v>45797</v>
      </c>
      <c r="D853" t="inlineStr">
        <is>
          <t>ÖREBRO LÄN</t>
        </is>
      </c>
      <c r="E853" t="inlineStr">
        <is>
          <t>LEKEBERG</t>
        </is>
      </c>
      <c r="G853" t="n">
        <v>1.8</v>
      </c>
      <c r="H853" t="n">
        <v>0</v>
      </c>
      <c r="I853" t="n">
        <v>0</v>
      </c>
      <c r="J853" t="n">
        <v>0</v>
      </c>
      <c r="K853" t="n">
        <v>0</v>
      </c>
      <c r="L853" t="n">
        <v>0</v>
      </c>
      <c r="M853" t="n">
        <v>0</v>
      </c>
      <c r="N853" t="n">
        <v>0</v>
      </c>
      <c r="O853" t="n">
        <v>0</v>
      </c>
      <c r="P853" t="n">
        <v>0</v>
      </c>
      <c r="Q853" t="n">
        <v>0</v>
      </c>
      <c r="R853" s="2" t="inlineStr"/>
    </row>
    <row r="854" ht="15" customHeight="1">
      <c r="A854" t="inlineStr">
        <is>
          <t>A 37143-2019</t>
        </is>
      </c>
      <c r="B854" s="1" t="n">
        <v>43677</v>
      </c>
      <c r="C854" s="1" t="n">
        <v>45797</v>
      </c>
      <c r="D854" t="inlineStr">
        <is>
          <t>ÖREBRO LÄN</t>
        </is>
      </c>
      <c r="E854" t="inlineStr">
        <is>
          <t>LEKEBERG</t>
        </is>
      </c>
      <c r="G854" t="n">
        <v>2.3</v>
      </c>
      <c r="H854" t="n">
        <v>0</v>
      </c>
      <c r="I854" t="n">
        <v>0</v>
      </c>
      <c r="J854" t="n">
        <v>0</v>
      </c>
      <c r="K854" t="n">
        <v>0</v>
      </c>
      <c r="L854" t="n">
        <v>0</v>
      </c>
      <c r="M854" t="n">
        <v>0</v>
      </c>
      <c r="N854" t="n">
        <v>0</v>
      </c>
      <c r="O854" t="n">
        <v>0</v>
      </c>
      <c r="P854" t="n">
        <v>0</v>
      </c>
      <c r="Q854" t="n">
        <v>0</v>
      </c>
      <c r="R854" s="2" t="inlineStr"/>
    </row>
    <row r="855" ht="15" customHeight="1">
      <c r="A855" t="inlineStr">
        <is>
          <t>A 37254-2019</t>
        </is>
      </c>
      <c r="B855" s="1" t="n">
        <v>43677</v>
      </c>
      <c r="C855" s="1" t="n">
        <v>45797</v>
      </c>
      <c r="D855" t="inlineStr">
        <is>
          <t>ÖREBRO LÄN</t>
        </is>
      </c>
      <c r="E855" t="inlineStr">
        <is>
          <t>ÖREBRO</t>
        </is>
      </c>
      <c r="G855" t="n">
        <v>10.3</v>
      </c>
      <c r="H855" t="n">
        <v>0</v>
      </c>
      <c r="I855" t="n">
        <v>0</v>
      </c>
      <c r="J855" t="n">
        <v>0</v>
      </c>
      <c r="K855" t="n">
        <v>0</v>
      </c>
      <c r="L855" t="n">
        <v>0</v>
      </c>
      <c r="M855" t="n">
        <v>0</v>
      </c>
      <c r="N855" t="n">
        <v>0</v>
      </c>
      <c r="O855" t="n">
        <v>0</v>
      </c>
      <c r="P855" t="n">
        <v>0</v>
      </c>
      <c r="Q855" t="n">
        <v>0</v>
      </c>
      <c r="R855" s="2" t="inlineStr"/>
    </row>
    <row r="856" ht="15" customHeight="1">
      <c r="A856" t="inlineStr">
        <is>
          <t>A 37142-2019</t>
        </is>
      </c>
      <c r="B856" s="1" t="n">
        <v>43677</v>
      </c>
      <c r="C856" s="1" t="n">
        <v>45797</v>
      </c>
      <c r="D856" t="inlineStr">
        <is>
          <t>ÖREBRO LÄN</t>
        </is>
      </c>
      <c r="E856" t="inlineStr">
        <is>
          <t>LEKEBERG</t>
        </is>
      </c>
      <c r="G856" t="n">
        <v>1.9</v>
      </c>
      <c r="H856" t="n">
        <v>0</v>
      </c>
      <c r="I856" t="n">
        <v>0</v>
      </c>
      <c r="J856" t="n">
        <v>0</v>
      </c>
      <c r="K856" t="n">
        <v>0</v>
      </c>
      <c r="L856" t="n">
        <v>0</v>
      </c>
      <c r="M856" t="n">
        <v>0</v>
      </c>
      <c r="N856" t="n">
        <v>0</v>
      </c>
      <c r="O856" t="n">
        <v>0</v>
      </c>
      <c r="P856" t="n">
        <v>0</v>
      </c>
      <c r="Q856" t="n">
        <v>0</v>
      </c>
      <c r="R856" s="2" t="inlineStr"/>
    </row>
    <row r="857" ht="15" customHeight="1">
      <c r="A857" t="inlineStr">
        <is>
          <t>A 37258-2019</t>
        </is>
      </c>
      <c r="B857" s="1" t="n">
        <v>43677</v>
      </c>
      <c r="C857" s="1" t="n">
        <v>45797</v>
      </c>
      <c r="D857" t="inlineStr">
        <is>
          <t>ÖREBRO LÄN</t>
        </is>
      </c>
      <c r="E857" t="inlineStr">
        <is>
          <t>ÖREBRO</t>
        </is>
      </c>
      <c r="G857" t="n">
        <v>1.6</v>
      </c>
      <c r="H857" t="n">
        <v>0</v>
      </c>
      <c r="I857" t="n">
        <v>0</v>
      </c>
      <c r="J857" t="n">
        <v>0</v>
      </c>
      <c r="K857" t="n">
        <v>0</v>
      </c>
      <c r="L857" t="n">
        <v>0</v>
      </c>
      <c r="M857" t="n">
        <v>0</v>
      </c>
      <c r="N857" t="n">
        <v>0</v>
      </c>
      <c r="O857" t="n">
        <v>0</v>
      </c>
      <c r="P857" t="n">
        <v>0</v>
      </c>
      <c r="Q857" t="n">
        <v>0</v>
      </c>
      <c r="R857" s="2" t="inlineStr"/>
    </row>
    <row r="858" ht="15" customHeight="1">
      <c r="A858" t="inlineStr">
        <is>
          <t>A 37278-2019</t>
        </is>
      </c>
      <c r="B858" s="1" t="n">
        <v>43677</v>
      </c>
      <c r="C858" s="1" t="n">
        <v>45797</v>
      </c>
      <c r="D858" t="inlineStr">
        <is>
          <t>ÖREBRO LÄN</t>
        </is>
      </c>
      <c r="E858" t="inlineStr">
        <is>
          <t>ÖREBRO</t>
        </is>
      </c>
      <c r="G858" t="n">
        <v>7.9</v>
      </c>
      <c r="H858" t="n">
        <v>0</v>
      </c>
      <c r="I858" t="n">
        <v>0</v>
      </c>
      <c r="J858" t="n">
        <v>0</v>
      </c>
      <c r="K858" t="n">
        <v>0</v>
      </c>
      <c r="L858" t="n">
        <v>0</v>
      </c>
      <c r="M858" t="n">
        <v>0</v>
      </c>
      <c r="N858" t="n">
        <v>0</v>
      </c>
      <c r="O858" t="n">
        <v>0</v>
      </c>
      <c r="P858" t="n">
        <v>0</v>
      </c>
      <c r="Q858" t="n">
        <v>0</v>
      </c>
      <c r="R858" s="2" t="inlineStr"/>
    </row>
    <row r="859" ht="15" customHeight="1">
      <c r="A859" t="inlineStr">
        <is>
          <t>A 37257-2019</t>
        </is>
      </c>
      <c r="B859" s="1" t="n">
        <v>43677</v>
      </c>
      <c r="C859" s="1" t="n">
        <v>45797</v>
      </c>
      <c r="D859" t="inlineStr">
        <is>
          <t>ÖREBRO LÄN</t>
        </is>
      </c>
      <c r="E859" t="inlineStr">
        <is>
          <t>LINDESBERG</t>
        </is>
      </c>
      <c r="G859" t="n">
        <v>1.6</v>
      </c>
      <c r="H859" t="n">
        <v>0</v>
      </c>
      <c r="I859" t="n">
        <v>0</v>
      </c>
      <c r="J859" t="n">
        <v>0</v>
      </c>
      <c r="K859" t="n">
        <v>0</v>
      </c>
      <c r="L859" t="n">
        <v>0</v>
      </c>
      <c r="M859" t="n">
        <v>0</v>
      </c>
      <c r="N859" t="n">
        <v>0</v>
      </c>
      <c r="O859" t="n">
        <v>0</v>
      </c>
      <c r="P859" t="n">
        <v>0</v>
      </c>
      <c r="Q859" t="n">
        <v>0</v>
      </c>
      <c r="R859" s="2" t="inlineStr"/>
    </row>
    <row r="860" ht="15" customHeight="1">
      <c r="A860" t="inlineStr">
        <is>
          <t>A 37377-2019</t>
        </is>
      </c>
      <c r="B860" s="1" t="n">
        <v>43678</v>
      </c>
      <c r="C860" s="1" t="n">
        <v>45797</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37406-2019</t>
        </is>
      </c>
      <c r="B861" s="1" t="n">
        <v>43678</v>
      </c>
      <c r="C861" s="1" t="n">
        <v>45797</v>
      </c>
      <c r="D861" t="inlineStr">
        <is>
          <t>ÖREBRO LÄN</t>
        </is>
      </c>
      <c r="E861" t="inlineStr">
        <is>
          <t>NORA</t>
        </is>
      </c>
      <c r="F861" t="inlineStr">
        <is>
          <t>Kyrkan</t>
        </is>
      </c>
      <c r="G861" t="n">
        <v>5.1</v>
      </c>
      <c r="H861" t="n">
        <v>0</v>
      </c>
      <c r="I861" t="n">
        <v>0</v>
      </c>
      <c r="J861" t="n">
        <v>0</v>
      </c>
      <c r="K861" t="n">
        <v>0</v>
      </c>
      <c r="L861" t="n">
        <v>0</v>
      </c>
      <c r="M861" t="n">
        <v>0</v>
      </c>
      <c r="N861" t="n">
        <v>0</v>
      </c>
      <c r="O861" t="n">
        <v>0</v>
      </c>
      <c r="P861" t="n">
        <v>0</v>
      </c>
      <c r="Q861" t="n">
        <v>0</v>
      </c>
      <c r="R861" s="2" t="inlineStr"/>
    </row>
    <row r="862" ht="15" customHeight="1">
      <c r="A862" t="inlineStr">
        <is>
          <t>A 37325-2019</t>
        </is>
      </c>
      <c r="B862" s="1" t="n">
        <v>43678</v>
      </c>
      <c r="C862" s="1" t="n">
        <v>45797</v>
      </c>
      <c r="D862" t="inlineStr">
        <is>
          <t>ÖREBRO LÄN</t>
        </is>
      </c>
      <c r="E862" t="inlineStr">
        <is>
          <t>HÄLLEFORS</t>
        </is>
      </c>
      <c r="F862" t="inlineStr">
        <is>
          <t>Bergvik skog väst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37494-2019</t>
        </is>
      </c>
      <c r="B863" s="1" t="n">
        <v>43679</v>
      </c>
      <c r="C863" s="1" t="n">
        <v>45797</v>
      </c>
      <c r="D863" t="inlineStr">
        <is>
          <t>ÖREBRO LÄN</t>
        </is>
      </c>
      <c r="E863" t="inlineStr">
        <is>
          <t>HALLSBERG</t>
        </is>
      </c>
      <c r="F863" t="inlineStr">
        <is>
          <t>Sveaskog</t>
        </is>
      </c>
      <c r="G863" t="n">
        <v>4.2</v>
      </c>
      <c r="H863" t="n">
        <v>0</v>
      </c>
      <c r="I863" t="n">
        <v>0</v>
      </c>
      <c r="J863" t="n">
        <v>0</v>
      </c>
      <c r="K863" t="n">
        <v>0</v>
      </c>
      <c r="L863" t="n">
        <v>0</v>
      </c>
      <c r="M863" t="n">
        <v>0</v>
      </c>
      <c r="N863" t="n">
        <v>0</v>
      </c>
      <c r="O863" t="n">
        <v>0</v>
      </c>
      <c r="P863" t="n">
        <v>0</v>
      </c>
      <c r="Q863" t="n">
        <v>0</v>
      </c>
      <c r="R863" s="2" t="inlineStr"/>
    </row>
    <row r="864" ht="15" customHeight="1">
      <c r="A864" t="inlineStr">
        <is>
          <t>A 37493-2019</t>
        </is>
      </c>
      <c r="B864" s="1" t="n">
        <v>43679</v>
      </c>
      <c r="C864" s="1" t="n">
        <v>45797</v>
      </c>
      <c r="D864" t="inlineStr">
        <is>
          <t>ÖREBRO LÄN</t>
        </is>
      </c>
      <c r="E864" t="inlineStr">
        <is>
          <t>HALLSBERG</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37566-2019</t>
        </is>
      </c>
      <c r="B865" s="1" t="n">
        <v>43679</v>
      </c>
      <c r="C865" s="1" t="n">
        <v>45797</v>
      </c>
      <c r="D865" t="inlineStr">
        <is>
          <t>ÖREBRO LÄN</t>
        </is>
      </c>
      <c r="E865" t="inlineStr">
        <is>
          <t>LINDESBERG</t>
        </is>
      </c>
      <c r="G865" t="n">
        <v>2.4</v>
      </c>
      <c r="H865" t="n">
        <v>0</v>
      </c>
      <c r="I865" t="n">
        <v>0</v>
      </c>
      <c r="J865" t="n">
        <v>0</v>
      </c>
      <c r="K865" t="n">
        <v>0</v>
      </c>
      <c r="L865" t="n">
        <v>0</v>
      </c>
      <c r="M865" t="n">
        <v>0</v>
      </c>
      <c r="N865" t="n">
        <v>0</v>
      </c>
      <c r="O865" t="n">
        <v>0</v>
      </c>
      <c r="P865" t="n">
        <v>0</v>
      </c>
      <c r="Q865" t="n">
        <v>0</v>
      </c>
      <c r="R865" s="2" t="inlineStr"/>
    </row>
    <row r="866" ht="15" customHeight="1">
      <c r="A866" t="inlineStr">
        <is>
          <t>A 37558-2019</t>
        </is>
      </c>
      <c r="B866" s="1" t="n">
        <v>43679</v>
      </c>
      <c r="C866" s="1" t="n">
        <v>45797</v>
      </c>
      <c r="D866" t="inlineStr">
        <is>
          <t>ÖREBRO LÄN</t>
        </is>
      </c>
      <c r="E866" t="inlineStr">
        <is>
          <t>LINDESBERG</t>
        </is>
      </c>
      <c r="G866" t="n">
        <v>6.6</v>
      </c>
      <c r="H866" t="n">
        <v>0</v>
      </c>
      <c r="I866" t="n">
        <v>0</v>
      </c>
      <c r="J866" t="n">
        <v>0</v>
      </c>
      <c r="K866" t="n">
        <v>0</v>
      </c>
      <c r="L866" t="n">
        <v>0</v>
      </c>
      <c r="M866" t="n">
        <v>0</v>
      </c>
      <c r="N866" t="n">
        <v>0</v>
      </c>
      <c r="O866" t="n">
        <v>0</v>
      </c>
      <c r="P866" t="n">
        <v>0</v>
      </c>
      <c r="Q866" t="n">
        <v>0</v>
      </c>
      <c r="R866" s="2" t="inlineStr"/>
    </row>
    <row r="867" ht="15" customHeight="1">
      <c r="A867" t="inlineStr">
        <is>
          <t>A 37495-2019</t>
        </is>
      </c>
      <c r="B867" s="1" t="n">
        <v>43679</v>
      </c>
      <c r="C867" s="1" t="n">
        <v>45797</v>
      </c>
      <c r="D867" t="inlineStr">
        <is>
          <t>ÖREBRO LÄN</t>
        </is>
      </c>
      <c r="E867" t="inlineStr">
        <is>
          <t>HALLSBERG</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37474-2019</t>
        </is>
      </c>
      <c r="B868" s="1" t="n">
        <v>43679</v>
      </c>
      <c r="C868" s="1" t="n">
        <v>45797</v>
      </c>
      <c r="D868" t="inlineStr">
        <is>
          <t>ÖREBRO LÄN</t>
        </is>
      </c>
      <c r="E868" t="inlineStr">
        <is>
          <t>HALLSBERG</t>
        </is>
      </c>
      <c r="F868" t="inlineStr">
        <is>
          <t>Sveaskog</t>
        </is>
      </c>
      <c r="G868" t="n">
        <v>4.3</v>
      </c>
      <c r="H868" t="n">
        <v>0</v>
      </c>
      <c r="I868" t="n">
        <v>0</v>
      </c>
      <c r="J868" t="n">
        <v>0</v>
      </c>
      <c r="K868" t="n">
        <v>0</v>
      </c>
      <c r="L868" t="n">
        <v>0</v>
      </c>
      <c r="M868" t="n">
        <v>0</v>
      </c>
      <c r="N868" t="n">
        <v>0</v>
      </c>
      <c r="O868" t="n">
        <v>0</v>
      </c>
      <c r="P868" t="n">
        <v>0</v>
      </c>
      <c r="Q868" t="n">
        <v>0</v>
      </c>
      <c r="R868" s="2" t="inlineStr"/>
    </row>
    <row r="869" ht="15" customHeight="1">
      <c r="A869" t="inlineStr">
        <is>
          <t>A 37597-2019</t>
        </is>
      </c>
      <c r="B869" s="1" t="n">
        <v>43680</v>
      </c>
      <c r="C869" s="1" t="n">
        <v>45797</v>
      </c>
      <c r="D869" t="inlineStr">
        <is>
          <t>ÖREBRO LÄN</t>
        </is>
      </c>
      <c r="E869" t="inlineStr">
        <is>
          <t>LINDESBERG</t>
        </is>
      </c>
      <c r="G869" t="n">
        <v>13.2</v>
      </c>
      <c r="H869" t="n">
        <v>0</v>
      </c>
      <c r="I869" t="n">
        <v>0</v>
      </c>
      <c r="J869" t="n">
        <v>0</v>
      </c>
      <c r="K869" t="n">
        <v>0</v>
      </c>
      <c r="L869" t="n">
        <v>0</v>
      </c>
      <c r="M869" t="n">
        <v>0</v>
      </c>
      <c r="N869" t="n">
        <v>0</v>
      </c>
      <c r="O869" t="n">
        <v>0</v>
      </c>
      <c r="P869" t="n">
        <v>0</v>
      </c>
      <c r="Q869" t="n">
        <v>0</v>
      </c>
      <c r="R869" s="2" t="inlineStr"/>
    </row>
    <row r="870" ht="15" customHeight="1">
      <c r="A870" t="inlineStr">
        <is>
          <t>A 37599-2019</t>
        </is>
      </c>
      <c r="B870" s="1" t="n">
        <v>43680</v>
      </c>
      <c r="C870" s="1" t="n">
        <v>45797</v>
      </c>
      <c r="D870" t="inlineStr">
        <is>
          <t>ÖREBRO LÄN</t>
        </is>
      </c>
      <c r="E870" t="inlineStr">
        <is>
          <t>LINDESBERG</t>
        </is>
      </c>
      <c r="G870" t="n">
        <v>14.6</v>
      </c>
      <c r="H870" t="n">
        <v>0</v>
      </c>
      <c r="I870" t="n">
        <v>0</v>
      </c>
      <c r="J870" t="n">
        <v>0</v>
      </c>
      <c r="K870" t="n">
        <v>0</v>
      </c>
      <c r="L870" t="n">
        <v>0</v>
      </c>
      <c r="M870" t="n">
        <v>0</v>
      </c>
      <c r="N870" t="n">
        <v>0</v>
      </c>
      <c r="O870" t="n">
        <v>0</v>
      </c>
      <c r="P870" t="n">
        <v>0</v>
      </c>
      <c r="Q870" t="n">
        <v>0</v>
      </c>
      <c r="R870" s="2" t="inlineStr"/>
    </row>
    <row r="871" ht="15" customHeight="1">
      <c r="A871" t="inlineStr">
        <is>
          <t>A 37789-2019</t>
        </is>
      </c>
      <c r="B871" s="1" t="n">
        <v>43682</v>
      </c>
      <c r="C871" s="1" t="n">
        <v>45797</v>
      </c>
      <c r="D871" t="inlineStr">
        <is>
          <t>ÖREBRO LÄN</t>
        </is>
      </c>
      <c r="E871" t="inlineStr">
        <is>
          <t>ASKERSUND</t>
        </is>
      </c>
      <c r="G871" t="n">
        <v>3.1</v>
      </c>
      <c r="H871" t="n">
        <v>0</v>
      </c>
      <c r="I871" t="n">
        <v>0</v>
      </c>
      <c r="J871" t="n">
        <v>0</v>
      </c>
      <c r="K871" t="n">
        <v>0</v>
      </c>
      <c r="L871" t="n">
        <v>0</v>
      </c>
      <c r="M871" t="n">
        <v>0</v>
      </c>
      <c r="N871" t="n">
        <v>0</v>
      </c>
      <c r="O871" t="n">
        <v>0</v>
      </c>
      <c r="P871" t="n">
        <v>0</v>
      </c>
      <c r="Q871" t="n">
        <v>0</v>
      </c>
      <c r="R871" s="2" t="inlineStr"/>
    </row>
    <row r="872" ht="15" customHeight="1">
      <c r="A872" t="inlineStr">
        <is>
          <t>A 37728-2019</t>
        </is>
      </c>
      <c r="B872" s="1" t="n">
        <v>43682</v>
      </c>
      <c r="C872" s="1" t="n">
        <v>45797</v>
      </c>
      <c r="D872" t="inlineStr">
        <is>
          <t>ÖREBRO LÄN</t>
        </is>
      </c>
      <c r="E872" t="inlineStr">
        <is>
          <t>KARLSKOGA</t>
        </is>
      </c>
      <c r="G872" t="n">
        <v>4.3</v>
      </c>
      <c r="H872" t="n">
        <v>0</v>
      </c>
      <c r="I872" t="n">
        <v>0</v>
      </c>
      <c r="J872" t="n">
        <v>0</v>
      </c>
      <c r="K872" t="n">
        <v>0</v>
      </c>
      <c r="L872" t="n">
        <v>0</v>
      </c>
      <c r="M872" t="n">
        <v>0</v>
      </c>
      <c r="N872" t="n">
        <v>0</v>
      </c>
      <c r="O872" t="n">
        <v>0</v>
      </c>
      <c r="P872" t="n">
        <v>0</v>
      </c>
      <c r="Q872" t="n">
        <v>0</v>
      </c>
      <c r="R872" s="2" t="inlineStr"/>
    </row>
    <row r="873" ht="15" customHeight="1">
      <c r="A873" t="inlineStr">
        <is>
          <t>A 37840-2019</t>
        </is>
      </c>
      <c r="B873" s="1" t="n">
        <v>43682</v>
      </c>
      <c r="C873" s="1" t="n">
        <v>45797</v>
      </c>
      <c r="D873" t="inlineStr">
        <is>
          <t>ÖREBRO LÄN</t>
        </is>
      </c>
      <c r="E873" t="inlineStr">
        <is>
          <t>ASKERSUND</t>
        </is>
      </c>
      <c r="G873" t="n">
        <v>16.2</v>
      </c>
      <c r="H873" t="n">
        <v>0</v>
      </c>
      <c r="I873" t="n">
        <v>0</v>
      </c>
      <c r="J873" t="n">
        <v>0</v>
      </c>
      <c r="K873" t="n">
        <v>0</v>
      </c>
      <c r="L873" t="n">
        <v>0</v>
      </c>
      <c r="M873" t="n">
        <v>0</v>
      </c>
      <c r="N873" t="n">
        <v>0</v>
      </c>
      <c r="O873" t="n">
        <v>0</v>
      </c>
      <c r="P873" t="n">
        <v>0</v>
      </c>
      <c r="Q873" t="n">
        <v>0</v>
      </c>
      <c r="R873" s="2" t="inlineStr"/>
    </row>
    <row r="874" ht="15" customHeight="1">
      <c r="A874" t="inlineStr">
        <is>
          <t>A 37794-2019</t>
        </is>
      </c>
      <c r="B874" s="1" t="n">
        <v>43682</v>
      </c>
      <c r="C874" s="1" t="n">
        <v>45797</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37926-2019</t>
        </is>
      </c>
      <c r="B875" s="1" t="n">
        <v>43683</v>
      </c>
      <c r="C875" s="1" t="n">
        <v>45797</v>
      </c>
      <c r="D875" t="inlineStr">
        <is>
          <t>ÖREBRO LÄN</t>
        </is>
      </c>
      <c r="E875" t="inlineStr">
        <is>
          <t>HALLSBERG</t>
        </is>
      </c>
      <c r="G875" t="n">
        <v>1.4</v>
      </c>
      <c r="H875" t="n">
        <v>0</v>
      </c>
      <c r="I875" t="n">
        <v>0</v>
      </c>
      <c r="J875" t="n">
        <v>0</v>
      </c>
      <c r="K875" t="n">
        <v>0</v>
      </c>
      <c r="L875" t="n">
        <v>0</v>
      </c>
      <c r="M875" t="n">
        <v>0</v>
      </c>
      <c r="N875" t="n">
        <v>0</v>
      </c>
      <c r="O875" t="n">
        <v>0</v>
      </c>
      <c r="P875" t="n">
        <v>0</v>
      </c>
      <c r="Q875" t="n">
        <v>0</v>
      </c>
      <c r="R875" s="2" t="inlineStr"/>
    </row>
    <row r="876" ht="15" customHeight="1">
      <c r="A876" t="inlineStr">
        <is>
          <t>A 37930-2019</t>
        </is>
      </c>
      <c r="B876" s="1" t="n">
        <v>43683</v>
      </c>
      <c r="C876" s="1" t="n">
        <v>45797</v>
      </c>
      <c r="D876" t="inlineStr">
        <is>
          <t>ÖREBRO LÄN</t>
        </is>
      </c>
      <c r="E876" t="inlineStr">
        <is>
          <t>ÖREBRO</t>
        </is>
      </c>
      <c r="G876" t="n">
        <v>4.8</v>
      </c>
      <c r="H876" t="n">
        <v>0</v>
      </c>
      <c r="I876" t="n">
        <v>0</v>
      </c>
      <c r="J876" t="n">
        <v>0</v>
      </c>
      <c r="K876" t="n">
        <v>0</v>
      </c>
      <c r="L876" t="n">
        <v>0</v>
      </c>
      <c r="M876" t="n">
        <v>0</v>
      </c>
      <c r="N876" t="n">
        <v>0</v>
      </c>
      <c r="O876" t="n">
        <v>0</v>
      </c>
      <c r="P876" t="n">
        <v>0</v>
      </c>
      <c r="Q876" t="n">
        <v>0</v>
      </c>
      <c r="R876" s="2" t="inlineStr"/>
    </row>
    <row r="877" ht="15" customHeight="1">
      <c r="A877" t="inlineStr">
        <is>
          <t>A 38103-2019</t>
        </is>
      </c>
      <c r="B877" s="1" t="n">
        <v>43683</v>
      </c>
      <c r="C877" s="1" t="n">
        <v>45797</v>
      </c>
      <c r="D877" t="inlineStr">
        <is>
          <t>ÖREBRO LÄN</t>
        </is>
      </c>
      <c r="E877" t="inlineStr">
        <is>
          <t>LINDESBERG</t>
        </is>
      </c>
      <c r="G877" t="n">
        <v>8.6</v>
      </c>
      <c r="H877" t="n">
        <v>0</v>
      </c>
      <c r="I877" t="n">
        <v>0</v>
      </c>
      <c r="J877" t="n">
        <v>0</v>
      </c>
      <c r="K877" t="n">
        <v>0</v>
      </c>
      <c r="L877" t="n">
        <v>0</v>
      </c>
      <c r="M877" t="n">
        <v>0</v>
      </c>
      <c r="N877" t="n">
        <v>0</v>
      </c>
      <c r="O877" t="n">
        <v>0</v>
      </c>
      <c r="P877" t="n">
        <v>0</v>
      </c>
      <c r="Q877" t="n">
        <v>0</v>
      </c>
      <c r="R877" s="2" t="inlineStr"/>
    </row>
    <row r="878" ht="15" customHeight="1">
      <c r="A878" t="inlineStr">
        <is>
          <t>A 38372-2019</t>
        </is>
      </c>
      <c r="B878" s="1" t="n">
        <v>43683</v>
      </c>
      <c r="C878" s="1" t="n">
        <v>45797</v>
      </c>
      <c r="D878" t="inlineStr">
        <is>
          <t>ÖREBRO LÄN</t>
        </is>
      </c>
      <c r="E878" t="inlineStr">
        <is>
          <t>ÖREBRO</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38161-2019</t>
        </is>
      </c>
      <c r="B879" s="1" t="n">
        <v>43683</v>
      </c>
      <c r="C879" s="1" t="n">
        <v>45797</v>
      </c>
      <c r="D879" t="inlineStr">
        <is>
          <t>ÖREBRO LÄN</t>
        </is>
      </c>
      <c r="E879" t="inlineStr">
        <is>
          <t>LINDESBERG</t>
        </is>
      </c>
      <c r="G879" t="n">
        <v>7.8</v>
      </c>
      <c r="H879" t="n">
        <v>0</v>
      </c>
      <c r="I879" t="n">
        <v>0</v>
      </c>
      <c r="J879" t="n">
        <v>0</v>
      </c>
      <c r="K879" t="n">
        <v>0</v>
      </c>
      <c r="L879" t="n">
        <v>0</v>
      </c>
      <c r="M879" t="n">
        <v>0</v>
      </c>
      <c r="N879" t="n">
        <v>0</v>
      </c>
      <c r="O879" t="n">
        <v>0</v>
      </c>
      <c r="P879" t="n">
        <v>0</v>
      </c>
      <c r="Q879" t="n">
        <v>0</v>
      </c>
      <c r="R879" s="2" t="inlineStr"/>
    </row>
    <row r="880" ht="15" customHeight="1">
      <c r="A880" t="inlineStr">
        <is>
          <t>A 38246-2019</t>
        </is>
      </c>
      <c r="B880" s="1" t="n">
        <v>43684</v>
      </c>
      <c r="C880" s="1" t="n">
        <v>45797</v>
      </c>
      <c r="D880" t="inlineStr">
        <is>
          <t>ÖREBRO LÄN</t>
        </is>
      </c>
      <c r="E880" t="inlineStr">
        <is>
          <t>ASKERSUND</t>
        </is>
      </c>
      <c r="G880" t="n">
        <v>2.5</v>
      </c>
      <c r="H880" t="n">
        <v>0</v>
      </c>
      <c r="I880" t="n">
        <v>0</v>
      </c>
      <c r="J880" t="n">
        <v>0</v>
      </c>
      <c r="K880" t="n">
        <v>0</v>
      </c>
      <c r="L880" t="n">
        <v>0</v>
      </c>
      <c r="M880" t="n">
        <v>0</v>
      </c>
      <c r="N880" t="n">
        <v>0</v>
      </c>
      <c r="O880" t="n">
        <v>0</v>
      </c>
      <c r="P880" t="n">
        <v>0</v>
      </c>
      <c r="Q880" t="n">
        <v>0</v>
      </c>
      <c r="R880" s="2" t="inlineStr"/>
    </row>
    <row r="881" ht="15" customHeight="1">
      <c r="A881" t="inlineStr">
        <is>
          <t>A 38257-2019</t>
        </is>
      </c>
      <c r="B881" s="1" t="n">
        <v>43684</v>
      </c>
      <c r="C881" s="1" t="n">
        <v>45797</v>
      </c>
      <c r="D881" t="inlineStr">
        <is>
          <t>ÖREBRO LÄN</t>
        </is>
      </c>
      <c r="E881" t="inlineStr">
        <is>
          <t>ASKERSUND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38254-2019</t>
        </is>
      </c>
      <c r="B882" s="1" t="n">
        <v>43684</v>
      </c>
      <c r="C882" s="1" t="n">
        <v>45797</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38228-2019</t>
        </is>
      </c>
      <c r="B883" s="1" t="n">
        <v>43684</v>
      </c>
      <c r="C883" s="1" t="n">
        <v>45797</v>
      </c>
      <c r="D883" t="inlineStr">
        <is>
          <t>ÖREBRO LÄN</t>
        </is>
      </c>
      <c r="E883" t="inlineStr">
        <is>
          <t>LAXÅ</t>
        </is>
      </c>
      <c r="G883" t="n">
        <v>3.8</v>
      </c>
      <c r="H883" t="n">
        <v>0</v>
      </c>
      <c r="I883" t="n">
        <v>0</v>
      </c>
      <c r="J883" t="n">
        <v>0</v>
      </c>
      <c r="K883" t="n">
        <v>0</v>
      </c>
      <c r="L883" t="n">
        <v>0</v>
      </c>
      <c r="M883" t="n">
        <v>0</v>
      </c>
      <c r="N883" t="n">
        <v>0</v>
      </c>
      <c r="O883" t="n">
        <v>0</v>
      </c>
      <c r="P883" t="n">
        <v>0</v>
      </c>
      <c r="Q883" t="n">
        <v>0</v>
      </c>
      <c r="R883" s="2" t="inlineStr"/>
    </row>
    <row r="884" ht="15" customHeight="1">
      <c r="A884" t="inlineStr">
        <is>
          <t>A 38381-2019</t>
        </is>
      </c>
      <c r="B884" s="1" t="n">
        <v>43685</v>
      </c>
      <c r="C884" s="1" t="n">
        <v>45797</v>
      </c>
      <c r="D884" t="inlineStr">
        <is>
          <t>ÖREBRO LÄN</t>
        </is>
      </c>
      <c r="E884" t="inlineStr">
        <is>
          <t>LINDESBERG</t>
        </is>
      </c>
      <c r="G884" t="n">
        <v>2.9</v>
      </c>
      <c r="H884" t="n">
        <v>0</v>
      </c>
      <c r="I884" t="n">
        <v>0</v>
      </c>
      <c r="J884" t="n">
        <v>0</v>
      </c>
      <c r="K884" t="n">
        <v>0</v>
      </c>
      <c r="L884" t="n">
        <v>0</v>
      </c>
      <c r="M884" t="n">
        <v>0</v>
      </c>
      <c r="N884" t="n">
        <v>0</v>
      </c>
      <c r="O884" t="n">
        <v>0</v>
      </c>
      <c r="P884" t="n">
        <v>0</v>
      </c>
      <c r="Q884" t="n">
        <v>0</v>
      </c>
      <c r="R884" s="2" t="inlineStr"/>
    </row>
    <row r="885" ht="15" customHeight="1">
      <c r="A885" t="inlineStr">
        <is>
          <t>A 38389-2019</t>
        </is>
      </c>
      <c r="B885" s="1" t="n">
        <v>43685</v>
      </c>
      <c r="C885" s="1" t="n">
        <v>45797</v>
      </c>
      <c r="D885" t="inlineStr">
        <is>
          <t>ÖREBRO LÄN</t>
        </is>
      </c>
      <c r="E885" t="inlineStr">
        <is>
          <t>ÖREBRO</t>
        </is>
      </c>
      <c r="G885" t="n">
        <v>3.7</v>
      </c>
      <c r="H885" t="n">
        <v>0</v>
      </c>
      <c r="I885" t="n">
        <v>0</v>
      </c>
      <c r="J885" t="n">
        <v>0</v>
      </c>
      <c r="K885" t="n">
        <v>0</v>
      </c>
      <c r="L885" t="n">
        <v>0</v>
      </c>
      <c r="M885" t="n">
        <v>0</v>
      </c>
      <c r="N885" t="n">
        <v>0</v>
      </c>
      <c r="O885" t="n">
        <v>0</v>
      </c>
      <c r="P885" t="n">
        <v>0</v>
      </c>
      <c r="Q885" t="n">
        <v>0</v>
      </c>
      <c r="R885" s="2" t="inlineStr"/>
    </row>
    <row r="886" ht="15" customHeight="1">
      <c r="A886" t="inlineStr">
        <is>
          <t>A 38669-2019</t>
        </is>
      </c>
      <c r="B886" s="1" t="n">
        <v>43686</v>
      </c>
      <c r="C886" s="1" t="n">
        <v>45797</v>
      </c>
      <c r="D886" t="inlineStr">
        <is>
          <t>ÖREBRO LÄN</t>
        </is>
      </c>
      <c r="E886" t="inlineStr">
        <is>
          <t>KARLSKOGA</t>
        </is>
      </c>
      <c r="F886" t="inlineStr">
        <is>
          <t>Kyrkan</t>
        </is>
      </c>
      <c r="G886" t="n">
        <v>2</v>
      </c>
      <c r="H886" t="n">
        <v>0</v>
      </c>
      <c r="I886" t="n">
        <v>0</v>
      </c>
      <c r="J886" t="n">
        <v>0</v>
      </c>
      <c r="K886" t="n">
        <v>0</v>
      </c>
      <c r="L886" t="n">
        <v>0</v>
      </c>
      <c r="M886" t="n">
        <v>0</v>
      </c>
      <c r="N886" t="n">
        <v>0</v>
      </c>
      <c r="O886" t="n">
        <v>0</v>
      </c>
      <c r="P886" t="n">
        <v>0</v>
      </c>
      <c r="Q886" t="n">
        <v>0</v>
      </c>
      <c r="R886" s="2" t="inlineStr"/>
    </row>
    <row r="887" ht="15" customHeight="1">
      <c r="A887" t="inlineStr">
        <is>
          <t>A 38885-2019</t>
        </is>
      </c>
      <c r="B887" s="1" t="n">
        <v>43686</v>
      </c>
      <c r="C887" s="1" t="n">
        <v>45797</v>
      </c>
      <c r="D887" t="inlineStr">
        <is>
          <t>ÖREBRO LÄN</t>
        </is>
      </c>
      <c r="E887" t="inlineStr">
        <is>
          <t>ÖREBRO</t>
        </is>
      </c>
      <c r="G887" t="n">
        <v>1.1</v>
      </c>
      <c r="H887" t="n">
        <v>0</v>
      </c>
      <c r="I887" t="n">
        <v>0</v>
      </c>
      <c r="J887" t="n">
        <v>0</v>
      </c>
      <c r="K887" t="n">
        <v>0</v>
      </c>
      <c r="L887" t="n">
        <v>0</v>
      </c>
      <c r="M887" t="n">
        <v>0</v>
      </c>
      <c r="N887" t="n">
        <v>0</v>
      </c>
      <c r="O887" t="n">
        <v>0</v>
      </c>
      <c r="P887" t="n">
        <v>0</v>
      </c>
      <c r="Q887" t="n">
        <v>0</v>
      </c>
      <c r="R887" s="2" t="inlineStr"/>
    </row>
    <row r="888" ht="15" customHeight="1">
      <c r="A888" t="inlineStr">
        <is>
          <t>A 39501-2019</t>
        </is>
      </c>
      <c r="B888" s="1" t="n">
        <v>43686</v>
      </c>
      <c r="C888" s="1" t="n">
        <v>45797</v>
      </c>
      <c r="D888" t="inlineStr">
        <is>
          <t>ÖREBRO LÄN</t>
        </is>
      </c>
      <c r="E888" t="inlineStr">
        <is>
          <t>HÄLLEFORS</t>
        </is>
      </c>
      <c r="F888" t="inlineStr">
        <is>
          <t>Kyrkan</t>
        </is>
      </c>
      <c r="G888" t="n">
        <v>3.5</v>
      </c>
      <c r="H888" t="n">
        <v>0</v>
      </c>
      <c r="I888" t="n">
        <v>0</v>
      </c>
      <c r="J888" t="n">
        <v>0</v>
      </c>
      <c r="K888" t="n">
        <v>0</v>
      </c>
      <c r="L888" t="n">
        <v>0</v>
      </c>
      <c r="M888" t="n">
        <v>0</v>
      </c>
      <c r="N888" t="n">
        <v>0</v>
      </c>
      <c r="O888" t="n">
        <v>0</v>
      </c>
      <c r="P888" t="n">
        <v>0</v>
      </c>
      <c r="Q888" t="n">
        <v>0</v>
      </c>
      <c r="R888" s="2" t="inlineStr"/>
    </row>
    <row r="889" ht="15" customHeight="1">
      <c r="A889" t="inlineStr">
        <is>
          <t>A 38819-2019</t>
        </is>
      </c>
      <c r="B889" s="1" t="n">
        <v>43689</v>
      </c>
      <c r="C889" s="1" t="n">
        <v>45797</v>
      </c>
      <c r="D889" t="inlineStr">
        <is>
          <t>ÖREBRO LÄN</t>
        </is>
      </c>
      <c r="E889" t="inlineStr">
        <is>
          <t>HÄLLEFORS</t>
        </is>
      </c>
      <c r="G889" t="n">
        <v>2.1</v>
      </c>
      <c r="H889" t="n">
        <v>0</v>
      </c>
      <c r="I889" t="n">
        <v>0</v>
      </c>
      <c r="J889" t="n">
        <v>0</v>
      </c>
      <c r="K889" t="n">
        <v>0</v>
      </c>
      <c r="L889" t="n">
        <v>0</v>
      </c>
      <c r="M889" t="n">
        <v>0</v>
      </c>
      <c r="N889" t="n">
        <v>0</v>
      </c>
      <c r="O889" t="n">
        <v>0</v>
      </c>
      <c r="P889" t="n">
        <v>0</v>
      </c>
      <c r="Q889" t="n">
        <v>0</v>
      </c>
      <c r="R889" s="2" t="inlineStr"/>
    </row>
    <row r="890" ht="15" customHeight="1">
      <c r="A890" t="inlineStr">
        <is>
          <t>A 38902-2019</t>
        </is>
      </c>
      <c r="B890" s="1" t="n">
        <v>43689</v>
      </c>
      <c r="C890" s="1" t="n">
        <v>45797</v>
      </c>
      <c r="D890" t="inlineStr">
        <is>
          <t>ÖREBRO LÄN</t>
        </is>
      </c>
      <c r="E890" t="inlineStr">
        <is>
          <t>LINDESBERG</t>
        </is>
      </c>
      <c r="G890" t="n">
        <v>2.3</v>
      </c>
      <c r="H890" t="n">
        <v>0</v>
      </c>
      <c r="I890" t="n">
        <v>0</v>
      </c>
      <c r="J890" t="n">
        <v>0</v>
      </c>
      <c r="K890" t="n">
        <v>0</v>
      </c>
      <c r="L890" t="n">
        <v>0</v>
      </c>
      <c r="M890" t="n">
        <v>0</v>
      </c>
      <c r="N890" t="n">
        <v>0</v>
      </c>
      <c r="O890" t="n">
        <v>0</v>
      </c>
      <c r="P890" t="n">
        <v>0</v>
      </c>
      <c r="Q890" t="n">
        <v>0</v>
      </c>
      <c r="R890" s="2" t="inlineStr"/>
    </row>
    <row r="891" ht="15" customHeight="1">
      <c r="A891" t="inlineStr">
        <is>
          <t>A 38923-2019</t>
        </is>
      </c>
      <c r="B891" s="1" t="n">
        <v>43689</v>
      </c>
      <c r="C891" s="1" t="n">
        <v>45797</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38846-2019</t>
        </is>
      </c>
      <c r="B892" s="1" t="n">
        <v>43689</v>
      </c>
      <c r="C892" s="1" t="n">
        <v>45797</v>
      </c>
      <c r="D892" t="inlineStr">
        <is>
          <t>ÖREBRO LÄN</t>
        </is>
      </c>
      <c r="E892" t="inlineStr">
        <is>
          <t>ÖREBRO</t>
        </is>
      </c>
      <c r="G892" t="n">
        <v>3.8</v>
      </c>
      <c r="H892" t="n">
        <v>0</v>
      </c>
      <c r="I892" t="n">
        <v>0</v>
      </c>
      <c r="J892" t="n">
        <v>0</v>
      </c>
      <c r="K892" t="n">
        <v>0</v>
      </c>
      <c r="L892" t="n">
        <v>0</v>
      </c>
      <c r="M892" t="n">
        <v>0</v>
      </c>
      <c r="N892" t="n">
        <v>0</v>
      </c>
      <c r="O892" t="n">
        <v>0</v>
      </c>
      <c r="P892" t="n">
        <v>0</v>
      </c>
      <c r="Q892" t="n">
        <v>0</v>
      </c>
      <c r="R892" s="2" t="inlineStr"/>
    </row>
    <row r="893" ht="15" customHeight="1">
      <c r="A893" t="inlineStr">
        <is>
          <t>A 39322-2019</t>
        </is>
      </c>
      <c r="B893" s="1" t="n">
        <v>43690</v>
      </c>
      <c r="C893" s="1" t="n">
        <v>45797</v>
      </c>
      <c r="D893" t="inlineStr">
        <is>
          <t>ÖREBRO LÄN</t>
        </is>
      </c>
      <c r="E893" t="inlineStr">
        <is>
          <t>KARLSKOGA</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39303-2019</t>
        </is>
      </c>
      <c r="B894" s="1" t="n">
        <v>43690</v>
      </c>
      <c r="C894" s="1" t="n">
        <v>45797</v>
      </c>
      <c r="D894" t="inlineStr">
        <is>
          <t>ÖREBRO LÄN</t>
        </is>
      </c>
      <c r="E894" t="inlineStr">
        <is>
          <t>ÖREBRO</t>
        </is>
      </c>
      <c r="G894" t="n">
        <v>1.9</v>
      </c>
      <c r="H894" t="n">
        <v>0</v>
      </c>
      <c r="I894" t="n">
        <v>0</v>
      </c>
      <c r="J894" t="n">
        <v>0</v>
      </c>
      <c r="K894" t="n">
        <v>0</v>
      </c>
      <c r="L894" t="n">
        <v>0</v>
      </c>
      <c r="M894" t="n">
        <v>0</v>
      </c>
      <c r="N894" t="n">
        <v>0</v>
      </c>
      <c r="O894" t="n">
        <v>0</v>
      </c>
      <c r="P894" t="n">
        <v>0</v>
      </c>
      <c r="Q894" t="n">
        <v>0</v>
      </c>
      <c r="R894" s="2" t="inlineStr"/>
    </row>
    <row r="895" ht="15" customHeight="1">
      <c r="A895" t="inlineStr">
        <is>
          <t>A 39186-2019</t>
        </is>
      </c>
      <c r="B895" s="1" t="n">
        <v>43690</v>
      </c>
      <c r="C895" s="1" t="n">
        <v>45797</v>
      </c>
      <c r="D895" t="inlineStr">
        <is>
          <t>ÖREBRO LÄN</t>
        </is>
      </c>
      <c r="E895" t="inlineStr">
        <is>
          <t>ASKERSUND</t>
        </is>
      </c>
      <c r="G895" t="n">
        <v>1.9</v>
      </c>
      <c r="H895" t="n">
        <v>0</v>
      </c>
      <c r="I895" t="n">
        <v>0</v>
      </c>
      <c r="J895" t="n">
        <v>0</v>
      </c>
      <c r="K895" t="n">
        <v>0</v>
      </c>
      <c r="L895" t="n">
        <v>0</v>
      </c>
      <c r="M895" t="n">
        <v>0</v>
      </c>
      <c r="N895" t="n">
        <v>0</v>
      </c>
      <c r="O895" t="n">
        <v>0</v>
      </c>
      <c r="P895" t="n">
        <v>0</v>
      </c>
      <c r="Q895" t="n">
        <v>0</v>
      </c>
      <c r="R895" s="2" t="inlineStr"/>
    </row>
    <row r="896" ht="15" customHeight="1">
      <c r="A896" t="inlineStr">
        <is>
          <t>A 39468-2019</t>
        </is>
      </c>
      <c r="B896" s="1" t="n">
        <v>43691</v>
      </c>
      <c r="C896" s="1" t="n">
        <v>45797</v>
      </c>
      <c r="D896" t="inlineStr">
        <is>
          <t>ÖREBRO LÄN</t>
        </is>
      </c>
      <c r="E896" t="inlineStr">
        <is>
          <t>KARLSKOGA</t>
        </is>
      </c>
      <c r="F896" t="inlineStr">
        <is>
          <t>Sveaskog</t>
        </is>
      </c>
      <c r="G896" t="n">
        <v>6.4</v>
      </c>
      <c r="H896" t="n">
        <v>0</v>
      </c>
      <c r="I896" t="n">
        <v>0</v>
      </c>
      <c r="J896" t="n">
        <v>0</v>
      </c>
      <c r="K896" t="n">
        <v>0</v>
      </c>
      <c r="L896" t="n">
        <v>0</v>
      </c>
      <c r="M896" t="n">
        <v>0</v>
      </c>
      <c r="N896" t="n">
        <v>0</v>
      </c>
      <c r="O896" t="n">
        <v>0</v>
      </c>
      <c r="P896" t="n">
        <v>0</v>
      </c>
      <c r="Q896" t="n">
        <v>0</v>
      </c>
      <c r="R896" s="2" t="inlineStr"/>
    </row>
    <row r="897" ht="15" customHeight="1">
      <c r="A897" t="inlineStr">
        <is>
          <t>A 39520-2019</t>
        </is>
      </c>
      <c r="B897" s="1" t="n">
        <v>43691</v>
      </c>
      <c r="C897" s="1" t="n">
        <v>45797</v>
      </c>
      <c r="D897" t="inlineStr">
        <is>
          <t>ÖREBRO LÄN</t>
        </is>
      </c>
      <c r="E897" t="inlineStr">
        <is>
          <t>ASKERSUND</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39576-2019</t>
        </is>
      </c>
      <c r="B898" s="1" t="n">
        <v>43691</v>
      </c>
      <c r="C898" s="1" t="n">
        <v>45797</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39469-2019</t>
        </is>
      </c>
      <c r="B899" s="1" t="n">
        <v>43691</v>
      </c>
      <c r="C899" s="1" t="n">
        <v>45797</v>
      </c>
      <c r="D899" t="inlineStr">
        <is>
          <t>ÖREBRO LÄN</t>
        </is>
      </c>
      <c r="E899" t="inlineStr">
        <is>
          <t>KARLSKOGA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39517-2019</t>
        </is>
      </c>
      <c r="B900" s="1" t="n">
        <v>43691</v>
      </c>
      <c r="C900" s="1" t="n">
        <v>45797</v>
      </c>
      <c r="D900" t="inlineStr">
        <is>
          <t>ÖREBRO LÄN</t>
        </is>
      </c>
      <c r="E900" t="inlineStr">
        <is>
          <t>ASKERSUND</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39516-2019</t>
        </is>
      </c>
      <c r="B901" s="1" t="n">
        <v>43691</v>
      </c>
      <c r="C901" s="1" t="n">
        <v>45797</v>
      </c>
      <c r="D901" t="inlineStr">
        <is>
          <t>ÖREBRO LÄN</t>
        </is>
      </c>
      <c r="E901" t="inlineStr">
        <is>
          <t>ASKERSUND</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39531-2019</t>
        </is>
      </c>
      <c r="B902" s="1" t="n">
        <v>43691</v>
      </c>
      <c r="C902" s="1" t="n">
        <v>45797</v>
      </c>
      <c r="D902" t="inlineStr">
        <is>
          <t>ÖREBRO LÄN</t>
        </is>
      </c>
      <c r="E902" t="inlineStr">
        <is>
          <t>LINDESBERG</t>
        </is>
      </c>
      <c r="G902" t="n">
        <v>1</v>
      </c>
      <c r="H902" t="n">
        <v>0</v>
      </c>
      <c r="I902" t="n">
        <v>0</v>
      </c>
      <c r="J902" t="n">
        <v>0</v>
      </c>
      <c r="K902" t="n">
        <v>0</v>
      </c>
      <c r="L902" t="n">
        <v>0</v>
      </c>
      <c r="M902" t="n">
        <v>0</v>
      </c>
      <c r="N902" t="n">
        <v>0</v>
      </c>
      <c r="O902" t="n">
        <v>0</v>
      </c>
      <c r="P902" t="n">
        <v>0</v>
      </c>
      <c r="Q902" t="n">
        <v>0</v>
      </c>
      <c r="R902" s="2" t="inlineStr"/>
    </row>
    <row r="903" ht="15" customHeight="1">
      <c r="A903" t="inlineStr">
        <is>
          <t>A 39714-2019</t>
        </is>
      </c>
      <c r="B903" s="1" t="n">
        <v>43691</v>
      </c>
      <c r="C903" s="1" t="n">
        <v>45797</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40694-2019</t>
        </is>
      </c>
      <c r="B904" s="1" t="n">
        <v>43691</v>
      </c>
      <c r="C904" s="1" t="n">
        <v>45797</v>
      </c>
      <c r="D904" t="inlineStr">
        <is>
          <t>ÖREBRO LÄN</t>
        </is>
      </c>
      <c r="E904" t="inlineStr">
        <is>
          <t>ÖREBRO</t>
        </is>
      </c>
      <c r="F904" t="inlineStr">
        <is>
          <t>Kommuner</t>
        </is>
      </c>
      <c r="G904" t="n">
        <v>4</v>
      </c>
      <c r="H904" t="n">
        <v>0</v>
      </c>
      <c r="I904" t="n">
        <v>0</v>
      </c>
      <c r="J904" t="n">
        <v>0</v>
      </c>
      <c r="K904" t="n">
        <v>0</v>
      </c>
      <c r="L904" t="n">
        <v>0</v>
      </c>
      <c r="M904" t="n">
        <v>0</v>
      </c>
      <c r="N904" t="n">
        <v>0</v>
      </c>
      <c r="O904" t="n">
        <v>0</v>
      </c>
      <c r="P904" t="n">
        <v>0</v>
      </c>
      <c r="Q904" t="n">
        <v>0</v>
      </c>
      <c r="R904" s="2" t="inlineStr"/>
    </row>
    <row r="905" ht="15" customHeight="1">
      <c r="A905" t="inlineStr">
        <is>
          <t>A 39679-2019</t>
        </is>
      </c>
      <c r="B905" s="1" t="n">
        <v>43691</v>
      </c>
      <c r="C905" s="1" t="n">
        <v>45797</v>
      </c>
      <c r="D905" t="inlineStr">
        <is>
          <t>ÖREBRO LÄN</t>
        </is>
      </c>
      <c r="E905" t="inlineStr">
        <is>
          <t>NORA</t>
        </is>
      </c>
      <c r="G905" t="n">
        <v>1.6</v>
      </c>
      <c r="H905" t="n">
        <v>0</v>
      </c>
      <c r="I905" t="n">
        <v>0</v>
      </c>
      <c r="J905" t="n">
        <v>0</v>
      </c>
      <c r="K905" t="n">
        <v>0</v>
      </c>
      <c r="L905" t="n">
        <v>0</v>
      </c>
      <c r="M905" t="n">
        <v>0</v>
      </c>
      <c r="N905" t="n">
        <v>0</v>
      </c>
      <c r="O905" t="n">
        <v>0</v>
      </c>
      <c r="P905" t="n">
        <v>0</v>
      </c>
      <c r="Q905" t="n">
        <v>0</v>
      </c>
      <c r="R905" s="2" t="inlineStr"/>
    </row>
    <row r="906" ht="15" customHeight="1">
      <c r="A906" t="inlineStr">
        <is>
          <t>A 40556-2019</t>
        </is>
      </c>
      <c r="B906" s="1" t="n">
        <v>43691</v>
      </c>
      <c r="C906" s="1" t="n">
        <v>45797</v>
      </c>
      <c r="D906" t="inlineStr">
        <is>
          <t>ÖREBRO LÄN</t>
        </is>
      </c>
      <c r="E906" t="inlineStr">
        <is>
          <t>ÖREBRO</t>
        </is>
      </c>
      <c r="G906" t="n">
        <v>6.5</v>
      </c>
      <c r="H906" t="n">
        <v>0</v>
      </c>
      <c r="I906" t="n">
        <v>0</v>
      </c>
      <c r="J906" t="n">
        <v>0</v>
      </c>
      <c r="K906" t="n">
        <v>0</v>
      </c>
      <c r="L906" t="n">
        <v>0</v>
      </c>
      <c r="M906" t="n">
        <v>0</v>
      </c>
      <c r="N906" t="n">
        <v>0</v>
      </c>
      <c r="O906" t="n">
        <v>0</v>
      </c>
      <c r="P906" t="n">
        <v>0</v>
      </c>
      <c r="Q906" t="n">
        <v>0</v>
      </c>
      <c r="R906" s="2" t="inlineStr"/>
    </row>
    <row r="907" ht="15" customHeight="1">
      <c r="A907" t="inlineStr">
        <is>
          <t>A 39879-2019</t>
        </is>
      </c>
      <c r="B907" s="1" t="n">
        <v>43692</v>
      </c>
      <c r="C907" s="1" t="n">
        <v>45797</v>
      </c>
      <c r="D907" t="inlineStr">
        <is>
          <t>ÖREBRO LÄN</t>
        </is>
      </c>
      <c r="E907" t="inlineStr">
        <is>
          <t>HALLSBERG</t>
        </is>
      </c>
      <c r="G907" t="n">
        <v>1.4</v>
      </c>
      <c r="H907" t="n">
        <v>0</v>
      </c>
      <c r="I907" t="n">
        <v>0</v>
      </c>
      <c r="J907" t="n">
        <v>0</v>
      </c>
      <c r="K907" t="n">
        <v>0</v>
      </c>
      <c r="L907" t="n">
        <v>0</v>
      </c>
      <c r="M907" t="n">
        <v>0</v>
      </c>
      <c r="N907" t="n">
        <v>0</v>
      </c>
      <c r="O907" t="n">
        <v>0</v>
      </c>
      <c r="P907" t="n">
        <v>0</v>
      </c>
      <c r="Q907" t="n">
        <v>0</v>
      </c>
      <c r="R907" s="2" t="inlineStr"/>
    </row>
    <row r="908" ht="15" customHeight="1">
      <c r="A908" t="inlineStr">
        <is>
          <t>A 40171-2019</t>
        </is>
      </c>
      <c r="B908" s="1" t="n">
        <v>43693</v>
      </c>
      <c r="C908" s="1" t="n">
        <v>45797</v>
      </c>
      <c r="D908" t="inlineStr">
        <is>
          <t>ÖREBRO LÄN</t>
        </is>
      </c>
      <c r="E908" t="inlineStr">
        <is>
          <t>HÄLLEFORS</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40161-2019</t>
        </is>
      </c>
      <c r="B909" s="1" t="n">
        <v>43693</v>
      </c>
      <c r="C909" s="1" t="n">
        <v>45797</v>
      </c>
      <c r="D909" t="inlineStr">
        <is>
          <t>ÖREBRO LÄN</t>
        </is>
      </c>
      <c r="E909" t="inlineStr">
        <is>
          <t>ASKERSUND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40155-2019</t>
        </is>
      </c>
      <c r="B910" s="1" t="n">
        <v>43693</v>
      </c>
      <c r="C910" s="1" t="n">
        <v>45797</v>
      </c>
      <c r="D910" t="inlineStr">
        <is>
          <t>ÖREBRO LÄN</t>
        </is>
      </c>
      <c r="E910" t="inlineStr">
        <is>
          <t>ASKERSUND</t>
        </is>
      </c>
      <c r="G910" t="n">
        <v>1.5</v>
      </c>
      <c r="H910" t="n">
        <v>0</v>
      </c>
      <c r="I910" t="n">
        <v>0</v>
      </c>
      <c r="J910" t="n">
        <v>0</v>
      </c>
      <c r="K910" t="n">
        <v>0</v>
      </c>
      <c r="L910" t="n">
        <v>0</v>
      </c>
      <c r="M910" t="n">
        <v>0</v>
      </c>
      <c r="N910" t="n">
        <v>0</v>
      </c>
      <c r="O910" t="n">
        <v>0</v>
      </c>
      <c r="P910" t="n">
        <v>0</v>
      </c>
      <c r="Q910" t="n">
        <v>0</v>
      </c>
      <c r="R910" s="2" t="inlineStr"/>
    </row>
    <row r="911" ht="15" customHeight="1">
      <c r="A911" t="inlineStr">
        <is>
          <t>A 40228-2019</t>
        </is>
      </c>
      <c r="B911" s="1" t="n">
        <v>43693</v>
      </c>
      <c r="C911" s="1" t="n">
        <v>45797</v>
      </c>
      <c r="D911" t="inlineStr">
        <is>
          <t>ÖREBRO LÄN</t>
        </is>
      </c>
      <c r="E911" t="inlineStr">
        <is>
          <t>LINDESBERG</t>
        </is>
      </c>
      <c r="G911" t="n">
        <v>0.9</v>
      </c>
      <c r="H911" t="n">
        <v>0</v>
      </c>
      <c r="I911" t="n">
        <v>0</v>
      </c>
      <c r="J911" t="n">
        <v>0</v>
      </c>
      <c r="K911" t="n">
        <v>0</v>
      </c>
      <c r="L911" t="n">
        <v>0</v>
      </c>
      <c r="M911" t="n">
        <v>0</v>
      </c>
      <c r="N911" t="n">
        <v>0</v>
      </c>
      <c r="O911" t="n">
        <v>0</v>
      </c>
      <c r="P911" t="n">
        <v>0</v>
      </c>
      <c r="Q911" t="n">
        <v>0</v>
      </c>
      <c r="R911" s="2" t="inlineStr"/>
    </row>
    <row r="912" ht="15" customHeight="1">
      <c r="A912" t="inlineStr">
        <is>
          <t>A 40580-2019</t>
        </is>
      </c>
      <c r="B912" s="1" t="n">
        <v>43696</v>
      </c>
      <c r="C912" s="1" t="n">
        <v>45797</v>
      </c>
      <c r="D912" t="inlineStr">
        <is>
          <t>ÖREBRO LÄN</t>
        </is>
      </c>
      <c r="E912" t="inlineStr">
        <is>
          <t>ASKERSUND</t>
        </is>
      </c>
      <c r="G912" t="n">
        <v>0.9</v>
      </c>
      <c r="H912" t="n">
        <v>0</v>
      </c>
      <c r="I912" t="n">
        <v>0</v>
      </c>
      <c r="J912" t="n">
        <v>0</v>
      </c>
      <c r="K912" t="n">
        <v>0</v>
      </c>
      <c r="L912" t="n">
        <v>0</v>
      </c>
      <c r="M912" t="n">
        <v>0</v>
      </c>
      <c r="N912" t="n">
        <v>0</v>
      </c>
      <c r="O912" t="n">
        <v>0</v>
      </c>
      <c r="P912" t="n">
        <v>0</v>
      </c>
      <c r="Q912" t="n">
        <v>0</v>
      </c>
      <c r="R912" s="2" t="inlineStr"/>
    </row>
    <row r="913" ht="15" customHeight="1">
      <c r="A913" t="inlineStr">
        <is>
          <t>A 40579-2019</t>
        </is>
      </c>
      <c r="B913" s="1" t="n">
        <v>43696</v>
      </c>
      <c r="C913" s="1" t="n">
        <v>45797</v>
      </c>
      <c r="D913" t="inlineStr">
        <is>
          <t>ÖREBRO LÄN</t>
        </is>
      </c>
      <c r="E913" t="inlineStr">
        <is>
          <t>ASKERSUND</t>
        </is>
      </c>
      <c r="G913" t="n">
        <v>0.5</v>
      </c>
      <c r="H913" t="n">
        <v>0</v>
      </c>
      <c r="I913" t="n">
        <v>0</v>
      </c>
      <c r="J913" t="n">
        <v>0</v>
      </c>
      <c r="K913" t="n">
        <v>0</v>
      </c>
      <c r="L913" t="n">
        <v>0</v>
      </c>
      <c r="M913" t="n">
        <v>0</v>
      </c>
      <c r="N913" t="n">
        <v>0</v>
      </c>
      <c r="O913" t="n">
        <v>0</v>
      </c>
      <c r="P913" t="n">
        <v>0</v>
      </c>
      <c r="Q913" t="n">
        <v>0</v>
      </c>
      <c r="R913" s="2" t="inlineStr"/>
    </row>
    <row r="914" ht="15" customHeight="1">
      <c r="A914" t="inlineStr">
        <is>
          <t>A 40311-2019</t>
        </is>
      </c>
      <c r="B914" s="1" t="n">
        <v>43696</v>
      </c>
      <c r="C914" s="1" t="n">
        <v>45797</v>
      </c>
      <c r="D914" t="inlineStr">
        <is>
          <t>ÖREBRO LÄN</t>
        </is>
      </c>
      <c r="E914" t="inlineStr">
        <is>
          <t>HÄLLEFORS</t>
        </is>
      </c>
      <c r="G914" t="n">
        <v>1.8</v>
      </c>
      <c r="H914" t="n">
        <v>0</v>
      </c>
      <c r="I914" t="n">
        <v>0</v>
      </c>
      <c r="J914" t="n">
        <v>0</v>
      </c>
      <c r="K914" t="n">
        <v>0</v>
      </c>
      <c r="L914" t="n">
        <v>0</v>
      </c>
      <c r="M914" t="n">
        <v>0</v>
      </c>
      <c r="N914" t="n">
        <v>0</v>
      </c>
      <c r="O914" t="n">
        <v>0</v>
      </c>
      <c r="P914" t="n">
        <v>0</v>
      </c>
      <c r="Q914" t="n">
        <v>0</v>
      </c>
      <c r="R914" s="2" t="inlineStr"/>
    </row>
    <row r="915" ht="15" customHeight="1">
      <c r="A915" t="inlineStr">
        <is>
          <t>A 41245-2019</t>
        </is>
      </c>
      <c r="B915" s="1" t="n">
        <v>43696</v>
      </c>
      <c r="C915" s="1" t="n">
        <v>45797</v>
      </c>
      <c r="D915" t="inlineStr">
        <is>
          <t>ÖREBRO LÄN</t>
        </is>
      </c>
      <c r="E915" t="inlineStr">
        <is>
          <t>LAXÅ</t>
        </is>
      </c>
      <c r="G915" t="n">
        <v>1.7</v>
      </c>
      <c r="H915" t="n">
        <v>0</v>
      </c>
      <c r="I915" t="n">
        <v>0</v>
      </c>
      <c r="J915" t="n">
        <v>0</v>
      </c>
      <c r="K915" t="n">
        <v>0</v>
      </c>
      <c r="L915" t="n">
        <v>0</v>
      </c>
      <c r="M915" t="n">
        <v>0</v>
      </c>
      <c r="N915" t="n">
        <v>0</v>
      </c>
      <c r="O915" t="n">
        <v>0</v>
      </c>
      <c r="P915" t="n">
        <v>0</v>
      </c>
      <c r="Q915" t="n">
        <v>0</v>
      </c>
      <c r="R915" s="2" t="inlineStr"/>
    </row>
    <row r="916" ht="15" customHeight="1">
      <c r="A916" t="inlineStr">
        <is>
          <t>A 40968-2019</t>
        </is>
      </c>
      <c r="B916" s="1" t="n">
        <v>43697</v>
      </c>
      <c r="C916" s="1" t="n">
        <v>45797</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40720-2019</t>
        </is>
      </c>
      <c r="B917" s="1" t="n">
        <v>43697</v>
      </c>
      <c r="C917" s="1" t="n">
        <v>45797</v>
      </c>
      <c r="D917" t="inlineStr">
        <is>
          <t>ÖREBRO LÄN</t>
        </is>
      </c>
      <c r="E917" t="inlineStr">
        <is>
          <t>LJUSNARSBERG</t>
        </is>
      </c>
      <c r="G917" t="n">
        <v>2.6</v>
      </c>
      <c r="H917" t="n">
        <v>0</v>
      </c>
      <c r="I917" t="n">
        <v>0</v>
      </c>
      <c r="J917" t="n">
        <v>0</v>
      </c>
      <c r="K917" t="n">
        <v>0</v>
      </c>
      <c r="L917" t="n">
        <v>0</v>
      </c>
      <c r="M917" t="n">
        <v>0</v>
      </c>
      <c r="N917" t="n">
        <v>0</v>
      </c>
      <c r="O917" t="n">
        <v>0</v>
      </c>
      <c r="P917" t="n">
        <v>0</v>
      </c>
      <c r="Q917" t="n">
        <v>0</v>
      </c>
      <c r="R917" s="2" t="inlineStr"/>
    </row>
    <row r="918" ht="15" customHeight="1">
      <c r="A918" t="inlineStr">
        <is>
          <t>A 41159-2019</t>
        </is>
      </c>
      <c r="B918" s="1" t="n">
        <v>43698</v>
      </c>
      <c r="C918" s="1" t="n">
        <v>45797</v>
      </c>
      <c r="D918" t="inlineStr">
        <is>
          <t>ÖREBRO LÄN</t>
        </is>
      </c>
      <c r="E918" t="inlineStr">
        <is>
          <t>ASKERSUND</t>
        </is>
      </c>
      <c r="G918" t="n">
        <v>1.3</v>
      </c>
      <c r="H918" t="n">
        <v>0</v>
      </c>
      <c r="I918" t="n">
        <v>0</v>
      </c>
      <c r="J918" t="n">
        <v>0</v>
      </c>
      <c r="K918" t="n">
        <v>0</v>
      </c>
      <c r="L918" t="n">
        <v>0</v>
      </c>
      <c r="M918" t="n">
        <v>0</v>
      </c>
      <c r="N918" t="n">
        <v>0</v>
      </c>
      <c r="O918" t="n">
        <v>0</v>
      </c>
      <c r="P918" t="n">
        <v>0</v>
      </c>
      <c r="Q918" t="n">
        <v>0</v>
      </c>
      <c r="R918" s="2" t="inlineStr"/>
    </row>
    <row r="919" ht="15" customHeight="1">
      <c r="A919" t="inlineStr">
        <is>
          <t>A 41182-2019</t>
        </is>
      </c>
      <c r="B919" s="1" t="n">
        <v>43698</v>
      </c>
      <c r="C919" s="1" t="n">
        <v>45797</v>
      </c>
      <c r="D919" t="inlineStr">
        <is>
          <t>ÖREBRO LÄN</t>
        </is>
      </c>
      <c r="E919" t="inlineStr">
        <is>
          <t>HALLSBERG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41250-2019</t>
        </is>
      </c>
      <c r="B920" s="1" t="n">
        <v>43698</v>
      </c>
      <c r="C920" s="1" t="n">
        <v>45797</v>
      </c>
      <c r="D920" t="inlineStr">
        <is>
          <t>ÖREBRO LÄN</t>
        </is>
      </c>
      <c r="E920" t="inlineStr">
        <is>
          <t>HALLSBERG</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41174-2019</t>
        </is>
      </c>
      <c r="B921" s="1" t="n">
        <v>43698</v>
      </c>
      <c r="C921" s="1" t="n">
        <v>45797</v>
      </c>
      <c r="D921" t="inlineStr">
        <is>
          <t>ÖREBRO LÄN</t>
        </is>
      </c>
      <c r="E921" t="inlineStr">
        <is>
          <t>HALLSBERG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41184-2019</t>
        </is>
      </c>
      <c r="B922" s="1" t="n">
        <v>43698</v>
      </c>
      <c r="C922" s="1" t="n">
        <v>45797</v>
      </c>
      <c r="D922" t="inlineStr">
        <is>
          <t>ÖREBRO LÄN</t>
        </is>
      </c>
      <c r="E922" t="inlineStr">
        <is>
          <t>HALLSBERG</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41345-2019</t>
        </is>
      </c>
      <c r="B923" s="1" t="n">
        <v>43698</v>
      </c>
      <c r="C923" s="1" t="n">
        <v>45797</v>
      </c>
      <c r="D923" t="inlineStr">
        <is>
          <t>ÖREBRO LÄN</t>
        </is>
      </c>
      <c r="E923" t="inlineStr">
        <is>
          <t>HALLSBERG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41348-2019</t>
        </is>
      </c>
      <c r="B924" s="1" t="n">
        <v>43698</v>
      </c>
      <c r="C924" s="1" t="n">
        <v>45797</v>
      </c>
      <c r="D924" t="inlineStr">
        <is>
          <t>ÖREBRO LÄN</t>
        </is>
      </c>
      <c r="E924" t="inlineStr">
        <is>
          <t>HALLSBERG</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41063-2019</t>
        </is>
      </c>
      <c r="B925" s="1" t="n">
        <v>43698</v>
      </c>
      <c r="C925" s="1" t="n">
        <v>45797</v>
      </c>
      <c r="D925" t="inlineStr">
        <is>
          <t>ÖREBRO LÄN</t>
        </is>
      </c>
      <c r="E925" t="inlineStr">
        <is>
          <t>ÖREBRO</t>
        </is>
      </c>
      <c r="G925" t="n">
        <v>2.9</v>
      </c>
      <c r="H925" t="n">
        <v>0</v>
      </c>
      <c r="I925" t="n">
        <v>0</v>
      </c>
      <c r="J925" t="n">
        <v>0</v>
      </c>
      <c r="K925" t="n">
        <v>0</v>
      </c>
      <c r="L925" t="n">
        <v>0</v>
      </c>
      <c r="M925" t="n">
        <v>0</v>
      </c>
      <c r="N925" t="n">
        <v>0</v>
      </c>
      <c r="O925" t="n">
        <v>0</v>
      </c>
      <c r="P925" t="n">
        <v>0</v>
      </c>
      <c r="Q925" t="n">
        <v>0</v>
      </c>
      <c r="R925" s="2" t="inlineStr"/>
    </row>
    <row r="926" ht="15" customHeight="1">
      <c r="A926" t="inlineStr">
        <is>
          <t>A 41542-2019</t>
        </is>
      </c>
      <c r="B926" s="1" t="n">
        <v>43699</v>
      </c>
      <c r="C926" s="1" t="n">
        <v>45797</v>
      </c>
      <c r="D926" t="inlineStr">
        <is>
          <t>ÖREBRO LÄN</t>
        </is>
      </c>
      <c r="E926" t="inlineStr">
        <is>
          <t>LINDESBERG</t>
        </is>
      </c>
      <c r="G926" t="n">
        <v>3</v>
      </c>
      <c r="H926" t="n">
        <v>0</v>
      </c>
      <c r="I926" t="n">
        <v>0</v>
      </c>
      <c r="J926" t="n">
        <v>0</v>
      </c>
      <c r="K926" t="n">
        <v>0</v>
      </c>
      <c r="L926" t="n">
        <v>0</v>
      </c>
      <c r="M926" t="n">
        <v>0</v>
      </c>
      <c r="N926" t="n">
        <v>0</v>
      </c>
      <c r="O926" t="n">
        <v>0</v>
      </c>
      <c r="P926" t="n">
        <v>0</v>
      </c>
      <c r="Q926" t="n">
        <v>0</v>
      </c>
      <c r="R926" s="2" t="inlineStr"/>
    </row>
    <row r="927" ht="15" customHeight="1">
      <c r="A927" t="inlineStr">
        <is>
          <t>A 41566-2019</t>
        </is>
      </c>
      <c r="B927" s="1" t="n">
        <v>43699</v>
      </c>
      <c r="C927" s="1" t="n">
        <v>45797</v>
      </c>
      <c r="D927" t="inlineStr">
        <is>
          <t>ÖREBRO LÄN</t>
        </is>
      </c>
      <c r="E927" t="inlineStr">
        <is>
          <t>LINDESBERG</t>
        </is>
      </c>
      <c r="G927" t="n">
        <v>4.7</v>
      </c>
      <c r="H927" t="n">
        <v>0</v>
      </c>
      <c r="I927" t="n">
        <v>0</v>
      </c>
      <c r="J927" t="n">
        <v>0</v>
      </c>
      <c r="K927" t="n">
        <v>0</v>
      </c>
      <c r="L927" t="n">
        <v>0</v>
      </c>
      <c r="M927" t="n">
        <v>0</v>
      </c>
      <c r="N927" t="n">
        <v>0</v>
      </c>
      <c r="O927" t="n">
        <v>0</v>
      </c>
      <c r="P927" t="n">
        <v>0</v>
      </c>
      <c r="Q927" t="n">
        <v>0</v>
      </c>
      <c r="R927" s="2" t="inlineStr"/>
    </row>
    <row r="928" ht="15" customHeight="1">
      <c r="A928" t="inlineStr">
        <is>
          <t>A 41587-2019</t>
        </is>
      </c>
      <c r="B928" s="1" t="n">
        <v>43699</v>
      </c>
      <c r="C928" s="1" t="n">
        <v>45797</v>
      </c>
      <c r="D928" t="inlineStr">
        <is>
          <t>ÖREBRO LÄN</t>
        </is>
      </c>
      <c r="E928" t="inlineStr">
        <is>
          <t>LINDESBERG</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41592-2019</t>
        </is>
      </c>
      <c r="B929" s="1" t="n">
        <v>43699</v>
      </c>
      <c r="C929" s="1" t="n">
        <v>45797</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41864-2019</t>
        </is>
      </c>
      <c r="B930" s="1" t="n">
        <v>43700</v>
      </c>
      <c r="C930" s="1" t="n">
        <v>45797</v>
      </c>
      <c r="D930" t="inlineStr">
        <is>
          <t>ÖREBRO LÄN</t>
        </is>
      </c>
      <c r="E930" t="inlineStr">
        <is>
          <t>HALLSBERG</t>
        </is>
      </c>
      <c r="G930" t="n">
        <v>1.7</v>
      </c>
      <c r="H930" t="n">
        <v>0</v>
      </c>
      <c r="I930" t="n">
        <v>0</v>
      </c>
      <c r="J930" t="n">
        <v>0</v>
      </c>
      <c r="K930" t="n">
        <v>0</v>
      </c>
      <c r="L930" t="n">
        <v>0</v>
      </c>
      <c r="M930" t="n">
        <v>0</v>
      </c>
      <c r="N930" t="n">
        <v>0</v>
      </c>
      <c r="O930" t="n">
        <v>0</v>
      </c>
      <c r="P930" t="n">
        <v>0</v>
      </c>
      <c r="Q930" t="n">
        <v>0</v>
      </c>
      <c r="R930" s="2" t="inlineStr"/>
    </row>
    <row r="931" ht="15" customHeight="1">
      <c r="A931" t="inlineStr">
        <is>
          <t>A 41857-2019</t>
        </is>
      </c>
      <c r="B931" s="1" t="n">
        <v>43700</v>
      </c>
      <c r="C931" s="1" t="n">
        <v>45797</v>
      </c>
      <c r="D931" t="inlineStr">
        <is>
          <t>ÖREBRO LÄN</t>
        </is>
      </c>
      <c r="E931" t="inlineStr">
        <is>
          <t>ASKERSUND</t>
        </is>
      </c>
      <c r="G931" t="n">
        <v>8.4</v>
      </c>
      <c r="H931" t="n">
        <v>0</v>
      </c>
      <c r="I931" t="n">
        <v>0</v>
      </c>
      <c r="J931" t="n">
        <v>0</v>
      </c>
      <c r="K931" t="n">
        <v>0</v>
      </c>
      <c r="L931" t="n">
        <v>0</v>
      </c>
      <c r="M931" t="n">
        <v>0</v>
      </c>
      <c r="N931" t="n">
        <v>0</v>
      </c>
      <c r="O931" t="n">
        <v>0</v>
      </c>
      <c r="P931" t="n">
        <v>0</v>
      </c>
      <c r="Q931" t="n">
        <v>0</v>
      </c>
      <c r="R931" s="2" t="inlineStr"/>
    </row>
    <row r="932" ht="15" customHeight="1">
      <c r="A932" t="inlineStr">
        <is>
          <t>A 42281-2019</t>
        </is>
      </c>
      <c r="B932" s="1" t="n">
        <v>43703</v>
      </c>
      <c r="C932" s="1" t="n">
        <v>45797</v>
      </c>
      <c r="D932" t="inlineStr">
        <is>
          <t>ÖREBRO LÄN</t>
        </is>
      </c>
      <c r="E932" t="inlineStr">
        <is>
          <t>HALLSBERG</t>
        </is>
      </c>
      <c r="G932" t="n">
        <v>0.9</v>
      </c>
      <c r="H932" t="n">
        <v>0</v>
      </c>
      <c r="I932" t="n">
        <v>0</v>
      </c>
      <c r="J932" t="n">
        <v>0</v>
      </c>
      <c r="K932" t="n">
        <v>0</v>
      </c>
      <c r="L932" t="n">
        <v>0</v>
      </c>
      <c r="M932" t="n">
        <v>0</v>
      </c>
      <c r="N932" t="n">
        <v>0</v>
      </c>
      <c r="O932" t="n">
        <v>0</v>
      </c>
      <c r="P932" t="n">
        <v>0</v>
      </c>
      <c r="Q932" t="n">
        <v>0</v>
      </c>
      <c r="R932" s="2" t="inlineStr"/>
    </row>
    <row r="933" ht="15" customHeight="1">
      <c r="A933" t="inlineStr">
        <is>
          <t>A 42351-2019</t>
        </is>
      </c>
      <c r="B933" s="1" t="n">
        <v>43703</v>
      </c>
      <c r="C933" s="1" t="n">
        <v>45797</v>
      </c>
      <c r="D933" t="inlineStr">
        <is>
          <t>ÖREBRO LÄN</t>
        </is>
      </c>
      <c r="E933" t="inlineStr">
        <is>
          <t>LEKEBERG</t>
        </is>
      </c>
      <c r="G933" t="n">
        <v>6.3</v>
      </c>
      <c r="H933" t="n">
        <v>0</v>
      </c>
      <c r="I933" t="n">
        <v>0</v>
      </c>
      <c r="J933" t="n">
        <v>0</v>
      </c>
      <c r="K933" t="n">
        <v>0</v>
      </c>
      <c r="L933" t="n">
        <v>0</v>
      </c>
      <c r="M933" t="n">
        <v>0</v>
      </c>
      <c r="N933" t="n">
        <v>0</v>
      </c>
      <c r="O933" t="n">
        <v>0</v>
      </c>
      <c r="P933" t="n">
        <v>0</v>
      </c>
      <c r="Q933" t="n">
        <v>0</v>
      </c>
      <c r="R933" s="2" t="inlineStr"/>
    </row>
    <row r="934" ht="15" customHeight="1">
      <c r="A934" t="inlineStr">
        <is>
          <t>A 43828-2019</t>
        </is>
      </c>
      <c r="B934" s="1" t="n">
        <v>43704</v>
      </c>
      <c r="C934" s="1" t="n">
        <v>45797</v>
      </c>
      <c r="D934" t="inlineStr">
        <is>
          <t>ÖREBRO LÄN</t>
        </is>
      </c>
      <c r="E934" t="inlineStr">
        <is>
          <t>HALLSBERG</t>
        </is>
      </c>
      <c r="G934" t="n">
        <v>0.9</v>
      </c>
      <c r="H934" t="n">
        <v>0</v>
      </c>
      <c r="I934" t="n">
        <v>0</v>
      </c>
      <c r="J934" t="n">
        <v>0</v>
      </c>
      <c r="K934" t="n">
        <v>0</v>
      </c>
      <c r="L934" t="n">
        <v>0</v>
      </c>
      <c r="M934" t="n">
        <v>0</v>
      </c>
      <c r="N934" t="n">
        <v>0</v>
      </c>
      <c r="O934" t="n">
        <v>0</v>
      </c>
      <c r="P934" t="n">
        <v>0</v>
      </c>
      <c r="Q934" t="n">
        <v>0</v>
      </c>
      <c r="R934" s="2" t="inlineStr"/>
    </row>
    <row r="935" ht="15" customHeight="1">
      <c r="A935" t="inlineStr">
        <is>
          <t>A 44039-2019</t>
        </is>
      </c>
      <c r="B935" s="1" t="n">
        <v>43704</v>
      </c>
      <c r="C935" s="1" t="n">
        <v>45797</v>
      </c>
      <c r="D935" t="inlineStr">
        <is>
          <t>ÖREBRO LÄN</t>
        </is>
      </c>
      <c r="E935" t="inlineStr">
        <is>
          <t>ÖREBRO</t>
        </is>
      </c>
      <c r="F935" t="inlineStr">
        <is>
          <t>Kommuner</t>
        </is>
      </c>
      <c r="G935" t="n">
        <v>0.5</v>
      </c>
      <c r="H935" t="n">
        <v>0</v>
      </c>
      <c r="I935" t="n">
        <v>0</v>
      </c>
      <c r="J935" t="n">
        <v>0</v>
      </c>
      <c r="K935" t="n">
        <v>0</v>
      </c>
      <c r="L935" t="n">
        <v>0</v>
      </c>
      <c r="M935" t="n">
        <v>0</v>
      </c>
      <c r="N935" t="n">
        <v>0</v>
      </c>
      <c r="O935" t="n">
        <v>0</v>
      </c>
      <c r="P935" t="n">
        <v>0</v>
      </c>
      <c r="Q935" t="n">
        <v>0</v>
      </c>
      <c r="R935" s="2" t="inlineStr"/>
    </row>
    <row r="936" ht="15" customHeight="1">
      <c r="A936" t="inlineStr">
        <is>
          <t>A 43692-2019</t>
        </is>
      </c>
      <c r="B936" s="1" t="n">
        <v>43704</v>
      </c>
      <c r="C936" s="1" t="n">
        <v>45797</v>
      </c>
      <c r="D936" t="inlineStr">
        <is>
          <t>ÖREBRO LÄN</t>
        </is>
      </c>
      <c r="E936" t="inlineStr">
        <is>
          <t>ÖREBRO</t>
        </is>
      </c>
      <c r="G936" t="n">
        <v>0.9</v>
      </c>
      <c r="H936" t="n">
        <v>0</v>
      </c>
      <c r="I936" t="n">
        <v>0</v>
      </c>
      <c r="J936" t="n">
        <v>0</v>
      </c>
      <c r="K936" t="n">
        <v>0</v>
      </c>
      <c r="L936" t="n">
        <v>0</v>
      </c>
      <c r="M936" t="n">
        <v>0</v>
      </c>
      <c r="N936" t="n">
        <v>0</v>
      </c>
      <c r="O936" t="n">
        <v>0</v>
      </c>
      <c r="P936" t="n">
        <v>0</v>
      </c>
      <c r="Q936" t="n">
        <v>0</v>
      </c>
      <c r="R936" s="2" t="inlineStr"/>
    </row>
    <row r="937" ht="15" customHeight="1">
      <c r="A937" t="inlineStr">
        <is>
          <t>A 43642-2019</t>
        </is>
      </c>
      <c r="B937" s="1" t="n">
        <v>43704</v>
      </c>
      <c r="C937" s="1" t="n">
        <v>45797</v>
      </c>
      <c r="D937" t="inlineStr">
        <is>
          <t>ÖREBRO LÄN</t>
        </is>
      </c>
      <c r="E937" t="inlineStr">
        <is>
          <t>HALLSBERG</t>
        </is>
      </c>
      <c r="G937" t="n">
        <v>6.9</v>
      </c>
      <c r="H937" t="n">
        <v>0</v>
      </c>
      <c r="I937" t="n">
        <v>0</v>
      </c>
      <c r="J937" t="n">
        <v>0</v>
      </c>
      <c r="K937" t="n">
        <v>0</v>
      </c>
      <c r="L937" t="n">
        <v>0</v>
      </c>
      <c r="M937" t="n">
        <v>0</v>
      </c>
      <c r="N937" t="n">
        <v>0</v>
      </c>
      <c r="O937" t="n">
        <v>0</v>
      </c>
      <c r="P937" t="n">
        <v>0</v>
      </c>
      <c r="Q937" t="n">
        <v>0</v>
      </c>
      <c r="R937" s="2" t="inlineStr"/>
    </row>
    <row r="938" ht="15" customHeight="1">
      <c r="A938" t="inlineStr">
        <is>
          <t>A 43646-2019</t>
        </is>
      </c>
      <c r="B938" s="1" t="n">
        <v>43704</v>
      </c>
      <c r="C938" s="1" t="n">
        <v>45797</v>
      </c>
      <c r="D938" t="inlineStr">
        <is>
          <t>ÖREBRO LÄN</t>
        </is>
      </c>
      <c r="E938" t="inlineStr">
        <is>
          <t>HALLSBERG</t>
        </is>
      </c>
      <c r="G938" t="n">
        <v>6.5</v>
      </c>
      <c r="H938" t="n">
        <v>0</v>
      </c>
      <c r="I938" t="n">
        <v>0</v>
      </c>
      <c r="J938" t="n">
        <v>0</v>
      </c>
      <c r="K938" t="n">
        <v>0</v>
      </c>
      <c r="L938" t="n">
        <v>0</v>
      </c>
      <c r="M938" t="n">
        <v>0</v>
      </c>
      <c r="N938" t="n">
        <v>0</v>
      </c>
      <c r="O938" t="n">
        <v>0</v>
      </c>
      <c r="P938" t="n">
        <v>0</v>
      </c>
      <c r="Q938" t="n">
        <v>0</v>
      </c>
      <c r="R938" s="2" t="inlineStr"/>
    </row>
    <row r="939" ht="15" customHeight="1">
      <c r="A939" t="inlineStr">
        <is>
          <t>A 43822-2019</t>
        </is>
      </c>
      <c r="B939" s="1" t="n">
        <v>43704</v>
      </c>
      <c r="C939" s="1" t="n">
        <v>45797</v>
      </c>
      <c r="D939" t="inlineStr">
        <is>
          <t>ÖREBRO LÄN</t>
        </is>
      </c>
      <c r="E939" t="inlineStr">
        <is>
          <t>HALLSBERG</t>
        </is>
      </c>
      <c r="G939" t="n">
        <v>4.7</v>
      </c>
      <c r="H939" t="n">
        <v>0</v>
      </c>
      <c r="I939" t="n">
        <v>0</v>
      </c>
      <c r="J939" t="n">
        <v>0</v>
      </c>
      <c r="K939" t="n">
        <v>0</v>
      </c>
      <c r="L939" t="n">
        <v>0</v>
      </c>
      <c r="M939" t="n">
        <v>0</v>
      </c>
      <c r="N939" t="n">
        <v>0</v>
      </c>
      <c r="O939" t="n">
        <v>0</v>
      </c>
      <c r="P939" t="n">
        <v>0</v>
      </c>
      <c r="Q939" t="n">
        <v>0</v>
      </c>
      <c r="R939" s="2" t="inlineStr"/>
    </row>
    <row r="940" ht="15" customHeight="1">
      <c r="A940" t="inlineStr">
        <is>
          <t>A 44034-2019</t>
        </is>
      </c>
      <c r="B940" s="1" t="n">
        <v>43704</v>
      </c>
      <c r="C940" s="1" t="n">
        <v>45797</v>
      </c>
      <c r="D940" t="inlineStr">
        <is>
          <t>ÖREBRO LÄN</t>
        </is>
      </c>
      <c r="E940" t="inlineStr">
        <is>
          <t>ÖREBRO</t>
        </is>
      </c>
      <c r="F940" t="inlineStr">
        <is>
          <t>Kommuner</t>
        </is>
      </c>
      <c r="G940" t="n">
        <v>1.1</v>
      </c>
      <c r="H940" t="n">
        <v>0</v>
      </c>
      <c r="I940" t="n">
        <v>0</v>
      </c>
      <c r="J940" t="n">
        <v>0</v>
      </c>
      <c r="K940" t="n">
        <v>0</v>
      </c>
      <c r="L940" t="n">
        <v>0</v>
      </c>
      <c r="M940" t="n">
        <v>0</v>
      </c>
      <c r="N940" t="n">
        <v>0</v>
      </c>
      <c r="O940" t="n">
        <v>0</v>
      </c>
      <c r="P940" t="n">
        <v>0</v>
      </c>
      <c r="Q940" t="n">
        <v>0</v>
      </c>
      <c r="R940" s="2" t="inlineStr"/>
    </row>
    <row r="941" ht="15" customHeight="1">
      <c r="A941" t="inlineStr">
        <is>
          <t>A 43851-2019</t>
        </is>
      </c>
      <c r="B941" s="1" t="n">
        <v>43704</v>
      </c>
      <c r="C941" s="1" t="n">
        <v>45797</v>
      </c>
      <c r="D941" t="inlineStr">
        <is>
          <t>ÖREBRO LÄN</t>
        </is>
      </c>
      <c r="E941" t="inlineStr">
        <is>
          <t>HALLSBERG</t>
        </is>
      </c>
      <c r="G941" t="n">
        <v>8</v>
      </c>
      <c r="H941" t="n">
        <v>0</v>
      </c>
      <c r="I941" t="n">
        <v>0</v>
      </c>
      <c r="J941" t="n">
        <v>0</v>
      </c>
      <c r="K941" t="n">
        <v>0</v>
      </c>
      <c r="L941" t="n">
        <v>0</v>
      </c>
      <c r="M941" t="n">
        <v>0</v>
      </c>
      <c r="N941" t="n">
        <v>0</v>
      </c>
      <c r="O941" t="n">
        <v>0</v>
      </c>
      <c r="P941" t="n">
        <v>0</v>
      </c>
      <c r="Q941" t="n">
        <v>0</v>
      </c>
      <c r="R941" s="2" t="inlineStr"/>
    </row>
    <row r="942" ht="15" customHeight="1">
      <c r="A942" t="inlineStr">
        <is>
          <t>A 44152-2019</t>
        </is>
      </c>
      <c r="B942" s="1" t="n">
        <v>43704</v>
      </c>
      <c r="C942" s="1" t="n">
        <v>45797</v>
      </c>
      <c r="D942" t="inlineStr">
        <is>
          <t>ÖREBRO LÄN</t>
        </is>
      </c>
      <c r="E942" t="inlineStr">
        <is>
          <t>ÖREBRO</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43632-2019</t>
        </is>
      </c>
      <c r="B943" s="1" t="n">
        <v>43704</v>
      </c>
      <c r="C943" s="1" t="n">
        <v>45797</v>
      </c>
      <c r="D943" t="inlineStr">
        <is>
          <t>ÖREBRO LÄN</t>
        </is>
      </c>
      <c r="E943" t="inlineStr">
        <is>
          <t>ÖREBRO</t>
        </is>
      </c>
      <c r="G943" t="n">
        <v>4.7</v>
      </c>
      <c r="H943" t="n">
        <v>0</v>
      </c>
      <c r="I943" t="n">
        <v>0</v>
      </c>
      <c r="J943" t="n">
        <v>0</v>
      </c>
      <c r="K943" t="n">
        <v>0</v>
      </c>
      <c r="L943" t="n">
        <v>0</v>
      </c>
      <c r="M943" t="n">
        <v>0</v>
      </c>
      <c r="N943" t="n">
        <v>0</v>
      </c>
      <c r="O943" t="n">
        <v>0</v>
      </c>
      <c r="P943" t="n">
        <v>0</v>
      </c>
      <c r="Q943" t="n">
        <v>0</v>
      </c>
      <c r="R943" s="2" t="inlineStr"/>
    </row>
    <row r="944" ht="15" customHeight="1">
      <c r="A944" t="inlineStr">
        <is>
          <t>A 43442-2019</t>
        </is>
      </c>
      <c r="B944" s="1" t="n">
        <v>43704</v>
      </c>
      <c r="C944" s="1" t="n">
        <v>45797</v>
      </c>
      <c r="D944" t="inlineStr">
        <is>
          <t>ÖREBRO LÄN</t>
        </is>
      </c>
      <c r="E944" t="inlineStr">
        <is>
          <t>LAXÅ</t>
        </is>
      </c>
      <c r="G944" t="n">
        <v>1.1</v>
      </c>
      <c r="H944" t="n">
        <v>0</v>
      </c>
      <c r="I944" t="n">
        <v>0</v>
      </c>
      <c r="J944" t="n">
        <v>0</v>
      </c>
      <c r="K944" t="n">
        <v>0</v>
      </c>
      <c r="L944" t="n">
        <v>0</v>
      </c>
      <c r="M944" t="n">
        <v>0</v>
      </c>
      <c r="N944" t="n">
        <v>0</v>
      </c>
      <c r="O944" t="n">
        <v>0</v>
      </c>
      <c r="P944" t="n">
        <v>0</v>
      </c>
      <c r="Q944" t="n">
        <v>0</v>
      </c>
      <c r="R944" s="2" t="inlineStr"/>
    </row>
    <row r="945" ht="15" customHeight="1">
      <c r="A945" t="inlineStr">
        <is>
          <t>A 43007-2019</t>
        </is>
      </c>
      <c r="B945" s="1" t="n">
        <v>43705</v>
      </c>
      <c r="C945" s="1" t="n">
        <v>45797</v>
      </c>
      <c r="D945" t="inlineStr">
        <is>
          <t>ÖREBRO LÄN</t>
        </is>
      </c>
      <c r="E945" t="inlineStr">
        <is>
          <t>ÖREBRO</t>
        </is>
      </c>
      <c r="G945" t="n">
        <v>7.5</v>
      </c>
      <c r="H945" t="n">
        <v>0</v>
      </c>
      <c r="I945" t="n">
        <v>0</v>
      </c>
      <c r="J945" t="n">
        <v>0</v>
      </c>
      <c r="K945" t="n">
        <v>0</v>
      </c>
      <c r="L945" t="n">
        <v>0</v>
      </c>
      <c r="M945" t="n">
        <v>0</v>
      </c>
      <c r="N945" t="n">
        <v>0</v>
      </c>
      <c r="O945" t="n">
        <v>0</v>
      </c>
      <c r="P945" t="n">
        <v>0</v>
      </c>
      <c r="Q945" t="n">
        <v>0</v>
      </c>
      <c r="R945" s="2" t="inlineStr"/>
    </row>
    <row r="946" ht="15" customHeight="1">
      <c r="A946" t="inlineStr">
        <is>
          <t>A 43257-2019</t>
        </is>
      </c>
      <c r="B946" s="1" t="n">
        <v>43706</v>
      </c>
      <c r="C946" s="1" t="n">
        <v>45797</v>
      </c>
      <c r="D946" t="inlineStr">
        <is>
          <t>ÖREBRO LÄN</t>
        </is>
      </c>
      <c r="E946" t="inlineStr">
        <is>
          <t>ASKERSUND</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43266-2019</t>
        </is>
      </c>
      <c r="B947" s="1" t="n">
        <v>43706</v>
      </c>
      <c r="C947" s="1" t="n">
        <v>45797</v>
      </c>
      <c r="D947" t="inlineStr">
        <is>
          <t>ÖREBRO LÄN</t>
        </is>
      </c>
      <c r="E947" t="inlineStr">
        <is>
          <t>ASKERSUND</t>
        </is>
      </c>
      <c r="F947" t="inlineStr">
        <is>
          <t>Sveaskog</t>
        </is>
      </c>
      <c r="G947" t="n">
        <v>2.3</v>
      </c>
      <c r="H947" t="n">
        <v>0</v>
      </c>
      <c r="I947" t="n">
        <v>0</v>
      </c>
      <c r="J947" t="n">
        <v>0</v>
      </c>
      <c r="K947" t="n">
        <v>0</v>
      </c>
      <c r="L947" t="n">
        <v>0</v>
      </c>
      <c r="M947" t="n">
        <v>0</v>
      </c>
      <c r="N947" t="n">
        <v>0</v>
      </c>
      <c r="O947" t="n">
        <v>0</v>
      </c>
      <c r="P947" t="n">
        <v>0</v>
      </c>
      <c r="Q947" t="n">
        <v>0</v>
      </c>
      <c r="R947" s="2" t="inlineStr"/>
    </row>
    <row r="948" ht="15" customHeight="1">
      <c r="A948" t="inlineStr">
        <is>
          <t>A 43263-2019</t>
        </is>
      </c>
      <c r="B948" s="1" t="n">
        <v>43706</v>
      </c>
      <c r="C948" s="1" t="n">
        <v>45797</v>
      </c>
      <c r="D948" t="inlineStr">
        <is>
          <t>ÖREBRO LÄN</t>
        </is>
      </c>
      <c r="E948" t="inlineStr">
        <is>
          <t>ASKERSUND</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43326-2019</t>
        </is>
      </c>
      <c r="B949" s="1" t="n">
        <v>43706</v>
      </c>
      <c r="C949" s="1" t="n">
        <v>45797</v>
      </c>
      <c r="D949" t="inlineStr">
        <is>
          <t>ÖREBRO LÄN</t>
        </is>
      </c>
      <c r="E949" t="inlineStr">
        <is>
          <t>ASKERSUND</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43342-2019</t>
        </is>
      </c>
      <c r="B950" s="1" t="n">
        <v>43706</v>
      </c>
      <c r="C950" s="1" t="n">
        <v>45797</v>
      </c>
      <c r="D950" t="inlineStr">
        <is>
          <t>ÖREBRO LÄN</t>
        </is>
      </c>
      <c r="E950" t="inlineStr">
        <is>
          <t>ASKERSUND</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43420-2019</t>
        </is>
      </c>
      <c r="B951" s="1" t="n">
        <v>43706</v>
      </c>
      <c r="C951" s="1" t="n">
        <v>45797</v>
      </c>
      <c r="D951" t="inlineStr">
        <is>
          <t>ÖREBRO LÄN</t>
        </is>
      </c>
      <c r="E951" t="inlineStr">
        <is>
          <t>ASKERSUND</t>
        </is>
      </c>
      <c r="G951" t="n">
        <v>5.5</v>
      </c>
      <c r="H951" t="n">
        <v>0</v>
      </c>
      <c r="I951" t="n">
        <v>0</v>
      </c>
      <c r="J951" t="n">
        <v>0</v>
      </c>
      <c r="K951" t="n">
        <v>0</v>
      </c>
      <c r="L951" t="n">
        <v>0</v>
      </c>
      <c r="M951" t="n">
        <v>0</v>
      </c>
      <c r="N951" t="n">
        <v>0</v>
      </c>
      <c r="O951" t="n">
        <v>0</v>
      </c>
      <c r="P951" t="n">
        <v>0</v>
      </c>
      <c r="Q951" t="n">
        <v>0</v>
      </c>
      <c r="R951" s="2" t="inlineStr"/>
    </row>
    <row r="952" ht="15" customHeight="1">
      <c r="A952" t="inlineStr">
        <is>
          <t>A 43345-2019</t>
        </is>
      </c>
      <c r="B952" s="1" t="n">
        <v>43706</v>
      </c>
      <c r="C952" s="1" t="n">
        <v>45797</v>
      </c>
      <c r="D952" t="inlineStr">
        <is>
          <t>ÖREBRO LÄN</t>
        </is>
      </c>
      <c r="E952" t="inlineStr">
        <is>
          <t>ASKERSUND</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43268-2019</t>
        </is>
      </c>
      <c r="B953" s="1" t="n">
        <v>43706</v>
      </c>
      <c r="C953" s="1" t="n">
        <v>45797</v>
      </c>
      <c r="D953" t="inlineStr">
        <is>
          <t>ÖREBRO LÄN</t>
        </is>
      </c>
      <c r="E953" t="inlineStr">
        <is>
          <t>ASKERSUND</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43303-2019</t>
        </is>
      </c>
      <c r="B954" s="1" t="n">
        <v>43706</v>
      </c>
      <c r="C954" s="1" t="n">
        <v>45797</v>
      </c>
      <c r="D954" t="inlineStr">
        <is>
          <t>ÖREBRO LÄN</t>
        </is>
      </c>
      <c r="E954" t="inlineStr">
        <is>
          <t>ASKERSUND</t>
        </is>
      </c>
      <c r="F954" t="inlineStr">
        <is>
          <t>Övriga Aktiebolag</t>
        </is>
      </c>
      <c r="G954" t="n">
        <v>5.1</v>
      </c>
      <c r="H954" t="n">
        <v>0</v>
      </c>
      <c r="I954" t="n">
        <v>0</v>
      </c>
      <c r="J954" t="n">
        <v>0</v>
      </c>
      <c r="K954" t="n">
        <v>0</v>
      </c>
      <c r="L954" t="n">
        <v>0</v>
      </c>
      <c r="M954" t="n">
        <v>0</v>
      </c>
      <c r="N954" t="n">
        <v>0</v>
      </c>
      <c r="O954" t="n">
        <v>0</v>
      </c>
      <c r="P954" t="n">
        <v>0</v>
      </c>
      <c r="Q954" t="n">
        <v>0</v>
      </c>
      <c r="R954" s="2" t="inlineStr"/>
    </row>
    <row r="955" ht="15" customHeight="1">
      <c r="A955" t="inlineStr">
        <is>
          <t>A 43514-2019</t>
        </is>
      </c>
      <c r="B955" s="1" t="n">
        <v>43706</v>
      </c>
      <c r="C955" s="1" t="n">
        <v>45797</v>
      </c>
      <c r="D955" t="inlineStr">
        <is>
          <t>ÖREBRO LÄN</t>
        </is>
      </c>
      <c r="E955" t="inlineStr">
        <is>
          <t>HÄLLEFORS</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43762-2019</t>
        </is>
      </c>
      <c r="B956" s="1" t="n">
        <v>43706</v>
      </c>
      <c r="C956" s="1" t="n">
        <v>45797</v>
      </c>
      <c r="D956" t="inlineStr">
        <is>
          <t>ÖREBRO LÄN</t>
        </is>
      </c>
      <c r="E956" t="inlineStr">
        <is>
          <t>DEGERFORS</t>
        </is>
      </c>
      <c r="G956" t="n">
        <v>2</v>
      </c>
      <c r="H956" t="n">
        <v>0</v>
      </c>
      <c r="I956" t="n">
        <v>0</v>
      </c>
      <c r="J956" t="n">
        <v>0</v>
      </c>
      <c r="K956" t="n">
        <v>0</v>
      </c>
      <c r="L956" t="n">
        <v>0</v>
      </c>
      <c r="M956" t="n">
        <v>0</v>
      </c>
      <c r="N956" t="n">
        <v>0</v>
      </c>
      <c r="O956" t="n">
        <v>0</v>
      </c>
      <c r="P956" t="n">
        <v>0</v>
      </c>
      <c r="Q956" t="n">
        <v>0</v>
      </c>
      <c r="R956" s="2" t="inlineStr"/>
    </row>
    <row r="957" ht="15" customHeight="1">
      <c r="A957" t="inlineStr">
        <is>
          <t>A 43338-2019</t>
        </is>
      </c>
      <c r="B957" s="1" t="n">
        <v>43706</v>
      </c>
      <c r="C957" s="1" t="n">
        <v>45797</v>
      </c>
      <c r="D957" t="inlineStr">
        <is>
          <t>ÖREBRO LÄN</t>
        </is>
      </c>
      <c r="E957" t="inlineStr">
        <is>
          <t>ASKERSUND</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43316-2019</t>
        </is>
      </c>
      <c r="B958" s="1" t="n">
        <v>43706</v>
      </c>
      <c r="C958" s="1" t="n">
        <v>45797</v>
      </c>
      <c r="D958" t="inlineStr">
        <is>
          <t>ÖREBRO LÄN</t>
        </is>
      </c>
      <c r="E958" t="inlineStr">
        <is>
          <t>ASKERSUND</t>
        </is>
      </c>
      <c r="F958" t="inlineStr">
        <is>
          <t>Övriga Aktiebolag</t>
        </is>
      </c>
      <c r="G958" t="n">
        <v>5.5</v>
      </c>
      <c r="H958" t="n">
        <v>0</v>
      </c>
      <c r="I958" t="n">
        <v>0</v>
      </c>
      <c r="J958" t="n">
        <v>0</v>
      </c>
      <c r="K958" t="n">
        <v>0</v>
      </c>
      <c r="L958" t="n">
        <v>0</v>
      </c>
      <c r="M958" t="n">
        <v>0</v>
      </c>
      <c r="N958" t="n">
        <v>0</v>
      </c>
      <c r="O958" t="n">
        <v>0</v>
      </c>
      <c r="P958" t="n">
        <v>0</v>
      </c>
      <c r="Q958" t="n">
        <v>0</v>
      </c>
      <c r="R958" s="2" t="inlineStr"/>
    </row>
    <row r="959" ht="15" customHeight="1">
      <c r="A959" t="inlineStr">
        <is>
          <t>A 43820-2019</t>
        </is>
      </c>
      <c r="B959" s="1" t="n">
        <v>43707</v>
      </c>
      <c r="C959" s="1" t="n">
        <v>45797</v>
      </c>
      <c r="D959" t="inlineStr">
        <is>
          <t>ÖREBRO LÄN</t>
        </is>
      </c>
      <c r="E959" t="inlineStr">
        <is>
          <t>ASKERSUND</t>
        </is>
      </c>
      <c r="G959" t="n">
        <v>1</v>
      </c>
      <c r="H959" t="n">
        <v>0</v>
      </c>
      <c r="I959" t="n">
        <v>0</v>
      </c>
      <c r="J959" t="n">
        <v>0</v>
      </c>
      <c r="K959" t="n">
        <v>0</v>
      </c>
      <c r="L959" t="n">
        <v>0</v>
      </c>
      <c r="M959" t="n">
        <v>0</v>
      </c>
      <c r="N959" t="n">
        <v>0</v>
      </c>
      <c r="O959" t="n">
        <v>0</v>
      </c>
      <c r="P959" t="n">
        <v>0</v>
      </c>
      <c r="Q959" t="n">
        <v>0</v>
      </c>
      <c r="R959" s="2" t="inlineStr"/>
    </row>
    <row r="960" ht="15" customHeight="1">
      <c r="A960" t="inlineStr">
        <is>
          <t>A 43870-2019</t>
        </is>
      </c>
      <c r="B960" s="1" t="n">
        <v>43707</v>
      </c>
      <c r="C960" s="1" t="n">
        <v>45797</v>
      </c>
      <c r="D960" t="inlineStr">
        <is>
          <t>ÖREBRO LÄN</t>
        </is>
      </c>
      <c r="E960" t="inlineStr">
        <is>
          <t>LJUSNARSBERG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44018-2019</t>
        </is>
      </c>
      <c r="B961" s="1" t="n">
        <v>43710</v>
      </c>
      <c r="C961" s="1" t="n">
        <v>45797</v>
      </c>
      <c r="D961" t="inlineStr">
        <is>
          <t>ÖREBRO LÄN</t>
        </is>
      </c>
      <c r="E961" t="inlineStr">
        <is>
          <t>LINDESBERG</t>
        </is>
      </c>
      <c r="G961" t="n">
        <v>5.8</v>
      </c>
      <c r="H961" t="n">
        <v>0</v>
      </c>
      <c r="I961" t="n">
        <v>0</v>
      </c>
      <c r="J961" t="n">
        <v>0</v>
      </c>
      <c r="K961" t="n">
        <v>0</v>
      </c>
      <c r="L961" t="n">
        <v>0</v>
      </c>
      <c r="M961" t="n">
        <v>0</v>
      </c>
      <c r="N961" t="n">
        <v>0</v>
      </c>
      <c r="O961" t="n">
        <v>0</v>
      </c>
      <c r="P961" t="n">
        <v>0</v>
      </c>
      <c r="Q961" t="n">
        <v>0</v>
      </c>
      <c r="R961" s="2" t="inlineStr"/>
    </row>
    <row r="962" ht="15" customHeight="1">
      <c r="A962" t="inlineStr">
        <is>
          <t>A 44153-2019</t>
        </is>
      </c>
      <c r="B962" s="1" t="n">
        <v>43710</v>
      </c>
      <c r="C962" s="1" t="n">
        <v>45797</v>
      </c>
      <c r="D962" t="inlineStr">
        <is>
          <t>ÖREBRO LÄN</t>
        </is>
      </c>
      <c r="E962" t="inlineStr">
        <is>
          <t>ÖREBRO</t>
        </is>
      </c>
      <c r="G962" t="n">
        <v>5.5</v>
      </c>
      <c r="H962" t="n">
        <v>0</v>
      </c>
      <c r="I962" t="n">
        <v>0</v>
      </c>
      <c r="J962" t="n">
        <v>0</v>
      </c>
      <c r="K962" t="n">
        <v>0</v>
      </c>
      <c r="L962" t="n">
        <v>0</v>
      </c>
      <c r="M962" t="n">
        <v>0</v>
      </c>
      <c r="N962" t="n">
        <v>0</v>
      </c>
      <c r="O962" t="n">
        <v>0</v>
      </c>
      <c r="P962" t="n">
        <v>0</v>
      </c>
      <c r="Q962" t="n">
        <v>0</v>
      </c>
      <c r="R962" s="2" t="inlineStr"/>
    </row>
    <row r="963" ht="15" customHeight="1">
      <c r="A963" t="inlineStr">
        <is>
          <t>A 44280-2019</t>
        </is>
      </c>
      <c r="B963" s="1" t="n">
        <v>43710</v>
      </c>
      <c r="C963" s="1" t="n">
        <v>45797</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44277-2019</t>
        </is>
      </c>
      <c r="B964" s="1" t="n">
        <v>43710</v>
      </c>
      <c r="C964" s="1" t="n">
        <v>45797</v>
      </c>
      <c r="D964" t="inlineStr">
        <is>
          <t>ÖREBRO LÄN</t>
        </is>
      </c>
      <c r="E964" t="inlineStr">
        <is>
          <t>ÖREBRO</t>
        </is>
      </c>
      <c r="G964" t="n">
        <v>3.6</v>
      </c>
      <c r="H964" t="n">
        <v>0</v>
      </c>
      <c r="I964" t="n">
        <v>0</v>
      </c>
      <c r="J964" t="n">
        <v>0</v>
      </c>
      <c r="K964" t="n">
        <v>0</v>
      </c>
      <c r="L964" t="n">
        <v>0</v>
      </c>
      <c r="M964" t="n">
        <v>0</v>
      </c>
      <c r="N964" t="n">
        <v>0</v>
      </c>
      <c r="O964" t="n">
        <v>0</v>
      </c>
      <c r="P964" t="n">
        <v>0</v>
      </c>
      <c r="Q964" t="n">
        <v>0</v>
      </c>
      <c r="R964" s="2" t="inlineStr"/>
    </row>
    <row r="965" ht="15" customHeight="1">
      <c r="A965" t="inlineStr">
        <is>
          <t>A 45309-2019</t>
        </is>
      </c>
      <c r="B965" s="1" t="n">
        <v>43710</v>
      </c>
      <c r="C965" s="1" t="n">
        <v>45797</v>
      </c>
      <c r="D965" t="inlineStr">
        <is>
          <t>ÖREBRO LÄN</t>
        </is>
      </c>
      <c r="E965" t="inlineStr">
        <is>
          <t>ÖREBRO</t>
        </is>
      </c>
      <c r="F965" t="inlineStr">
        <is>
          <t>Kommuner</t>
        </is>
      </c>
      <c r="G965" t="n">
        <v>1.5</v>
      </c>
      <c r="H965" t="n">
        <v>0</v>
      </c>
      <c r="I965" t="n">
        <v>0</v>
      </c>
      <c r="J965" t="n">
        <v>0</v>
      </c>
      <c r="K965" t="n">
        <v>0</v>
      </c>
      <c r="L965" t="n">
        <v>0</v>
      </c>
      <c r="M965" t="n">
        <v>0</v>
      </c>
      <c r="N965" t="n">
        <v>0</v>
      </c>
      <c r="O965" t="n">
        <v>0</v>
      </c>
      <c r="P965" t="n">
        <v>0</v>
      </c>
      <c r="Q965" t="n">
        <v>0</v>
      </c>
      <c r="R965" s="2" t="inlineStr"/>
    </row>
    <row r="966" ht="15" customHeight="1">
      <c r="A966" t="inlineStr">
        <is>
          <t>A 44278-2019</t>
        </is>
      </c>
      <c r="B966" s="1" t="n">
        <v>43710</v>
      </c>
      <c r="C966" s="1" t="n">
        <v>45797</v>
      </c>
      <c r="D966" t="inlineStr">
        <is>
          <t>ÖREBRO LÄN</t>
        </is>
      </c>
      <c r="E966" t="inlineStr">
        <is>
          <t>ÖREBRO</t>
        </is>
      </c>
      <c r="G966" t="n">
        <v>3.6</v>
      </c>
      <c r="H966" t="n">
        <v>0</v>
      </c>
      <c r="I966" t="n">
        <v>0</v>
      </c>
      <c r="J966" t="n">
        <v>0</v>
      </c>
      <c r="K966" t="n">
        <v>0</v>
      </c>
      <c r="L966" t="n">
        <v>0</v>
      </c>
      <c r="M966" t="n">
        <v>0</v>
      </c>
      <c r="N966" t="n">
        <v>0</v>
      </c>
      <c r="O966" t="n">
        <v>0</v>
      </c>
      <c r="P966" t="n">
        <v>0</v>
      </c>
      <c r="Q966" t="n">
        <v>0</v>
      </c>
      <c r="R966" s="2" t="inlineStr"/>
    </row>
    <row r="967" ht="15" customHeight="1">
      <c r="A967" t="inlineStr">
        <is>
          <t>A 44431-2019</t>
        </is>
      </c>
      <c r="B967" s="1" t="n">
        <v>43711</v>
      </c>
      <c r="C967" s="1" t="n">
        <v>45797</v>
      </c>
      <c r="D967" t="inlineStr">
        <is>
          <t>ÖREBRO LÄN</t>
        </is>
      </c>
      <c r="E967" t="inlineStr">
        <is>
          <t>ASKERSUND</t>
        </is>
      </c>
      <c r="G967" t="n">
        <v>2.6</v>
      </c>
      <c r="H967" t="n">
        <v>0</v>
      </c>
      <c r="I967" t="n">
        <v>0</v>
      </c>
      <c r="J967" t="n">
        <v>0</v>
      </c>
      <c r="K967" t="n">
        <v>0</v>
      </c>
      <c r="L967" t="n">
        <v>0</v>
      </c>
      <c r="M967" t="n">
        <v>0</v>
      </c>
      <c r="N967" t="n">
        <v>0</v>
      </c>
      <c r="O967" t="n">
        <v>0</v>
      </c>
      <c r="P967" t="n">
        <v>0</v>
      </c>
      <c r="Q967" t="n">
        <v>0</v>
      </c>
      <c r="R967" s="2" t="inlineStr"/>
    </row>
    <row r="968" ht="15" customHeight="1">
      <c r="A968" t="inlineStr">
        <is>
          <t>A 44598-2019</t>
        </is>
      </c>
      <c r="B968" s="1" t="n">
        <v>43711</v>
      </c>
      <c r="C968" s="1" t="n">
        <v>45797</v>
      </c>
      <c r="D968" t="inlineStr">
        <is>
          <t>ÖREBRO LÄN</t>
        </is>
      </c>
      <c r="E968" t="inlineStr">
        <is>
          <t>LINDESBERG</t>
        </is>
      </c>
      <c r="G968" t="n">
        <v>0.5</v>
      </c>
      <c r="H968" t="n">
        <v>0</v>
      </c>
      <c r="I968" t="n">
        <v>0</v>
      </c>
      <c r="J968" t="n">
        <v>0</v>
      </c>
      <c r="K968" t="n">
        <v>0</v>
      </c>
      <c r="L968" t="n">
        <v>0</v>
      </c>
      <c r="M968" t="n">
        <v>0</v>
      </c>
      <c r="N968" t="n">
        <v>0</v>
      </c>
      <c r="O968" t="n">
        <v>0</v>
      </c>
      <c r="P968" t="n">
        <v>0</v>
      </c>
      <c r="Q968" t="n">
        <v>0</v>
      </c>
      <c r="R968" s="2" t="inlineStr"/>
    </row>
    <row r="969" ht="15" customHeight="1">
      <c r="A969" t="inlineStr">
        <is>
          <t>A 44538-2019</t>
        </is>
      </c>
      <c r="B969" s="1" t="n">
        <v>43711</v>
      </c>
      <c r="C969" s="1" t="n">
        <v>45797</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44655-2019</t>
        </is>
      </c>
      <c r="B970" s="1" t="n">
        <v>43712</v>
      </c>
      <c r="C970" s="1" t="n">
        <v>45797</v>
      </c>
      <c r="D970" t="inlineStr">
        <is>
          <t>ÖREBRO LÄN</t>
        </is>
      </c>
      <c r="E970" t="inlineStr">
        <is>
          <t>ASKERSUND</t>
        </is>
      </c>
      <c r="G970" t="n">
        <v>0.5</v>
      </c>
      <c r="H970" t="n">
        <v>0</v>
      </c>
      <c r="I970" t="n">
        <v>0</v>
      </c>
      <c r="J970" t="n">
        <v>0</v>
      </c>
      <c r="K970" t="n">
        <v>0</v>
      </c>
      <c r="L970" t="n">
        <v>0</v>
      </c>
      <c r="M970" t="n">
        <v>0</v>
      </c>
      <c r="N970" t="n">
        <v>0</v>
      </c>
      <c r="O970" t="n">
        <v>0</v>
      </c>
      <c r="P970" t="n">
        <v>0</v>
      </c>
      <c r="Q970" t="n">
        <v>0</v>
      </c>
      <c r="R970" s="2" t="inlineStr"/>
    </row>
    <row r="971" ht="15" customHeight="1">
      <c r="A971" t="inlineStr">
        <is>
          <t>A 45768-2019</t>
        </is>
      </c>
      <c r="B971" s="1" t="n">
        <v>43712</v>
      </c>
      <c r="C971" s="1" t="n">
        <v>45797</v>
      </c>
      <c r="D971" t="inlineStr">
        <is>
          <t>ÖREBRO LÄN</t>
        </is>
      </c>
      <c r="E971" t="inlineStr">
        <is>
          <t>HÄLLEFORS</t>
        </is>
      </c>
      <c r="G971" t="n">
        <v>1.4</v>
      </c>
      <c r="H971" t="n">
        <v>0</v>
      </c>
      <c r="I971" t="n">
        <v>0</v>
      </c>
      <c r="J971" t="n">
        <v>0</v>
      </c>
      <c r="K971" t="n">
        <v>0</v>
      </c>
      <c r="L971" t="n">
        <v>0</v>
      </c>
      <c r="M971" t="n">
        <v>0</v>
      </c>
      <c r="N971" t="n">
        <v>0</v>
      </c>
      <c r="O971" t="n">
        <v>0</v>
      </c>
      <c r="P971" t="n">
        <v>0</v>
      </c>
      <c r="Q971" t="n">
        <v>0</v>
      </c>
      <c r="R971" s="2" t="inlineStr"/>
    </row>
    <row r="972" ht="15" customHeight="1">
      <c r="A972" t="inlineStr">
        <is>
          <t>A 44836-2019</t>
        </is>
      </c>
      <c r="B972" s="1" t="n">
        <v>43712</v>
      </c>
      <c r="C972" s="1" t="n">
        <v>45797</v>
      </c>
      <c r="D972" t="inlineStr">
        <is>
          <t>ÖREBRO LÄN</t>
        </is>
      </c>
      <c r="E972" t="inlineStr">
        <is>
          <t>KARLSKOGA</t>
        </is>
      </c>
      <c r="G972" t="n">
        <v>0.8</v>
      </c>
      <c r="H972" t="n">
        <v>0</v>
      </c>
      <c r="I972" t="n">
        <v>0</v>
      </c>
      <c r="J972" t="n">
        <v>0</v>
      </c>
      <c r="K972" t="n">
        <v>0</v>
      </c>
      <c r="L972" t="n">
        <v>0</v>
      </c>
      <c r="M972" t="n">
        <v>0</v>
      </c>
      <c r="N972" t="n">
        <v>0</v>
      </c>
      <c r="O972" t="n">
        <v>0</v>
      </c>
      <c r="P972" t="n">
        <v>0</v>
      </c>
      <c r="Q972" t="n">
        <v>0</v>
      </c>
      <c r="R972" s="2" t="inlineStr"/>
    </row>
    <row r="973" ht="15" customHeight="1">
      <c r="A973" t="inlineStr">
        <is>
          <t>A 44948-2019</t>
        </is>
      </c>
      <c r="B973" s="1" t="n">
        <v>43713</v>
      </c>
      <c r="C973" s="1" t="n">
        <v>45797</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45109-2019</t>
        </is>
      </c>
      <c r="B974" s="1" t="n">
        <v>43713</v>
      </c>
      <c r="C974" s="1" t="n">
        <v>45797</v>
      </c>
      <c r="D974" t="inlineStr">
        <is>
          <t>ÖREBRO LÄN</t>
        </is>
      </c>
      <c r="E974" t="inlineStr">
        <is>
          <t>LINDESBERG</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45240-2019</t>
        </is>
      </c>
      <c r="B975" s="1" t="n">
        <v>43713</v>
      </c>
      <c r="C975" s="1" t="n">
        <v>45797</v>
      </c>
      <c r="D975" t="inlineStr">
        <is>
          <t>ÖREBRO LÄN</t>
        </is>
      </c>
      <c r="E975" t="inlineStr">
        <is>
          <t>LINDESBERG</t>
        </is>
      </c>
      <c r="G975" t="n">
        <v>1.1</v>
      </c>
      <c r="H975" t="n">
        <v>0</v>
      </c>
      <c r="I975" t="n">
        <v>0</v>
      </c>
      <c r="J975" t="n">
        <v>0</v>
      </c>
      <c r="K975" t="n">
        <v>0</v>
      </c>
      <c r="L975" t="n">
        <v>0</v>
      </c>
      <c r="M975" t="n">
        <v>0</v>
      </c>
      <c r="N975" t="n">
        <v>0</v>
      </c>
      <c r="O975" t="n">
        <v>0</v>
      </c>
      <c r="P975" t="n">
        <v>0</v>
      </c>
      <c r="Q975" t="n">
        <v>0</v>
      </c>
      <c r="R975" s="2" t="inlineStr"/>
    </row>
    <row r="976" ht="15" customHeight="1">
      <c r="A976" t="inlineStr">
        <is>
          <t>A 45236-2019</t>
        </is>
      </c>
      <c r="B976" s="1" t="n">
        <v>43713</v>
      </c>
      <c r="C976" s="1" t="n">
        <v>45797</v>
      </c>
      <c r="D976" t="inlineStr">
        <is>
          <t>ÖREBRO LÄN</t>
        </is>
      </c>
      <c r="E976" t="inlineStr">
        <is>
          <t>LINDESBERG</t>
        </is>
      </c>
      <c r="G976" t="n">
        <v>2.2</v>
      </c>
      <c r="H976" t="n">
        <v>0</v>
      </c>
      <c r="I976" t="n">
        <v>0</v>
      </c>
      <c r="J976" t="n">
        <v>0</v>
      </c>
      <c r="K976" t="n">
        <v>0</v>
      </c>
      <c r="L976" t="n">
        <v>0</v>
      </c>
      <c r="M976" t="n">
        <v>0</v>
      </c>
      <c r="N976" t="n">
        <v>0</v>
      </c>
      <c r="O976" t="n">
        <v>0</v>
      </c>
      <c r="P976" t="n">
        <v>0</v>
      </c>
      <c r="Q976" t="n">
        <v>0</v>
      </c>
      <c r="R976" s="2" t="inlineStr"/>
    </row>
    <row r="977" ht="15" customHeight="1">
      <c r="A977" t="inlineStr">
        <is>
          <t>A 45418-2019</t>
        </is>
      </c>
      <c r="B977" s="1" t="n">
        <v>43714</v>
      </c>
      <c r="C977" s="1" t="n">
        <v>45797</v>
      </c>
      <c r="D977" t="inlineStr">
        <is>
          <t>ÖREBRO LÄN</t>
        </is>
      </c>
      <c r="E977" t="inlineStr">
        <is>
          <t>ÖREBRO</t>
        </is>
      </c>
      <c r="G977" t="n">
        <v>9</v>
      </c>
      <c r="H977" t="n">
        <v>0</v>
      </c>
      <c r="I977" t="n">
        <v>0</v>
      </c>
      <c r="J977" t="n">
        <v>0</v>
      </c>
      <c r="K977" t="n">
        <v>0</v>
      </c>
      <c r="L977" t="n">
        <v>0</v>
      </c>
      <c r="M977" t="n">
        <v>0</v>
      </c>
      <c r="N977" t="n">
        <v>0</v>
      </c>
      <c r="O977" t="n">
        <v>0</v>
      </c>
      <c r="P977" t="n">
        <v>0</v>
      </c>
      <c r="Q977" t="n">
        <v>0</v>
      </c>
      <c r="R977" s="2" t="inlineStr"/>
    </row>
    <row r="978" ht="15" customHeight="1">
      <c r="A978" t="inlineStr">
        <is>
          <t>A 45420-2019</t>
        </is>
      </c>
      <c r="B978" s="1" t="n">
        <v>43714</v>
      </c>
      <c r="C978" s="1" t="n">
        <v>45797</v>
      </c>
      <c r="D978" t="inlineStr">
        <is>
          <t>ÖREBRO LÄN</t>
        </is>
      </c>
      <c r="E978" t="inlineStr">
        <is>
          <t>ÖREBRO</t>
        </is>
      </c>
      <c r="G978" t="n">
        <v>4.2</v>
      </c>
      <c r="H978" t="n">
        <v>0</v>
      </c>
      <c r="I978" t="n">
        <v>0</v>
      </c>
      <c r="J978" t="n">
        <v>0</v>
      </c>
      <c r="K978" t="n">
        <v>0</v>
      </c>
      <c r="L978" t="n">
        <v>0</v>
      </c>
      <c r="M978" t="n">
        <v>0</v>
      </c>
      <c r="N978" t="n">
        <v>0</v>
      </c>
      <c r="O978" t="n">
        <v>0</v>
      </c>
      <c r="P978" t="n">
        <v>0</v>
      </c>
      <c r="Q978" t="n">
        <v>0</v>
      </c>
      <c r="R978" s="2" t="inlineStr"/>
    </row>
    <row r="979" ht="15" customHeight="1">
      <c r="A979" t="inlineStr">
        <is>
          <t>A 45686-2019</t>
        </is>
      </c>
      <c r="B979" s="1" t="n">
        <v>43714</v>
      </c>
      <c r="C979" s="1" t="n">
        <v>45797</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45669-2019</t>
        </is>
      </c>
      <c r="B980" s="1" t="n">
        <v>43717</v>
      </c>
      <c r="C980" s="1" t="n">
        <v>45797</v>
      </c>
      <c r="D980" t="inlineStr">
        <is>
          <t>ÖREBRO LÄN</t>
        </is>
      </c>
      <c r="E980" t="inlineStr">
        <is>
          <t>DEGERFORS</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45689-2019</t>
        </is>
      </c>
      <c r="B981" s="1" t="n">
        <v>43717</v>
      </c>
      <c r="C981" s="1" t="n">
        <v>45797</v>
      </c>
      <c r="D981" t="inlineStr">
        <is>
          <t>ÖREBRO LÄN</t>
        </is>
      </c>
      <c r="E981" t="inlineStr">
        <is>
          <t>DEGERFORS</t>
        </is>
      </c>
      <c r="F981" t="inlineStr">
        <is>
          <t>Sveaskog</t>
        </is>
      </c>
      <c r="G981" t="n">
        <v>3.5</v>
      </c>
      <c r="H981" t="n">
        <v>0</v>
      </c>
      <c r="I981" t="n">
        <v>0</v>
      </c>
      <c r="J981" t="n">
        <v>0</v>
      </c>
      <c r="K981" t="n">
        <v>0</v>
      </c>
      <c r="L981" t="n">
        <v>0</v>
      </c>
      <c r="M981" t="n">
        <v>0</v>
      </c>
      <c r="N981" t="n">
        <v>0</v>
      </c>
      <c r="O981" t="n">
        <v>0</v>
      </c>
      <c r="P981" t="n">
        <v>0</v>
      </c>
      <c r="Q981" t="n">
        <v>0</v>
      </c>
      <c r="R981" s="2" t="inlineStr"/>
    </row>
    <row r="982" ht="15" customHeight="1">
      <c r="A982" t="inlineStr">
        <is>
          <t>A 45688-2019</t>
        </is>
      </c>
      <c r="B982" s="1" t="n">
        <v>43717</v>
      </c>
      <c r="C982" s="1" t="n">
        <v>45797</v>
      </c>
      <c r="D982" t="inlineStr">
        <is>
          <t>ÖREBRO LÄN</t>
        </is>
      </c>
      <c r="E982" t="inlineStr">
        <is>
          <t>DEGERFORS</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45718-2019</t>
        </is>
      </c>
      <c r="B983" s="1" t="n">
        <v>43717</v>
      </c>
      <c r="C983" s="1" t="n">
        <v>45797</v>
      </c>
      <c r="D983" t="inlineStr">
        <is>
          <t>ÖREBRO LÄN</t>
        </is>
      </c>
      <c r="E983" t="inlineStr">
        <is>
          <t>DEGERFORS</t>
        </is>
      </c>
      <c r="F983" t="inlineStr">
        <is>
          <t>Sveaskog</t>
        </is>
      </c>
      <c r="G983" t="n">
        <v>2.5</v>
      </c>
      <c r="H983" t="n">
        <v>0</v>
      </c>
      <c r="I983" t="n">
        <v>0</v>
      </c>
      <c r="J983" t="n">
        <v>0</v>
      </c>
      <c r="K983" t="n">
        <v>0</v>
      </c>
      <c r="L983" t="n">
        <v>0</v>
      </c>
      <c r="M983" t="n">
        <v>0</v>
      </c>
      <c r="N983" t="n">
        <v>0</v>
      </c>
      <c r="O983" t="n">
        <v>0</v>
      </c>
      <c r="P983" t="n">
        <v>0</v>
      </c>
      <c r="Q983" t="n">
        <v>0</v>
      </c>
      <c r="R983" s="2" t="inlineStr"/>
    </row>
    <row r="984" ht="15" customHeight="1">
      <c r="A984" t="inlineStr">
        <is>
          <t>A 45706-2019</t>
        </is>
      </c>
      <c r="B984" s="1" t="n">
        <v>43717</v>
      </c>
      <c r="C984" s="1" t="n">
        <v>45797</v>
      </c>
      <c r="D984" t="inlineStr">
        <is>
          <t>ÖREBRO LÄN</t>
        </is>
      </c>
      <c r="E984" t="inlineStr">
        <is>
          <t>DEGERFORS</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45813-2019</t>
        </is>
      </c>
      <c r="B985" s="1" t="n">
        <v>43717</v>
      </c>
      <c r="C985" s="1" t="n">
        <v>45797</v>
      </c>
      <c r="D985" t="inlineStr">
        <is>
          <t>ÖREBRO LÄN</t>
        </is>
      </c>
      <c r="E985" t="inlineStr">
        <is>
          <t>LJUSNARSBERG</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45909-2019</t>
        </is>
      </c>
      <c r="B986" s="1" t="n">
        <v>43717</v>
      </c>
      <c r="C986" s="1" t="n">
        <v>45797</v>
      </c>
      <c r="D986" t="inlineStr">
        <is>
          <t>ÖREBRO LÄN</t>
        </is>
      </c>
      <c r="E986" t="inlineStr">
        <is>
          <t>NORA</t>
        </is>
      </c>
      <c r="G986" t="n">
        <v>3.4</v>
      </c>
      <c r="H986" t="n">
        <v>0</v>
      </c>
      <c r="I986" t="n">
        <v>0</v>
      </c>
      <c r="J986" t="n">
        <v>0</v>
      </c>
      <c r="K986" t="n">
        <v>0</v>
      </c>
      <c r="L986" t="n">
        <v>0</v>
      </c>
      <c r="M986" t="n">
        <v>0</v>
      </c>
      <c r="N986" t="n">
        <v>0</v>
      </c>
      <c r="O986" t="n">
        <v>0</v>
      </c>
      <c r="P986" t="n">
        <v>0</v>
      </c>
      <c r="Q986" t="n">
        <v>0</v>
      </c>
      <c r="R986" s="2" t="inlineStr"/>
    </row>
    <row r="987" ht="15" customHeight="1">
      <c r="A987" t="inlineStr">
        <is>
          <t>A 45777-2019</t>
        </is>
      </c>
      <c r="B987" s="1" t="n">
        <v>43717</v>
      </c>
      <c r="C987" s="1" t="n">
        <v>45797</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46304-2019</t>
        </is>
      </c>
      <c r="B988" s="1" t="n">
        <v>43718</v>
      </c>
      <c r="C988" s="1" t="n">
        <v>45797</v>
      </c>
      <c r="D988" t="inlineStr">
        <is>
          <t>ÖREBRO LÄN</t>
        </is>
      </c>
      <c r="E988" t="inlineStr">
        <is>
          <t>LINDESBERG</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46313-2019</t>
        </is>
      </c>
      <c r="B989" s="1" t="n">
        <v>43718</v>
      </c>
      <c r="C989" s="1" t="n">
        <v>45797</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46899-2019</t>
        </is>
      </c>
      <c r="B990" s="1" t="n">
        <v>43719</v>
      </c>
      <c r="C990" s="1" t="n">
        <v>45797</v>
      </c>
      <c r="D990" t="inlineStr">
        <is>
          <t>ÖREBRO LÄN</t>
        </is>
      </c>
      <c r="E990" t="inlineStr">
        <is>
          <t>LJUSNARSBERG</t>
        </is>
      </c>
      <c r="G990" t="n">
        <v>1.9</v>
      </c>
      <c r="H990" t="n">
        <v>0</v>
      </c>
      <c r="I990" t="n">
        <v>0</v>
      </c>
      <c r="J990" t="n">
        <v>0</v>
      </c>
      <c r="K990" t="n">
        <v>0</v>
      </c>
      <c r="L990" t="n">
        <v>0</v>
      </c>
      <c r="M990" t="n">
        <v>0</v>
      </c>
      <c r="N990" t="n">
        <v>0</v>
      </c>
      <c r="O990" t="n">
        <v>0</v>
      </c>
      <c r="P990" t="n">
        <v>0</v>
      </c>
      <c r="Q990" t="n">
        <v>0</v>
      </c>
      <c r="R990" s="2" t="inlineStr"/>
    </row>
    <row r="991" ht="15" customHeight="1">
      <c r="A991" t="inlineStr">
        <is>
          <t>A 46889-2019</t>
        </is>
      </c>
      <c r="B991" s="1" t="n">
        <v>43719</v>
      </c>
      <c r="C991" s="1" t="n">
        <v>45797</v>
      </c>
      <c r="D991" t="inlineStr">
        <is>
          <t>ÖREBRO LÄN</t>
        </is>
      </c>
      <c r="E991" t="inlineStr">
        <is>
          <t>LINDESBERG</t>
        </is>
      </c>
      <c r="G991" t="n">
        <v>7.8</v>
      </c>
      <c r="H991" t="n">
        <v>0</v>
      </c>
      <c r="I991" t="n">
        <v>0</v>
      </c>
      <c r="J991" t="n">
        <v>0</v>
      </c>
      <c r="K991" t="n">
        <v>0</v>
      </c>
      <c r="L991" t="n">
        <v>0</v>
      </c>
      <c r="M991" t="n">
        <v>0</v>
      </c>
      <c r="N991" t="n">
        <v>0</v>
      </c>
      <c r="O991" t="n">
        <v>0</v>
      </c>
      <c r="P991" t="n">
        <v>0</v>
      </c>
      <c r="Q991" t="n">
        <v>0</v>
      </c>
      <c r="R991" s="2" t="inlineStr"/>
    </row>
    <row r="992" ht="15" customHeight="1">
      <c r="A992" t="inlineStr">
        <is>
          <t>A 46552-2019</t>
        </is>
      </c>
      <c r="B992" s="1" t="n">
        <v>43719</v>
      </c>
      <c r="C992" s="1" t="n">
        <v>45797</v>
      </c>
      <c r="D992" t="inlineStr">
        <is>
          <t>ÖREBRO LÄN</t>
        </is>
      </c>
      <c r="E992" t="inlineStr">
        <is>
          <t>ÖREBRO</t>
        </is>
      </c>
      <c r="G992" t="n">
        <v>1.3</v>
      </c>
      <c r="H992" t="n">
        <v>0</v>
      </c>
      <c r="I992" t="n">
        <v>0</v>
      </c>
      <c r="J992" t="n">
        <v>0</v>
      </c>
      <c r="K992" t="n">
        <v>0</v>
      </c>
      <c r="L992" t="n">
        <v>0</v>
      </c>
      <c r="M992" t="n">
        <v>0</v>
      </c>
      <c r="N992" t="n">
        <v>0</v>
      </c>
      <c r="O992" t="n">
        <v>0</v>
      </c>
      <c r="P992" t="n">
        <v>0</v>
      </c>
      <c r="Q992" t="n">
        <v>0</v>
      </c>
      <c r="R992" s="2" t="inlineStr"/>
    </row>
    <row r="993" ht="15" customHeight="1">
      <c r="A993" t="inlineStr">
        <is>
          <t>A 46900-2019</t>
        </is>
      </c>
      <c r="B993" s="1" t="n">
        <v>43719</v>
      </c>
      <c r="C993" s="1" t="n">
        <v>45797</v>
      </c>
      <c r="D993" t="inlineStr">
        <is>
          <t>ÖREBRO LÄN</t>
        </is>
      </c>
      <c r="E993" t="inlineStr">
        <is>
          <t>ÖREBRO</t>
        </is>
      </c>
      <c r="F993" t="inlineStr">
        <is>
          <t>Kommuner</t>
        </is>
      </c>
      <c r="G993" t="n">
        <v>1.7</v>
      </c>
      <c r="H993" t="n">
        <v>0</v>
      </c>
      <c r="I993" t="n">
        <v>0</v>
      </c>
      <c r="J993" t="n">
        <v>0</v>
      </c>
      <c r="K993" t="n">
        <v>0</v>
      </c>
      <c r="L993" t="n">
        <v>0</v>
      </c>
      <c r="M993" t="n">
        <v>0</v>
      </c>
      <c r="N993" t="n">
        <v>0</v>
      </c>
      <c r="O993" t="n">
        <v>0</v>
      </c>
      <c r="P993" t="n">
        <v>0</v>
      </c>
      <c r="Q993" t="n">
        <v>0</v>
      </c>
      <c r="R993" s="2" t="inlineStr"/>
    </row>
    <row r="994" ht="15" customHeight="1">
      <c r="A994" t="inlineStr">
        <is>
          <t>A 46932-2019</t>
        </is>
      </c>
      <c r="B994" s="1" t="n">
        <v>43720</v>
      </c>
      <c r="C994" s="1" t="n">
        <v>45797</v>
      </c>
      <c r="D994" t="inlineStr">
        <is>
          <t>ÖREBRO LÄN</t>
        </is>
      </c>
      <c r="E994" t="inlineStr">
        <is>
          <t>ASKERSUND</t>
        </is>
      </c>
      <c r="G994" t="n">
        <v>1.7</v>
      </c>
      <c r="H994" t="n">
        <v>0</v>
      </c>
      <c r="I994" t="n">
        <v>0</v>
      </c>
      <c r="J994" t="n">
        <v>0</v>
      </c>
      <c r="K994" t="n">
        <v>0</v>
      </c>
      <c r="L994" t="n">
        <v>0</v>
      </c>
      <c r="M994" t="n">
        <v>0</v>
      </c>
      <c r="N994" t="n">
        <v>0</v>
      </c>
      <c r="O994" t="n">
        <v>0</v>
      </c>
      <c r="P994" t="n">
        <v>0</v>
      </c>
      <c r="Q994" t="n">
        <v>0</v>
      </c>
      <c r="R994" s="2" t="inlineStr"/>
    </row>
    <row r="995" ht="15" customHeight="1">
      <c r="A995" t="inlineStr">
        <is>
          <t>A 47064-2019</t>
        </is>
      </c>
      <c r="B995" s="1" t="n">
        <v>43720</v>
      </c>
      <c r="C995" s="1" t="n">
        <v>45797</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47059-2019</t>
        </is>
      </c>
      <c r="B996" s="1" t="n">
        <v>43720</v>
      </c>
      <c r="C996" s="1" t="n">
        <v>45797</v>
      </c>
      <c r="D996" t="inlineStr">
        <is>
          <t>ÖREBRO LÄN</t>
        </is>
      </c>
      <c r="E996" t="inlineStr">
        <is>
          <t>LINDESBERG</t>
        </is>
      </c>
      <c r="G996" t="n">
        <v>6.1</v>
      </c>
      <c r="H996" t="n">
        <v>0</v>
      </c>
      <c r="I996" t="n">
        <v>0</v>
      </c>
      <c r="J996" t="n">
        <v>0</v>
      </c>
      <c r="K996" t="n">
        <v>0</v>
      </c>
      <c r="L996" t="n">
        <v>0</v>
      </c>
      <c r="M996" t="n">
        <v>0</v>
      </c>
      <c r="N996" t="n">
        <v>0</v>
      </c>
      <c r="O996" t="n">
        <v>0</v>
      </c>
      <c r="P996" t="n">
        <v>0</v>
      </c>
      <c r="Q996" t="n">
        <v>0</v>
      </c>
      <c r="R996" s="2" t="inlineStr"/>
    </row>
    <row r="997" ht="15" customHeight="1">
      <c r="A997" t="inlineStr">
        <is>
          <t>A 47219-2019</t>
        </is>
      </c>
      <c r="B997" s="1" t="n">
        <v>43721</v>
      </c>
      <c r="C997" s="1" t="n">
        <v>45797</v>
      </c>
      <c r="D997" t="inlineStr">
        <is>
          <t>ÖREBRO LÄN</t>
        </is>
      </c>
      <c r="E997" t="inlineStr">
        <is>
          <t>HÄLLEFORS</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47175-2019</t>
        </is>
      </c>
      <c r="B998" s="1" t="n">
        <v>43721</v>
      </c>
      <c r="C998" s="1" t="n">
        <v>45797</v>
      </c>
      <c r="D998" t="inlineStr">
        <is>
          <t>ÖREBRO LÄN</t>
        </is>
      </c>
      <c r="E998" t="inlineStr">
        <is>
          <t>HÄLLEFORS</t>
        </is>
      </c>
      <c r="F998" t="inlineStr">
        <is>
          <t>Sveaskog</t>
        </is>
      </c>
      <c r="G998" t="n">
        <v>5.6</v>
      </c>
      <c r="H998" t="n">
        <v>0</v>
      </c>
      <c r="I998" t="n">
        <v>0</v>
      </c>
      <c r="J998" t="n">
        <v>0</v>
      </c>
      <c r="K998" t="n">
        <v>0</v>
      </c>
      <c r="L998" t="n">
        <v>0</v>
      </c>
      <c r="M998" t="n">
        <v>0</v>
      </c>
      <c r="N998" t="n">
        <v>0</v>
      </c>
      <c r="O998" t="n">
        <v>0</v>
      </c>
      <c r="P998" t="n">
        <v>0</v>
      </c>
      <c r="Q998" t="n">
        <v>0</v>
      </c>
      <c r="R998" s="2" t="inlineStr"/>
    </row>
    <row r="999" ht="15" customHeight="1">
      <c r="A999" t="inlineStr">
        <is>
          <t>A 47418-2019</t>
        </is>
      </c>
      <c r="B999" s="1" t="n">
        <v>43723</v>
      </c>
      <c r="C999" s="1" t="n">
        <v>45797</v>
      </c>
      <c r="D999" t="inlineStr">
        <is>
          <t>ÖREBRO LÄN</t>
        </is>
      </c>
      <c r="E999" t="inlineStr">
        <is>
          <t>LINDESBERG</t>
        </is>
      </c>
      <c r="F999" t="inlineStr">
        <is>
          <t>Kyrkan</t>
        </is>
      </c>
      <c r="G999" t="n">
        <v>6.1</v>
      </c>
      <c r="H999" t="n">
        <v>0</v>
      </c>
      <c r="I999" t="n">
        <v>0</v>
      </c>
      <c r="J999" t="n">
        <v>0</v>
      </c>
      <c r="K999" t="n">
        <v>0</v>
      </c>
      <c r="L999" t="n">
        <v>0</v>
      </c>
      <c r="M999" t="n">
        <v>0</v>
      </c>
      <c r="N999" t="n">
        <v>0</v>
      </c>
      <c r="O999" t="n">
        <v>0</v>
      </c>
      <c r="P999" t="n">
        <v>0</v>
      </c>
      <c r="Q999" t="n">
        <v>0</v>
      </c>
      <c r="R999" s="2" t="inlineStr"/>
    </row>
    <row r="1000" ht="15" customHeight="1">
      <c r="A1000" t="inlineStr">
        <is>
          <t>A 47786-2019</t>
        </is>
      </c>
      <c r="B1000" s="1" t="n">
        <v>43724</v>
      </c>
      <c r="C1000" s="1" t="n">
        <v>45797</v>
      </c>
      <c r="D1000" t="inlineStr">
        <is>
          <t>ÖREBRO LÄN</t>
        </is>
      </c>
      <c r="E1000" t="inlineStr">
        <is>
          <t>ASKERSUND</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47880-2019</t>
        </is>
      </c>
      <c r="B1001" s="1" t="n">
        <v>43725</v>
      </c>
      <c r="C1001" s="1" t="n">
        <v>45797</v>
      </c>
      <c r="D1001" t="inlineStr">
        <is>
          <t>ÖREBRO LÄN</t>
        </is>
      </c>
      <c r="E1001" t="inlineStr">
        <is>
          <t>HALLSBERG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47884-2019</t>
        </is>
      </c>
      <c r="B1002" s="1" t="n">
        <v>43725</v>
      </c>
      <c r="C1002" s="1" t="n">
        <v>45797</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48050-2019</t>
        </is>
      </c>
      <c r="B1003" s="1" t="n">
        <v>43725</v>
      </c>
      <c r="C1003" s="1" t="n">
        <v>45797</v>
      </c>
      <c r="D1003" t="inlineStr">
        <is>
          <t>ÖREBRO LÄN</t>
        </is>
      </c>
      <c r="E1003" t="inlineStr">
        <is>
          <t>LINDESBERG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48048-2019</t>
        </is>
      </c>
      <c r="B1004" s="1" t="n">
        <v>43725</v>
      </c>
      <c r="C1004" s="1" t="n">
        <v>45797</v>
      </c>
      <c r="D1004" t="inlineStr">
        <is>
          <t>ÖREBRO LÄN</t>
        </is>
      </c>
      <c r="E1004" t="inlineStr">
        <is>
          <t>LINDESBERG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48224-2019</t>
        </is>
      </c>
      <c r="B1005" s="1" t="n">
        <v>43726</v>
      </c>
      <c r="C1005" s="1" t="n">
        <v>45797</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48206-2019</t>
        </is>
      </c>
      <c r="B1006" s="1" t="n">
        <v>43726</v>
      </c>
      <c r="C1006" s="1" t="n">
        <v>45797</v>
      </c>
      <c r="D1006" t="inlineStr">
        <is>
          <t>ÖREBRO LÄN</t>
        </is>
      </c>
      <c r="E1006" t="inlineStr">
        <is>
          <t>HÄLLEFORS</t>
        </is>
      </c>
      <c r="F1006" t="inlineStr">
        <is>
          <t>Bergvik skog väst AB</t>
        </is>
      </c>
      <c r="G1006" t="n">
        <v>13.6</v>
      </c>
      <c r="H1006" t="n">
        <v>0</v>
      </c>
      <c r="I1006" t="n">
        <v>0</v>
      </c>
      <c r="J1006" t="n">
        <v>0</v>
      </c>
      <c r="K1006" t="n">
        <v>0</v>
      </c>
      <c r="L1006" t="n">
        <v>0</v>
      </c>
      <c r="M1006" t="n">
        <v>0</v>
      </c>
      <c r="N1006" t="n">
        <v>0</v>
      </c>
      <c r="O1006" t="n">
        <v>0</v>
      </c>
      <c r="P1006" t="n">
        <v>0</v>
      </c>
      <c r="Q1006" t="n">
        <v>0</v>
      </c>
      <c r="R1006" s="2" t="inlineStr"/>
    </row>
    <row r="1007" ht="15" customHeight="1">
      <c r="A1007" t="inlineStr">
        <is>
          <t>A 48995-2019</t>
        </is>
      </c>
      <c r="B1007" s="1" t="n">
        <v>43730</v>
      </c>
      <c r="C1007" s="1" t="n">
        <v>45797</v>
      </c>
      <c r="D1007" t="inlineStr">
        <is>
          <t>ÖREBRO LÄN</t>
        </is>
      </c>
      <c r="E1007" t="inlineStr">
        <is>
          <t>ASKERSUND</t>
        </is>
      </c>
      <c r="F1007" t="inlineStr">
        <is>
          <t>Sveaskog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49207-2019</t>
        </is>
      </c>
      <c r="B1008" s="1" t="n">
        <v>43731</v>
      </c>
      <c r="C1008" s="1" t="n">
        <v>45797</v>
      </c>
      <c r="D1008" t="inlineStr">
        <is>
          <t>ÖREBRO LÄN</t>
        </is>
      </c>
      <c r="E1008" t="inlineStr">
        <is>
          <t>LINDESBERG</t>
        </is>
      </c>
      <c r="F1008" t="inlineStr">
        <is>
          <t>Kyrkan</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49145-2019</t>
        </is>
      </c>
      <c r="B1009" s="1" t="n">
        <v>43731</v>
      </c>
      <c r="C1009" s="1" t="n">
        <v>45797</v>
      </c>
      <c r="D1009" t="inlineStr">
        <is>
          <t>ÖREBRO LÄN</t>
        </is>
      </c>
      <c r="E1009" t="inlineStr">
        <is>
          <t>LINDESBERG</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49330-2019</t>
        </is>
      </c>
      <c r="B1010" s="1" t="n">
        <v>43731</v>
      </c>
      <c r="C1010" s="1" t="n">
        <v>45797</v>
      </c>
      <c r="D1010" t="inlineStr">
        <is>
          <t>ÖREBRO LÄN</t>
        </is>
      </c>
      <c r="E1010" t="inlineStr">
        <is>
          <t>ASKERSUND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49461-2019</t>
        </is>
      </c>
      <c r="B1011" s="1" t="n">
        <v>43732</v>
      </c>
      <c r="C1011" s="1" t="n">
        <v>45797</v>
      </c>
      <c r="D1011" t="inlineStr">
        <is>
          <t>ÖREBRO LÄN</t>
        </is>
      </c>
      <c r="E1011" t="inlineStr">
        <is>
          <t>LAXÅ</t>
        </is>
      </c>
      <c r="F1011" t="inlineStr">
        <is>
          <t>Övriga statliga verk och myndigheter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51442-2019</t>
        </is>
      </c>
      <c r="B1012" s="1" t="n">
        <v>43732</v>
      </c>
      <c r="C1012" s="1" t="n">
        <v>45797</v>
      </c>
      <c r="D1012" t="inlineStr">
        <is>
          <t>ÖREBRO LÄN</t>
        </is>
      </c>
      <c r="E1012" t="inlineStr">
        <is>
          <t>HÄLLEFORS</t>
        </is>
      </c>
      <c r="F1012" t="inlineStr">
        <is>
          <t>Kyrkan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49724-2019</t>
        </is>
      </c>
      <c r="B1013" s="1" t="n">
        <v>43733</v>
      </c>
      <c r="C1013" s="1" t="n">
        <v>45797</v>
      </c>
      <c r="D1013" t="inlineStr">
        <is>
          <t>ÖREBRO LÄN</t>
        </is>
      </c>
      <c r="E1013" t="inlineStr">
        <is>
          <t>ASKERSUND</t>
        </is>
      </c>
      <c r="F1013" t="inlineStr">
        <is>
          <t>Sveaskog</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49926-2019</t>
        </is>
      </c>
      <c r="B1014" s="1" t="n">
        <v>43733</v>
      </c>
      <c r="C1014" s="1" t="n">
        <v>45797</v>
      </c>
      <c r="D1014" t="inlineStr">
        <is>
          <t>ÖREBRO LÄN</t>
        </is>
      </c>
      <c r="E1014" t="inlineStr">
        <is>
          <t>ÖREBRO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51450-2019</t>
        </is>
      </c>
      <c r="B1015" s="1" t="n">
        <v>43733</v>
      </c>
      <c r="C1015" s="1" t="n">
        <v>45797</v>
      </c>
      <c r="D1015" t="inlineStr">
        <is>
          <t>ÖREBRO LÄN</t>
        </is>
      </c>
      <c r="E1015" t="inlineStr">
        <is>
          <t>KUMLA</t>
        </is>
      </c>
      <c r="F1015" t="inlineStr">
        <is>
          <t>Kommuner</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50074-2019</t>
        </is>
      </c>
      <c r="B1016" s="1" t="n">
        <v>43734</v>
      </c>
      <c r="C1016" s="1" t="n">
        <v>45797</v>
      </c>
      <c r="D1016" t="inlineStr">
        <is>
          <t>ÖREBRO LÄN</t>
        </is>
      </c>
      <c r="E1016" t="inlineStr">
        <is>
          <t>ÖREBRO</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50080-2019</t>
        </is>
      </c>
      <c r="B1017" s="1" t="n">
        <v>43734</v>
      </c>
      <c r="C1017" s="1" t="n">
        <v>45797</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50146-2019</t>
        </is>
      </c>
      <c r="B1018" s="1" t="n">
        <v>43734</v>
      </c>
      <c r="C1018" s="1" t="n">
        <v>45797</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50136-2019</t>
        </is>
      </c>
      <c r="B1019" s="1" t="n">
        <v>43734</v>
      </c>
      <c r="C1019" s="1" t="n">
        <v>45797</v>
      </c>
      <c r="D1019" t="inlineStr">
        <is>
          <t>ÖREBRO LÄN</t>
        </is>
      </c>
      <c r="E1019" t="inlineStr">
        <is>
          <t>LINDESBERG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50306-2019</t>
        </is>
      </c>
      <c r="B1020" s="1" t="n">
        <v>43734</v>
      </c>
      <c r="C1020" s="1" t="n">
        <v>45797</v>
      </c>
      <c r="D1020" t="inlineStr">
        <is>
          <t>ÖREBRO LÄN</t>
        </is>
      </c>
      <c r="E1020" t="inlineStr">
        <is>
          <t>LINDESBERG</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50130-2019</t>
        </is>
      </c>
      <c r="B1021" s="1" t="n">
        <v>43734</v>
      </c>
      <c r="C1021" s="1" t="n">
        <v>45797</v>
      </c>
      <c r="D1021" t="inlineStr">
        <is>
          <t>ÖREBRO LÄN</t>
        </is>
      </c>
      <c r="E1021" t="inlineStr">
        <is>
          <t>LINDESBERG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50148-2019</t>
        </is>
      </c>
      <c r="B1022" s="1" t="n">
        <v>43734</v>
      </c>
      <c r="C1022" s="1" t="n">
        <v>45797</v>
      </c>
      <c r="D1022" t="inlineStr">
        <is>
          <t>ÖREBRO LÄN</t>
        </is>
      </c>
      <c r="E1022" t="inlineStr">
        <is>
          <t>ÖREBRO</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50366-2019</t>
        </is>
      </c>
      <c r="B1023" s="1" t="n">
        <v>43735</v>
      </c>
      <c r="C1023" s="1" t="n">
        <v>45797</v>
      </c>
      <c r="D1023" t="inlineStr">
        <is>
          <t>ÖREBRO LÄN</t>
        </is>
      </c>
      <c r="E1023" t="inlineStr">
        <is>
          <t>ÖREBRO</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50321-2019</t>
        </is>
      </c>
      <c r="B1024" s="1" t="n">
        <v>43735</v>
      </c>
      <c r="C1024" s="1" t="n">
        <v>45797</v>
      </c>
      <c r="D1024" t="inlineStr">
        <is>
          <t>ÖREBRO LÄN</t>
        </is>
      </c>
      <c r="E1024" t="inlineStr">
        <is>
          <t>ÖREBRO</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50527-2019</t>
        </is>
      </c>
      <c r="B1025" s="1" t="n">
        <v>43735</v>
      </c>
      <c r="C1025" s="1" t="n">
        <v>45797</v>
      </c>
      <c r="D1025" t="inlineStr">
        <is>
          <t>ÖREBRO LÄN</t>
        </is>
      </c>
      <c r="E1025" t="inlineStr">
        <is>
          <t>ASKERSUND</t>
        </is>
      </c>
      <c r="F1025" t="inlineStr">
        <is>
          <t>Kommuner</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50543-2019</t>
        </is>
      </c>
      <c r="B1026" s="1" t="n">
        <v>43735</v>
      </c>
      <c r="C1026" s="1" t="n">
        <v>45797</v>
      </c>
      <c r="D1026" t="inlineStr">
        <is>
          <t>ÖREBRO LÄN</t>
        </is>
      </c>
      <c r="E1026" t="inlineStr">
        <is>
          <t>HALLSBERG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50485-2019</t>
        </is>
      </c>
      <c r="B1027" s="1" t="n">
        <v>43735</v>
      </c>
      <c r="C1027" s="1" t="n">
        <v>45797</v>
      </c>
      <c r="D1027" t="inlineStr">
        <is>
          <t>ÖREBRO LÄN</t>
        </is>
      </c>
      <c r="E1027" t="inlineStr">
        <is>
          <t>LJUSNARSBERG</t>
        </is>
      </c>
      <c r="F1027" t="inlineStr">
        <is>
          <t>Bergvik skog väst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50531-2019</t>
        </is>
      </c>
      <c r="B1028" s="1" t="n">
        <v>43735</v>
      </c>
      <c r="C1028" s="1" t="n">
        <v>45797</v>
      </c>
      <c r="D1028" t="inlineStr">
        <is>
          <t>ÖREBRO LÄN</t>
        </is>
      </c>
      <c r="E1028" t="inlineStr">
        <is>
          <t>HALLSBERG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50675-2019</t>
        </is>
      </c>
      <c r="B1029" s="1" t="n">
        <v>43738</v>
      </c>
      <c r="C1029" s="1" t="n">
        <v>45797</v>
      </c>
      <c r="D1029" t="inlineStr">
        <is>
          <t>ÖREBRO LÄN</t>
        </is>
      </c>
      <c r="E1029" t="inlineStr">
        <is>
          <t>LINDESBERG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50889-2019</t>
        </is>
      </c>
      <c r="B1030" s="1" t="n">
        <v>43738</v>
      </c>
      <c r="C1030" s="1" t="n">
        <v>45797</v>
      </c>
      <c r="D1030" t="inlineStr">
        <is>
          <t>ÖREBRO LÄN</t>
        </is>
      </c>
      <c r="E1030" t="inlineStr">
        <is>
          <t>LINDESBERG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50945-2019</t>
        </is>
      </c>
      <c r="B1031" s="1" t="n">
        <v>43738</v>
      </c>
      <c r="C1031" s="1" t="n">
        <v>45797</v>
      </c>
      <c r="D1031" t="inlineStr">
        <is>
          <t>ÖREBRO LÄN</t>
        </is>
      </c>
      <c r="E1031" t="inlineStr">
        <is>
          <t>LINDESBERG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52705-2019</t>
        </is>
      </c>
      <c r="B1032" s="1" t="n">
        <v>43739</v>
      </c>
      <c r="C1032" s="1" t="n">
        <v>45797</v>
      </c>
      <c r="D1032" t="inlineStr">
        <is>
          <t>ÖREBRO LÄN</t>
        </is>
      </c>
      <c r="E1032" t="inlineStr">
        <is>
          <t>ÖREBRO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52760-2019</t>
        </is>
      </c>
      <c r="B1033" s="1" t="n">
        <v>43739</v>
      </c>
      <c r="C1033" s="1" t="n">
        <v>45797</v>
      </c>
      <c r="D1033" t="inlineStr">
        <is>
          <t>ÖREBRO LÄN</t>
        </is>
      </c>
      <c r="E1033" t="inlineStr">
        <is>
          <t>ASKERSUND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51367-2019</t>
        </is>
      </c>
      <c r="B1034" s="1" t="n">
        <v>43740</v>
      </c>
      <c r="C1034" s="1" t="n">
        <v>45797</v>
      </c>
      <c r="D1034" t="inlineStr">
        <is>
          <t>ÖREBRO LÄN</t>
        </is>
      </c>
      <c r="E1034" t="inlineStr">
        <is>
          <t>LAXÅ</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51385-2019</t>
        </is>
      </c>
      <c r="B1035" s="1" t="n">
        <v>43740</v>
      </c>
      <c r="C1035" s="1" t="n">
        <v>45797</v>
      </c>
      <c r="D1035" t="inlineStr">
        <is>
          <t>ÖREBRO LÄN</t>
        </is>
      </c>
      <c r="E1035" t="inlineStr">
        <is>
          <t>LAXÅ</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51375-2019</t>
        </is>
      </c>
      <c r="B1036" s="1" t="n">
        <v>43740</v>
      </c>
      <c r="C1036" s="1" t="n">
        <v>45797</v>
      </c>
      <c r="D1036" t="inlineStr">
        <is>
          <t>ÖREBRO LÄN</t>
        </is>
      </c>
      <c r="E1036" t="inlineStr">
        <is>
          <t>LINDESBERG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51564-2019</t>
        </is>
      </c>
      <c r="B1037" s="1" t="n">
        <v>43740</v>
      </c>
      <c r="C1037" s="1" t="n">
        <v>45797</v>
      </c>
      <c r="D1037" t="inlineStr">
        <is>
          <t>ÖREBRO LÄN</t>
        </is>
      </c>
      <c r="E1037" t="inlineStr">
        <is>
          <t>LAXÅ</t>
        </is>
      </c>
      <c r="F1037" t="inlineStr">
        <is>
          <t>Sveaskog</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51538-2019</t>
        </is>
      </c>
      <c r="B1038" s="1" t="n">
        <v>43740</v>
      </c>
      <c r="C1038" s="1" t="n">
        <v>45797</v>
      </c>
      <c r="D1038" t="inlineStr">
        <is>
          <t>ÖREBRO LÄN</t>
        </is>
      </c>
      <c r="E1038" t="inlineStr">
        <is>
          <t>LINDESBERG</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51641-2019</t>
        </is>
      </c>
      <c r="B1039" s="1" t="n">
        <v>43740</v>
      </c>
      <c r="C1039" s="1" t="n">
        <v>45797</v>
      </c>
      <c r="D1039" t="inlineStr">
        <is>
          <t>ÖREBRO LÄN</t>
        </is>
      </c>
      <c r="E1039" t="inlineStr">
        <is>
          <t>HALLSBERG</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51576-2019</t>
        </is>
      </c>
      <c r="B1040" s="1" t="n">
        <v>43740</v>
      </c>
      <c r="C1040" s="1" t="n">
        <v>45797</v>
      </c>
      <c r="D1040" t="inlineStr">
        <is>
          <t>ÖREBRO LÄN</t>
        </is>
      </c>
      <c r="E1040" t="inlineStr">
        <is>
          <t>LAXÅ</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51627-2019</t>
        </is>
      </c>
      <c r="B1041" s="1" t="n">
        <v>43740</v>
      </c>
      <c r="C1041" s="1" t="n">
        <v>45797</v>
      </c>
      <c r="D1041" t="inlineStr">
        <is>
          <t>ÖREBRO LÄN</t>
        </is>
      </c>
      <c r="E1041" t="inlineStr">
        <is>
          <t>LINDESBERG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51567-2019</t>
        </is>
      </c>
      <c r="B1042" s="1" t="n">
        <v>43740</v>
      </c>
      <c r="C1042" s="1" t="n">
        <v>45797</v>
      </c>
      <c r="D1042" t="inlineStr">
        <is>
          <t>ÖREBRO LÄN</t>
        </is>
      </c>
      <c r="E1042" t="inlineStr">
        <is>
          <t>LAXÅ</t>
        </is>
      </c>
      <c r="F1042" t="inlineStr">
        <is>
          <t>Sveaskog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51386-2019</t>
        </is>
      </c>
      <c r="B1043" s="1" t="n">
        <v>43740</v>
      </c>
      <c r="C1043" s="1" t="n">
        <v>45797</v>
      </c>
      <c r="D1043" t="inlineStr">
        <is>
          <t>ÖREBRO LÄN</t>
        </is>
      </c>
      <c r="E1043" t="inlineStr">
        <is>
          <t>LAXÅ</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52960-2019</t>
        </is>
      </c>
      <c r="B1044" s="1" t="n">
        <v>43740</v>
      </c>
      <c r="C1044" s="1" t="n">
        <v>45797</v>
      </c>
      <c r="D1044" t="inlineStr">
        <is>
          <t>ÖREBRO LÄN</t>
        </is>
      </c>
      <c r="E1044" t="inlineStr">
        <is>
          <t>LINDESBERG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51781-2019</t>
        </is>
      </c>
      <c r="B1045" s="1" t="n">
        <v>43741</v>
      </c>
      <c r="C1045" s="1" t="n">
        <v>45797</v>
      </c>
      <c r="D1045" t="inlineStr">
        <is>
          <t>ÖREBRO LÄN</t>
        </is>
      </c>
      <c r="E1045" t="inlineStr">
        <is>
          <t>ASKERSUND</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51808-2019</t>
        </is>
      </c>
      <c r="B1046" s="1" t="n">
        <v>43741</v>
      </c>
      <c r="C1046" s="1" t="n">
        <v>45797</v>
      </c>
      <c r="D1046" t="inlineStr">
        <is>
          <t>ÖREBRO LÄN</t>
        </is>
      </c>
      <c r="E1046" t="inlineStr">
        <is>
          <t>ÖREBRO</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52350-2019</t>
        </is>
      </c>
      <c r="B1047" s="1" t="n">
        <v>43745</v>
      </c>
      <c r="C1047" s="1" t="n">
        <v>45797</v>
      </c>
      <c r="D1047" t="inlineStr">
        <is>
          <t>ÖREBRO LÄN</t>
        </is>
      </c>
      <c r="E1047" t="inlineStr">
        <is>
          <t>LINDESBERG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52377-2019</t>
        </is>
      </c>
      <c r="B1048" s="1" t="n">
        <v>43745</v>
      </c>
      <c r="C1048" s="1" t="n">
        <v>45797</v>
      </c>
      <c r="D1048" t="inlineStr">
        <is>
          <t>ÖREBRO LÄN</t>
        </is>
      </c>
      <c r="E1048" t="inlineStr">
        <is>
          <t>LEKEBERG</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52400-2019</t>
        </is>
      </c>
      <c r="B1049" s="1" t="n">
        <v>43745</v>
      </c>
      <c r="C1049" s="1" t="n">
        <v>45797</v>
      </c>
      <c r="D1049" t="inlineStr">
        <is>
          <t>ÖREBRO LÄN</t>
        </is>
      </c>
      <c r="E1049" t="inlineStr">
        <is>
          <t>DEGERFORS</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52360-2019</t>
        </is>
      </c>
      <c r="B1050" s="1" t="n">
        <v>43745</v>
      </c>
      <c r="C1050" s="1" t="n">
        <v>45797</v>
      </c>
      <c r="D1050" t="inlineStr">
        <is>
          <t>ÖREBRO LÄN</t>
        </is>
      </c>
      <c r="E1050" t="inlineStr">
        <is>
          <t>DEGERFORS</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52329-2019</t>
        </is>
      </c>
      <c r="B1051" s="1" t="n">
        <v>43745</v>
      </c>
      <c r="C1051" s="1" t="n">
        <v>45797</v>
      </c>
      <c r="D1051" t="inlineStr">
        <is>
          <t>ÖREBRO LÄN</t>
        </is>
      </c>
      <c r="E1051" t="inlineStr">
        <is>
          <t>HÄLLEFORS</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52357-2019</t>
        </is>
      </c>
      <c r="B1052" s="1" t="n">
        <v>43745</v>
      </c>
      <c r="C1052" s="1" t="n">
        <v>45797</v>
      </c>
      <c r="D1052" t="inlineStr">
        <is>
          <t>ÖREBRO LÄN</t>
        </is>
      </c>
      <c r="E1052" t="inlineStr">
        <is>
          <t>DEGERFORS</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52372-2019</t>
        </is>
      </c>
      <c r="B1053" s="1" t="n">
        <v>43745</v>
      </c>
      <c r="C1053" s="1" t="n">
        <v>45797</v>
      </c>
      <c r="D1053" t="inlineStr">
        <is>
          <t>ÖREBRO LÄN</t>
        </is>
      </c>
      <c r="E1053" t="inlineStr">
        <is>
          <t>DEGERFORS</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52452-2019</t>
        </is>
      </c>
      <c r="B1054" s="1" t="n">
        <v>43745</v>
      </c>
      <c r="C1054" s="1" t="n">
        <v>45797</v>
      </c>
      <c r="D1054" t="inlineStr">
        <is>
          <t>ÖREBRO LÄN</t>
        </is>
      </c>
      <c r="E1054" t="inlineStr">
        <is>
          <t>HÄLLEFORS</t>
        </is>
      </c>
      <c r="F1054" t="inlineStr">
        <is>
          <t>Bergvik skog väst AB</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52368-2019</t>
        </is>
      </c>
      <c r="B1055" s="1" t="n">
        <v>43745</v>
      </c>
      <c r="C1055" s="1" t="n">
        <v>45797</v>
      </c>
      <c r="D1055" t="inlineStr">
        <is>
          <t>ÖREBRO LÄN</t>
        </is>
      </c>
      <c r="E1055" t="inlineStr">
        <is>
          <t>LINDESBERG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52380-2019</t>
        </is>
      </c>
      <c r="B1056" s="1" t="n">
        <v>43745</v>
      </c>
      <c r="C1056" s="1" t="n">
        <v>45797</v>
      </c>
      <c r="D1056" t="inlineStr">
        <is>
          <t>ÖREBRO LÄN</t>
        </is>
      </c>
      <c r="E1056" t="inlineStr">
        <is>
          <t>LEKEBERG</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52402-2019</t>
        </is>
      </c>
      <c r="B1057" s="1" t="n">
        <v>43745</v>
      </c>
      <c r="C1057" s="1" t="n">
        <v>45797</v>
      </c>
      <c r="D1057" t="inlineStr">
        <is>
          <t>ÖREBRO LÄN</t>
        </is>
      </c>
      <c r="E1057" t="inlineStr">
        <is>
          <t>NORA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52411-2019</t>
        </is>
      </c>
      <c r="B1058" s="1" t="n">
        <v>43745</v>
      </c>
      <c r="C1058" s="1" t="n">
        <v>45797</v>
      </c>
      <c r="D1058" t="inlineStr">
        <is>
          <t>ÖREBRO LÄN</t>
        </is>
      </c>
      <c r="E1058" t="inlineStr">
        <is>
          <t>HÄLLEFORS</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54181-2019</t>
        </is>
      </c>
      <c r="B1059" s="1" t="n">
        <v>43745</v>
      </c>
      <c r="C1059" s="1" t="n">
        <v>45797</v>
      </c>
      <c r="D1059" t="inlineStr">
        <is>
          <t>ÖREBRO LÄN</t>
        </is>
      </c>
      <c r="E1059" t="inlineStr">
        <is>
          <t>ÖREBRO</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52711-2019</t>
        </is>
      </c>
      <c r="B1060" s="1" t="n">
        <v>43746</v>
      </c>
      <c r="C1060" s="1" t="n">
        <v>45797</v>
      </c>
      <c r="D1060" t="inlineStr">
        <is>
          <t>ÖREBRO LÄN</t>
        </is>
      </c>
      <c r="E1060" t="inlineStr">
        <is>
          <t>HÄLLEFORS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52818-2019</t>
        </is>
      </c>
      <c r="B1061" s="1" t="n">
        <v>43746</v>
      </c>
      <c r="C1061" s="1" t="n">
        <v>45797</v>
      </c>
      <c r="D1061" t="inlineStr">
        <is>
          <t>ÖREBRO LÄN</t>
        </is>
      </c>
      <c r="E1061" t="inlineStr">
        <is>
          <t>LINDESBERG</t>
        </is>
      </c>
      <c r="F1061" t="inlineStr">
        <is>
          <t>Sveaskog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52804-2019</t>
        </is>
      </c>
      <c r="B1062" s="1" t="n">
        <v>43746</v>
      </c>
      <c r="C1062" s="1" t="n">
        <v>45797</v>
      </c>
      <c r="D1062" t="inlineStr">
        <is>
          <t>ÖREBRO LÄN</t>
        </is>
      </c>
      <c r="E1062" t="inlineStr">
        <is>
          <t>ASKERSUND</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53031-2019</t>
        </is>
      </c>
      <c r="B1063" s="1" t="n">
        <v>43747</v>
      </c>
      <c r="C1063" s="1" t="n">
        <v>45797</v>
      </c>
      <c r="D1063" t="inlineStr">
        <is>
          <t>ÖREBRO LÄN</t>
        </is>
      </c>
      <c r="E1063" t="inlineStr">
        <is>
          <t>HÄLLEFORS</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53062-2019</t>
        </is>
      </c>
      <c r="B1064" s="1" t="n">
        <v>43747</v>
      </c>
      <c r="C1064" s="1" t="n">
        <v>45797</v>
      </c>
      <c r="D1064" t="inlineStr">
        <is>
          <t>ÖREBRO LÄN</t>
        </is>
      </c>
      <c r="E1064" t="inlineStr">
        <is>
          <t>HÄLLEFORS</t>
        </is>
      </c>
      <c r="F1064" t="inlineStr">
        <is>
          <t>Bergvik skog väst AB</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53029-2019</t>
        </is>
      </c>
      <c r="B1065" s="1" t="n">
        <v>43747</v>
      </c>
      <c r="C1065" s="1" t="n">
        <v>45797</v>
      </c>
      <c r="D1065" t="inlineStr">
        <is>
          <t>ÖREBRO LÄN</t>
        </is>
      </c>
      <c r="E1065" t="inlineStr">
        <is>
          <t>HÄLLEFORS</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54389-2019</t>
        </is>
      </c>
      <c r="B1066" s="1" t="n">
        <v>43747</v>
      </c>
      <c r="C1066" s="1" t="n">
        <v>45797</v>
      </c>
      <c r="D1066" t="inlineStr">
        <is>
          <t>ÖREBRO LÄN</t>
        </is>
      </c>
      <c r="E1066" t="inlineStr">
        <is>
          <t>KARLSKOGA</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53382-2019</t>
        </is>
      </c>
      <c r="B1067" s="1" t="n">
        <v>43748</v>
      </c>
      <c r="C1067" s="1" t="n">
        <v>45797</v>
      </c>
      <c r="D1067" t="inlineStr">
        <is>
          <t>ÖREBRO LÄN</t>
        </is>
      </c>
      <c r="E1067" t="inlineStr">
        <is>
          <t>ASKERSUND</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53337-2019</t>
        </is>
      </c>
      <c r="B1068" s="1" t="n">
        <v>43748</v>
      </c>
      <c r="C1068" s="1" t="n">
        <v>45797</v>
      </c>
      <c r="D1068" t="inlineStr">
        <is>
          <t>ÖREBRO LÄN</t>
        </is>
      </c>
      <c r="E1068" t="inlineStr">
        <is>
          <t>KUMLA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53446-2019</t>
        </is>
      </c>
      <c r="B1069" s="1" t="n">
        <v>43748</v>
      </c>
      <c r="C1069" s="1" t="n">
        <v>45797</v>
      </c>
      <c r="D1069" t="inlineStr">
        <is>
          <t>ÖREBRO LÄN</t>
        </is>
      </c>
      <c r="E1069" t="inlineStr">
        <is>
          <t>ÖREBRO</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53388-2019</t>
        </is>
      </c>
      <c r="B1070" s="1" t="n">
        <v>43748</v>
      </c>
      <c r="C1070" s="1" t="n">
        <v>45797</v>
      </c>
      <c r="D1070" t="inlineStr">
        <is>
          <t>ÖREBRO LÄN</t>
        </is>
      </c>
      <c r="E1070" t="inlineStr">
        <is>
          <t>HÄLLEFORS</t>
        </is>
      </c>
      <c r="F1070" t="inlineStr">
        <is>
          <t>Bergvik skog väst AB</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53400-2019</t>
        </is>
      </c>
      <c r="B1071" s="1" t="n">
        <v>43748</v>
      </c>
      <c r="C1071" s="1" t="n">
        <v>45797</v>
      </c>
      <c r="D1071" t="inlineStr">
        <is>
          <t>ÖREBRO LÄN</t>
        </is>
      </c>
      <c r="E1071" t="inlineStr">
        <is>
          <t>HÄLLEFORS</t>
        </is>
      </c>
      <c r="F1071" t="inlineStr">
        <is>
          <t>Bergvik skog väst AB</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53741-2019</t>
        </is>
      </c>
      <c r="B1072" s="1" t="n">
        <v>43749</v>
      </c>
      <c r="C1072" s="1" t="n">
        <v>45797</v>
      </c>
      <c r="D1072" t="inlineStr">
        <is>
          <t>ÖREBRO LÄN</t>
        </is>
      </c>
      <c r="E1072" t="inlineStr">
        <is>
          <t>LINDESBERG</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53486-2019</t>
        </is>
      </c>
      <c r="B1073" s="1" t="n">
        <v>43749</v>
      </c>
      <c r="C1073" s="1" t="n">
        <v>45797</v>
      </c>
      <c r="D1073" t="inlineStr">
        <is>
          <t>ÖREBRO LÄN</t>
        </is>
      </c>
      <c r="E1073" t="inlineStr">
        <is>
          <t>LINDESBERG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53666-2019</t>
        </is>
      </c>
      <c r="B1074" s="1" t="n">
        <v>43749</v>
      </c>
      <c r="C1074" s="1" t="n">
        <v>45797</v>
      </c>
      <c r="D1074" t="inlineStr">
        <is>
          <t>ÖREBRO LÄN</t>
        </is>
      </c>
      <c r="E1074" t="inlineStr">
        <is>
          <t>NORA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53723-2019</t>
        </is>
      </c>
      <c r="B1075" s="1" t="n">
        <v>43749</v>
      </c>
      <c r="C1075" s="1" t="n">
        <v>45797</v>
      </c>
      <c r="D1075" t="inlineStr">
        <is>
          <t>ÖREBRO LÄN</t>
        </is>
      </c>
      <c r="E1075" t="inlineStr">
        <is>
          <t>ASKERSUND</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53726-2019</t>
        </is>
      </c>
      <c r="B1076" s="1" t="n">
        <v>43749</v>
      </c>
      <c r="C1076" s="1" t="n">
        <v>45797</v>
      </c>
      <c r="D1076" t="inlineStr">
        <is>
          <t>ÖREBRO LÄN</t>
        </is>
      </c>
      <c r="E1076" t="inlineStr">
        <is>
          <t>HALLSBERG</t>
        </is>
      </c>
      <c r="F1076" t="inlineStr">
        <is>
          <t>Övriga Aktiebolag</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54886-2019</t>
        </is>
      </c>
      <c r="B1077" s="1" t="n">
        <v>43749</v>
      </c>
      <c r="C1077" s="1" t="n">
        <v>45797</v>
      </c>
      <c r="D1077" t="inlineStr">
        <is>
          <t>ÖREBRO LÄN</t>
        </is>
      </c>
      <c r="E1077" t="inlineStr">
        <is>
          <t>ASKERSUND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53965-2019</t>
        </is>
      </c>
      <c r="B1078" s="1" t="n">
        <v>43752</v>
      </c>
      <c r="C1078" s="1" t="n">
        <v>45797</v>
      </c>
      <c r="D1078" t="inlineStr">
        <is>
          <t>ÖREBRO LÄN</t>
        </is>
      </c>
      <c r="E1078" t="inlineStr">
        <is>
          <t>HÄLLEFORS</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53944-2019</t>
        </is>
      </c>
      <c r="B1079" s="1" t="n">
        <v>43752</v>
      </c>
      <c r="C1079" s="1" t="n">
        <v>45797</v>
      </c>
      <c r="D1079" t="inlineStr">
        <is>
          <t>ÖREBRO LÄN</t>
        </is>
      </c>
      <c r="E1079" t="inlineStr">
        <is>
          <t>LINDESBERG</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53947-2019</t>
        </is>
      </c>
      <c r="B1080" s="1" t="n">
        <v>43752</v>
      </c>
      <c r="C1080" s="1" t="n">
        <v>45797</v>
      </c>
      <c r="D1080" t="inlineStr">
        <is>
          <t>ÖREBRO LÄN</t>
        </is>
      </c>
      <c r="E1080" t="inlineStr">
        <is>
          <t>LINDESBERG</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54398-2019</t>
        </is>
      </c>
      <c r="B1081" s="1" t="n">
        <v>43754</v>
      </c>
      <c r="C1081" s="1" t="n">
        <v>45797</v>
      </c>
      <c r="D1081" t="inlineStr">
        <is>
          <t>ÖREBRO LÄN</t>
        </is>
      </c>
      <c r="E1081" t="inlineStr">
        <is>
          <t>KARLSKOGA</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54423-2019</t>
        </is>
      </c>
      <c r="B1082" s="1" t="n">
        <v>43754</v>
      </c>
      <c r="C1082" s="1" t="n">
        <v>45797</v>
      </c>
      <c r="D1082" t="inlineStr">
        <is>
          <t>ÖREBRO LÄN</t>
        </is>
      </c>
      <c r="E1082" t="inlineStr">
        <is>
          <t>KARLSKOGA</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54433-2019</t>
        </is>
      </c>
      <c r="B1083" s="1" t="n">
        <v>43754</v>
      </c>
      <c r="C1083" s="1" t="n">
        <v>45797</v>
      </c>
      <c r="D1083" t="inlineStr">
        <is>
          <t>ÖREBRO LÄN</t>
        </is>
      </c>
      <c r="E1083" t="inlineStr">
        <is>
          <t>HÄLLEFORS</t>
        </is>
      </c>
      <c r="F1083" t="inlineStr">
        <is>
          <t>Bergvik skog väst AB</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54517-2019</t>
        </is>
      </c>
      <c r="B1084" s="1" t="n">
        <v>43754</v>
      </c>
      <c r="C1084" s="1" t="n">
        <v>45797</v>
      </c>
      <c r="D1084" t="inlineStr">
        <is>
          <t>ÖREBRO LÄN</t>
        </is>
      </c>
      <c r="E1084" t="inlineStr">
        <is>
          <t>LAXÅ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54404-2019</t>
        </is>
      </c>
      <c r="B1085" s="1" t="n">
        <v>43754</v>
      </c>
      <c r="C1085" s="1" t="n">
        <v>45797</v>
      </c>
      <c r="D1085" t="inlineStr">
        <is>
          <t>ÖREBRO LÄN</t>
        </is>
      </c>
      <c r="E1085" t="inlineStr">
        <is>
          <t>KARLSKOGA</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54409-2019</t>
        </is>
      </c>
      <c r="B1086" s="1" t="n">
        <v>43754</v>
      </c>
      <c r="C1086" s="1" t="n">
        <v>45797</v>
      </c>
      <c r="D1086" t="inlineStr">
        <is>
          <t>ÖREBRO LÄN</t>
        </is>
      </c>
      <c r="E1086" t="inlineStr">
        <is>
          <t>KARLSKOGA</t>
        </is>
      </c>
      <c r="F1086" t="inlineStr">
        <is>
          <t>Sveaskog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54717-2019</t>
        </is>
      </c>
      <c r="B1087" s="1" t="n">
        <v>43755</v>
      </c>
      <c r="C1087" s="1" t="n">
        <v>45797</v>
      </c>
      <c r="D1087" t="inlineStr">
        <is>
          <t>ÖREBRO LÄN</t>
        </is>
      </c>
      <c r="E1087" t="inlineStr">
        <is>
          <t>LAXÅ</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54821-2019</t>
        </is>
      </c>
      <c r="B1088" s="1" t="n">
        <v>43755</v>
      </c>
      <c r="C1088" s="1" t="n">
        <v>45797</v>
      </c>
      <c r="D1088" t="inlineStr">
        <is>
          <t>ÖREBRO LÄN</t>
        </is>
      </c>
      <c r="E1088" t="inlineStr">
        <is>
          <t>LINDESBERG</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54909-2019</t>
        </is>
      </c>
      <c r="B1089" s="1" t="n">
        <v>43755</v>
      </c>
      <c r="C1089" s="1" t="n">
        <v>45797</v>
      </c>
      <c r="D1089" t="inlineStr">
        <is>
          <t>ÖREBRO LÄN</t>
        </is>
      </c>
      <c r="E1089" t="inlineStr">
        <is>
          <t>LAXÅ</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54711-2019</t>
        </is>
      </c>
      <c r="B1090" s="1" t="n">
        <v>43755</v>
      </c>
      <c r="C1090" s="1" t="n">
        <v>45797</v>
      </c>
      <c r="D1090" t="inlineStr">
        <is>
          <t>ÖREBRO LÄN</t>
        </is>
      </c>
      <c r="E1090" t="inlineStr">
        <is>
          <t>KARLSKOGA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54782-2019</t>
        </is>
      </c>
      <c r="B1091" s="1" t="n">
        <v>43755</v>
      </c>
      <c r="C1091" s="1" t="n">
        <v>45797</v>
      </c>
      <c r="D1091" t="inlineStr">
        <is>
          <t>ÖREBRO LÄN</t>
        </is>
      </c>
      <c r="E1091" t="inlineStr">
        <is>
          <t>LEKEBERG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54818-2019</t>
        </is>
      </c>
      <c r="B1092" s="1" t="n">
        <v>43755</v>
      </c>
      <c r="C1092" s="1" t="n">
        <v>45797</v>
      </c>
      <c r="D1092" t="inlineStr">
        <is>
          <t>ÖREBRO LÄN</t>
        </is>
      </c>
      <c r="E1092" t="inlineStr">
        <is>
          <t>LINDESBERG</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54710-2019</t>
        </is>
      </c>
      <c r="B1093" s="1" t="n">
        <v>43755</v>
      </c>
      <c r="C1093" s="1" t="n">
        <v>45797</v>
      </c>
      <c r="D1093" t="inlineStr">
        <is>
          <t>ÖREBRO LÄN</t>
        </is>
      </c>
      <c r="E1093" t="inlineStr">
        <is>
          <t>ASKERSUND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54912-2019</t>
        </is>
      </c>
      <c r="B1094" s="1" t="n">
        <v>43755</v>
      </c>
      <c r="C1094" s="1" t="n">
        <v>45797</v>
      </c>
      <c r="D1094" t="inlineStr">
        <is>
          <t>ÖREBRO LÄN</t>
        </is>
      </c>
      <c r="E1094" t="inlineStr">
        <is>
          <t>ÖREBRO</t>
        </is>
      </c>
      <c r="F1094" t="inlineStr">
        <is>
          <t>Allmännings- och besparingsskogar</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54770-2019</t>
        </is>
      </c>
      <c r="B1095" s="1" t="n">
        <v>43755</v>
      </c>
      <c r="C1095" s="1" t="n">
        <v>45797</v>
      </c>
      <c r="D1095" t="inlineStr">
        <is>
          <t>ÖREBRO LÄN</t>
        </is>
      </c>
      <c r="E1095" t="inlineStr">
        <is>
          <t>LEKEBERG</t>
        </is>
      </c>
      <c r="F1095" t="inlineStr">
        <is>
          <t>Allmännings- och besparingsskogar</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54810-2019</t>
        </is>
      </c>
      <c r="B1096" s="1" t="n">
        <v>43755</v>
      </c>
      <c r="C1096" s="1" t="n">
        <v>45797</v>
      </c>
      <c r="D1096" t="inlineStr">
        <is>
          <t>ÖREBRO LÄN</t>
        </is>
      </c>
      <c r="E1096" t="inlineStr">
        <is>
          <t>LEKEBERG</t>
        </is>
      </c>
      <c r="F1096" t="inlineStr">
        <is>
          <t>Allmännings- och besparingsskogar</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55384-2019</t>
        </is>
      </c>
      <c r="B1097" s="1" t="n">
        <v>43755</v>
      </c>
      <c r="C1097" s="1" t="n">
        <v>45797</v>
      </c>
      <c r="D1097" t="inlineStr">
        <is>
          <t>ÖREBRO LÄN</t>
        </is>
      </c>
      <c r="E1097" t="inlineStr">
        <is>
          <t>ASKERSUND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55640-2019</t>
        </is>
      </c>
      <c r="B1098" s="1" t="n">
        <v>43755</v>
      </c>
      <c r="C1098" s="1" t="n">
        <v>45797</v>
      </c>
      <c r="D1098" t="inlineStr">
        <is>
          <t>ÖREBRO LÄN</t>
        </is>
      </c>
      <c r="E1098" t="inlineStr">
        <is>
          <t>LEKEBERG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54977-2019</t>
        </is>
      </c>
      <c r="B1099" s="1" t="n">
        <v>43755</v>
      </c>
      <c r="C1099" s="1" t="n">
        <v>45797</v>
      </c>
      <c r="D1099" t="inlineStr">
        <is>
          <t>ÖREBRO LÄN</t>
        </is>
      </c>
      <c r="E1099" t="inlineStr">
        <is>
          <t>HÄLLEFORS</t>
        </is>
      </c>
      <c r="F1099" t="inlineStr">
        <is>
          <t>Bergvik skog väst AB</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55383-2019</t>
        </is>
      </c>
      <c r="B1100" s="1" t="n">
        <v>43755</v>
      </c>
      <c r="C1100" s="1" t="n">
        <v>45797</v>
      </c>
      <c r="D1100" t="inlineStr">
        <is>
          <t>ÖREBRO LÄN</t>
        </is>
      </c>
      <c r="E1100" t="inlineStr">
        <is>
          <t>ASKERSUND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55060-2019</t>
        </is>
      </c>
      <c r="B1101" s="1" t="n">
        <v>43756</v>
      </c>
      <c r="C1101" s="1" t="n">
        <v>45797</v>
      </c>
      <c r="D1101" t="inlineStr">
        <is>
          <t>ÖREBRO LÄN</t>
        </is>
      </c>
      <c r="E1101" t="inlineStr">
        <is>
          <t>ASKERSUND</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55091-2019</t>
        </is>
      </c>
      <c r="B1102" s="1" t="n">
        <v>43756</v>
      </c>
      <c r="C1102" s="1" t="n">
        <v>45797</v>
      </c>
      <c r="D1102" t="inlineStr">
        <is>
          <t>ÖREBRO LÄN</t>
        </is>
      </c>
      <c r="E1102" t="inlineStr">
        <is>
          <t>LAXÅ</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55129-2019</t>
        </is>
      </c>
      <c r="B1103" s="1" t="n">
        <v>43756</v>
      </c>
      <c r="C1103" s="1" t="n">
        <v>45797</v>
      </c>
      <c r="D1103" t="inlineStr">
        <is>
          <t>ÖREBRO LÄN</t>
        </is>
      </c>
      <c r="E1103" t="inlineStr">
        <is>
          <t>HÄLLEFORS</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55228-2019</t>
        </is>
      </c>
      <c r="B1104" s="1" t="n">
        <v>43756</v>
      </c>
      <c r="C1104" s="1" t="n">
        <v>45797</v>
      </c>
      <c r="D1104" t="inlineStr">
        <is>
          <t>ÖREBRO LÄN</t>
        </is>
      </c>
      <c r="E1104" t="inlineStr">
        <is>
          <t>LAXÅ</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55179-2019</t>
        </is>
      </c>
      <c r="B1105" s="1" t="n">
        <v>43756</v>
      </c>
      <c r="C1105" s="1" t="n">
        <v>45797</v>
      </c>
      <c r="D1105" t="inlineStr">
        <is>
          <t>ÖREBRO LÄN</t>
        </is>
      </c>
      <c r="E1105" t="inlineStr">
        <is>
          <t>DEGERFORS</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55257-2019</t>
        </is>
      </c>
      <c r="B1106" s="1" t="n">
        <v>43756</v>
      </c>
      <c r="C1106" s="1" t="n">
        <v>45797</v>
      </c>
      <c r="D1106" t="inlineStr">
        <is>
          <t>ÖREBRO LÄN</t>
        </is>
      </c>
      <c r="E1106" t="inlineStr">
        <is>
          <t>LAXÅ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55246-2019</t>
        </is>
      </c>
      <c r="B1107" s="1" t="n">
        <v>43756</v>
      </c>
      <c r="C1107" s="1" t="n">
        <v>45797</v>
      </c>
      <c r="D1107" t="inlineStr">
        <is>
          <t>ÖREBRO LÄN</t>
        </is>
      </c>
      <c r="E1107" t="inlineStr">
        <is>
          <t>LAXÅ</t>
        </is>
      </c>
      <c r="F1107" t="inlineStr">
        <is>
          <t>Sveaskog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55262-2019</t>
        </is>
      </c>
      <c r="B1108" s="1" t="n">
        <v>43756</v>
      </c>
      <c r="C1108" s="1" t="n">
        <v>45797</v>
      </c>
      <c r="D1108" t="inlineStr">
        <is>
          <t>ÖREBRO LÄN</t>
        </is>
      </c>
      <c r="E1108" t="inlineStr">
        <is>
          <t>LAXÅ</t>
        </is>
      </c>
      <c r="F1108" t="inlineStr">
        <is>
          <t>Sveaskog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55203-2019</t>
        </is>
      </c>
      <c r="B1109" s="1" t="n">
        <v>43756</v>
      </c>
      <c r="C1109" s="1" t="n">
        <v>45797</v>
      </c>
      <c r="D1109" t="inlineStr">
        <is>
          <t>ÖREBRO LÄN</t>
        </is>
      </c>
      <c r="E1109" t="inlineStr">
        <is>
          <t>LAXÅ</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55250-2019</t>
        </is>
      </c>
      <c r="B1110" s="1" t="n">
        <v>43756</v>
      </c>
      <c r="C1110" s="1" t="n">
        <v>45797</v>
      </c>
      <c r="D1110" t="inlineStr">
        <is>
          <t>ÖREBRO LÄN</t>
        </is>
      </c>
      <c r="E1110" t="inlineStr">
        <is>
          <t>LAXÅ</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55256-2019</t>
        </is>
      </c>
      <c r="B1111" s="1" t="n">
        <v>43756</v>
      </c>
      <c r="C1111" s="1" t="n">
        <v>45797</v>
      </c>
      <c r="D1111" t="inlineStr">
        <is>
          <t>ÖREBRO LÄN</t>
        </is>
      </c>
      <c r="E1111" t="inlineStr">
        <is>
          <t>LAXÅ</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55204-2019</t>
        </is>
      </c>
      <c r="B1112" s="1" t="n">
        <v>43756</v>
      </c>
      <c r="C1112" s="1" t="n">
        <v>45797</v>
      </c>
      <c r="D1112" t="inlineStr">
        <is>
          <t>ÖREBRO LÄN</t>
        </is>
      </c>
      <c r="E1112" t="inlineStr">
        <is>
          <t>LAXÅ</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55150-2019</t>
        </is>
      </c>
      <c r="B1113" s="1" t="n">
        <v>43756</v>
      </c>
      <c r="C1113" s="1" t="n">
        <v>45797</v>
      </c>
      <c r="D1113" t="inlineStr">
        <is>
          <t>ÖREBRO LÄN</t>
        </is>
      </c>
      <c r="E1113" t="inlineStr">
        <is>
          <t>HÄLLEFORS</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55259-2019</t>
        </is>
      </c>
      <c r="B1114" s="1" t="n">
        <v>43756</v>
      </c>
      <c r="C1114" s="1" t="n">
        <v>45797</v>
      </c>
      <c r="D1114" t="inlineStr">
        <is>
          <t>ÖREBRO LÄN</t>
        </is>
      </c>
      <c r="E1114" t="inlineStr">
        <is>
          <t>LAXÅ</t>
        </is>
      </c>
      <c r="F1114" t="inlineStr">
        <is>
          <t>Sveaskog</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55244-2019</t>
        </is>
      </c>
      <c r="B1115" s="1" t="n">
        <v>43756</v>
      </c>
      <c r="C1115" s="1" t="n">
        <v>45797</v>
      </c>
      <c r="D1115" t="inlineStr">
        <is>
          <t>ÖREBRO LÄN</t>
        </is>
      </c>
      <c r="E1115" t="inlineStr">
        <is>
          <t>ASKERSUND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55207-2019</t>
        </is>
      </c>
      <c r="B1116" s="1" t="n">
        <v>43756</v>
      </c>
      <c r="C1116" s="1" t="n">
        <v>45797</v>
      </c>
      <c r="D1116" t="inlineStr">
        <is>
          <t>ÖREBRO LÄN</t>
        </is>
      </c>
      <c r="E1116" t="inlineStr">
        <is>
          <t>LAXÅ</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55605-2019</t>
        </is>
      </c>
      <c r="B1117" s="1" t="n">
        <v>43759</v>
      </c>
      <c r="C1117" s="1" t="n">
        <v>45797</v>
      </c>
      <c r="D1117" t="inlineStr">
        <is>
          <t>ÖREBRO LÄN</t>
        </is>
      </c>
      <c r="E1117" t="inlineStr">
        <is>
          <t>HALLSBERG</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55753-2019</t>
        </is>
      </c>
      <c r="B1118" s="1" t="n">
        <v>43759</v>
      </c>
      <c r="C1118" s="1" t="n">
        <v>45797</v>
      </c>
      <c r="D1118" t="inlineStr">
        <is>
          <t>ÖREBRO LÄN</t>
        </is>
      </c>
      <c r="E1118" t="inlineStr">
        <is>
          <t>ASKERSUND</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55979-2019</t>
        </is>
      </c>
      <c r="B1119" s="1" t="n">
        <v>43759</v>
      </c>
      <c r="C1119" s="1" t="n">
        <v>45797</v>
      </c>
      <c r="D1119" t="inlineStr">
        <is>
          <t>ÖREBRO LÄN</t>
        </is>
      </c>
      <c r="E1119" t="inlineStr">
        <is>
          <t>LJUSNARSBERG</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55613-2019</t>
        </is>
      </c>
      <c r="B1120" s="1" t="n">
        <v>43759</v>
      </c>
      <c r="C1120" s="1" t="n">
        <v>45797</v>
      </c>
      <c r="D1120" t="inlineStr">
        <is>
          <t>ÖREBRO LÄN</t>
        </is>
      </c>
      <c r="E1120" t="inlineStr">
        <is>
          <t>HALLSBERG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55879-2019</t>
        </is>
      </c>
      <c r="B1121" s="1" t="n">
        <v>43759</v>
      </c>
      <c r="C1121" s="1" t="n">
        <v>45797</v>
      </c>
      <c r="D1121" t="inlineStr">
        <is>
          <t>ÖREBRO LÄN</t>
        </is>
      </c>
      <c r="E1121" t="inlineStr">
        <is>
          <t>DEGERFORS</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56061-2019</t>
        </is>
      </c>
      <c r="B1122" s="1" t="n">
        <v>43759</v>
      </c>
      <c r="C1122" s="1" t="n">
        <v>45797</v>
      </c>
      <c r="D1122" t="inlineStr">
        <is>
          <t>ÖREBRO LÄN</t>
        </is>
      </c>
      <c r="E1122" t="inlineStr">
        <is>
          <t>NORA</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55800-2019</t>
        </is>
      </c>
      <c r="B1123" s="1" t="n">
        <v>43759</v>
      </c>
      <c r="C1123" s="1" t="n">
        <v>45797</v>
      </c>
      <c r="D1123" t="inlineStr">
        <is>
          <t>ÖREBRO LÄN</t>
        </is>
      </c>
      <c r="E1123" t="inlineStr">
        <is>
          <t>LAXÅ</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57309-2019</t>
        </is>
      </c>
      <c r="B1124" s="1" t="n">
        <v>43760</v>
      </c>
      <c r="C1124" s="1" t="n">
        <v>45797</v>
      </c>
      <c r="D1124" t="inlineStr">
        <is>
          <t>ÖREBRO LÄN</t>
        </is>
      </c>
      <c r="E1124" t="inlineStr">
        <is>
          <t>LAXÅ</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55886-2019</t>
        </is>
      </c>
      <c r="B1125" s="1" t="n">
        <v>43761</v>
      </c>
      <c r="C1125" s="1" t="n">
        <v>45797</v>
      </c>
      <c r="D1125" t="inlineStr">
        <is>
          <t>ÖREBRO LÄN</t>
        </is>
      </c>
      <c r="E1125" t="inlineStr">
        <is>
          <t>LINDESBERG</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57706-2019</t>
        </is>
      </c>
      <c r="B1126" s="1" t="n">
        <v>43761</v>
      </c>
      <c r="C1126" s="1" t="n">
        <v>45797</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56454-2019</t>
        </is>
      </c>
      <c r="B1127" s="1" t="n">
        <v>43762</v>
      </c>
      <c r="C1127" s="1" t="n">
        <v>45797</v>
      </c>
      <c r="D1127" t="inlineStr">
        <is>
          <t>ÖREBRO LÄN</t>
        </is>
      </c>
      <c r="E1127" t="inlineStr">
        <is>
          <t>HALLSBERG</t>
        </is>
      </c>
      <c r="F1127" t="inlineStr">
        <is>
          <t>Övriga Aktiebolag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56463-2019</t>
        </is>
      </c>
      <c r="B1128" s="1" t="n">
        <v>43762</v>
      </c>
      <c r="C1128" s="1" t="n">
        <v>45797</v>
      </c>
      <c r="D1128" t="inlineStr">
        <is>
          <t>ÖREBRO LÄN</t>
        </is>
      </c>
      <c r="E1128" t="inlineStr">
        <is>
          <t>NORA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56421-2019</t>
        </is>
      </c>
      <c r="B1129" s="1" t="n">
        <v>43762</v>
      </c>
      <c r="C1129" s="1" t="n">
        <v>45797</v>
      </c>
      <c r="D1129" t="inlineStr">
        <is>
          <t>ÖREBRO LÄN</t>
        </is>
      </c>
      <c r="E1129" t="inlineStr">
        <is>
          <t>HALLSBERG</t>
        </is>
      </c>
      <c r="F1129" t="inlineStr">
        <is>
          <t>Övriga Aktiebolag</t>
        </is>
      </c>
      <c r="G1129" t="n">
        <v>23.2</v>
      </c>
      <c r="H1129" t="n">
        <v>0</v>
      </c>
      <c r="I1129" t="n">
        <v>0</v>
      </c>
      <c r="J1129" t="n">
        <v>0</v>
      </c>
      <c r="K1129" t="n">
        <v>0</v>
      </c>
      <c r="L1129" t="n">
        <v>0</v>
      </c>
      <c r="M1129" t="n">
        <v>0</v>
      </c>
      <c r="N1129" t="n">
        <v>0</v>
      </c>
      <c r="O1129" t="n">
        <v>0</v>
      </c>
      <c r="P1129" t="n">
        <v>0</v>
      </c>
      <c r="Q1129" t="n">
        <v>0</v>
      </c>
      <c r="R1129" s="2" t="inlineStr"/>
    </row>
    <row r="1130" ht="15" customHeight="1">
      <c r="A1130" t="inlineStr">
        <is>
          <t>A 57812-2019</t>
        </is>
      </c>
      <c r="B1130" s="1" t="n">
        <v>43762</v>
      </c>
      <c r="C1130" s="1" t="n">
        <v>45797</v>
      </c>
      <c r="D1130" t="inlineStr">
        <is>
          <t>ÖREBRO LÄN</t>
        </is>
      </c>
      <c r="E1130" t="inlineStr">
        <is>
          <t>LINDESBERG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56698-2019</t>
        </is>
      </c>
      <c r="B1131" s="1" t="n">
        <v>43763</v>
      </c>
      <c r="C1131" s="1" t="n">
        <v>45797</v>
      </c>
      <c r="D1131" t="inlineStr">
        <is>
          <t>ÖREBRO LÄN</t>
        </is>
      </c>
      <c r="E1131" t="inlineStr">
        <is>
          <t>KARLSKOGA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56647-2019</t>
        </is>
      </c>
      <c r="B1132" s="1" t="n">
        <v>43763</v>
      </c>
      <c r="C1132" s="1" t="n">
        <v>45797</v>
      </c>
      <c r="D1132" t="inlineStr">
        <is>
          <t>ÖREBRO LÄN</t>
        </is>
      </c>
      <c r="E1132" t="inlineStr">
        <is>
          <t>ASKERSUND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57741-2019</t>
        </is>
      </c>
      <c r="B1133" s="1" t="n">
        <v>43763</v>
      </c>
      <c r="C1133" s="1" t="n">
        <v>45797</v>
      </c>
      <c r="D1133" t="inlineStr">
        <is>
          <t>ÖREBRO LÄN</t>
        </is>
      </c>
      <c r="E1133" t="inlineStr">
        <is>
          <t>DEGERFORS</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57737-2019</t>
        </is>
      </c>
      <c r="B1134" s="1" t="n">
        <v>43763</v>
      </c>
      <c r="C1134" s="1" t="n">
        <v>45797</v>
      </c>
      <c r="D1134" t="inlineStr">
        <is>
          <t>ÖREBRO LÄN</t>
        </is>
      </c>
      <c r="E1134" t="inlineStr">
        <is>
          <t>DEGERFORS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56821-2019</t>
        </is>
      </c>
      <c r="B1135" s="1" t="n">
        <v>43764</v>
      </c>
      <c r="C1135" s="1" t="n">
        <v>45797</v>
      </c>
      <c r="D1135" t="inlineStr">
        <is>
          <t>ÖREBRO LÄN</t>
        </is>
      </c>
      <c r="E1135" t="inlineStr">
        <is>
          <t>LINDESBERG</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56898-2019</t>
        </is>
      </c>
      <c r="B1136" s="1" t="n">
        <v>43766</v>
      </c>
      <c r="C1136" s="1" t="n">
        <v>45797</v>
      </c>
      <c r="D1136" t="inlineStr">
        <is>
          <t>ÖREBRO LÄN</t>
        </is>
      </c>
      <c r="E1136" t="inlineStr">
        <is>
          <t>LINDESBERG</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56904-2019</t>
        </is>
      </c>
      <c r="B1137" s="1" t="n">
        <v>43766</v>
      </c>
      <c r="C1137" s="1" t="n">
        <v>45797</v>
      </c>
      <c r="D1137" t="inlineStr">
        <is>
          <t>ÖREBRO LÄN</t>
        </is>
      </c>
      <c r="E1137" t="inlineStr">
        <is>
          <t>LINDESBERG</t>
        </is>
      </c>
      <c r="F1137" t="inlineStr">
        <is>
          <t>Sveaskog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56963-2019</t>
        </is>
      </c>
      <c r="B1138" s="1" t="n">
        <v>43766</v>
      </c>
      <c r="C1138" s="1" t="n">
        <v>45797</v>
      </c>
      <c r="D1138" t="inlineStr">
        <is>
          <t>ÖREBRO LÄN</t>
        </is>
      </c>
      <c r="E1138" t="inlineStr">
        <is>
          <t>ÖREBRO</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56892-2019</t>
        </is>
      </c>
      <c r="B1139" s="1" t="n">
        <v>43766</v>
      </c>
      <c r="C1139" s="1" t="n">
        <v>45797</v>
      </c>
      <c r="D1139" t="inlineStr">
        <is>
          <t>ÖREBRO LÄN</t>
        </is>
      </c>
      <c r="E1139" t="inlineStr">
        <is>
          <t>LINDESBERG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56895-2019</t>
        </is>
      </c>
      <c r="B1140" s="1" t="n">
        <v>43766</v>
      </c>
      <c r="C1140" s="1" t="n">
        <v>45797</v>
      </c>
      <c r="D1140" t="inlineStr">
        <is>
          <t>ÖREBRO LÄN</t>
        </is>
      </c>
      <c r="E1140" t="inlineStr">
        <is>
          <t>LINDESBERG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56901-2019</t>
        </is>
      </c>
      <c r="B1141" s="1" t="n">
        <v>43766</v>
      </c>
      <c r="C1141" s="1" t="n">
        <v>45797</v>
      </c>
      <c r="D1141" t="inlineStr">
        <is>
          <t>ÖREBRO LÄN</t>
        </is>
      </c>
      <c r="E1141" t="inlineStr">
        <is>
          <t>LINDESBERG</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57166-2019</t>
        </is>
      </c>
      <c r="B1142" s="1" t="n">
        <v>43766</v>
      </c>
      <c r="C1142" s="1" t="n">
        <v>45797</v>
      </c>
      <c r="D1142" t="inlineStr">
        <is>
          <t>ÖREBRO LÄN</t>
        </is>
      </c>
      <c r="E1142" t="inlineStr">
        <is>
          <t>LAXÅ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57363-2019</t>
        </is>
      </c>
      <c r="B1143" s="1" t="n">
        <v>43767</v>
      </c>
      <c r="C1143" s="1" t="n">
        <v>45797</v>
      </c>
      <c r="D1143" t="inlineStr">
        <is>
          <t>ÖREBRO LÄN</t>
        </is>
      </c>
      <c r="E1143" t="inlineStr">
        <is>
          <t>HÄLLEFORS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57443-2019</t>
        </is>
      </c>
      <c r="B1144" s="1" t="n">
        <v>43767</v>
      </c>
      <c r="C1144" s="1" t="n">
        <v>45797</v>
      </c>
      <c r="D1144" t="inlineStr">
        <is>
          <t>ÖREBRO LÄN</t>
        </is>
      </c>
      <c r="E1144" t="inlineStr">
        <is>
          <t>HÄLLEFORS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57398-2019</t>
        </is>
      </c>
      <c r="B1145" s="1" t="n">
        <v>43767</v>
      </c>
      <c r="C1145" s="1" t="n">
        <v>45797</v>
      </c>
      <c r="D1145" t="inlineStr">
        <is>
          <t>ÖREBRO LÄN</t>
        </is>
      </c>
      <c r="E1145" t="inlineStr">
        <is>
          <t>HÄLLEFORS</t>
        </is>
      </c>
      <c r="F1145" t="inlineStr">
        <is>
          <t>Bergvik skog väst AB</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57477-2019</t>
        </is>
      </c>
      <c r="B1146" s="1" t="n">
        <v>43767</v>
      </c>
      <c r="C1146" s="1" t="n">
        <v>45797</v>
      </c>
      <c r="D1146" t="inlineStr">
        <is>
          <t>ÖREBRO LÄN</t>
        </is>
      </c>
      <c r="E1146" t="inlineStr">
        <is>
          <t>LINDESBERG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58679-2019</t>
        </is>
      </c>
      <c r="B1147" s="1" t="n">
        <v>43767</v>
      </c>
      <c r="C1147" s="1" t="n">
        <v>45797</v>
      </c>
      <c r="D1147" t="inlineStr">
        <is>
          <t>ÖREBRO LÄN</t>
        </is>
      </c>
      <c r="E1147" t="inlineStr">
        <is>
          <t>KUMLA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57480-2019</t>
        </is>
      </c>
      <c r="B1148" s="1" t="n">
        <v>43767</v>
      </c>
      <c r="C1148" s="1" t="n">
        <v>45797</v>
      </c>
      <c r="D1148" t="inlineStr">
        <is>
          <t>ÖREBRO LÄN</t>
        </is>
      </c>
      <c r="E1148" t="inlineStr">
        <is>
          <t>LINDESBERG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57584-2019</t>
        </is>
      </c>
      <c r="B1149" s="1" t="n">
        <v>43768</v>
      </c>
      <c r="C1149" s="1" t="n">
        <v>45797</v>
      </c>
      <c r="D1149" t="inlineStr">
        <is>
          <t>ÖREBRO LÄN</t>
        </is>
      </c>
      <c r="E1149" t="inlineStr">
        <is>
          <t>ASKERSUND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57673-2019</t>
        </is>
      </c>
      <c r="B1150" s="1" t="n">
        <v>43768</v>
      </c>
      <c r="C1150" s="1" t="n">
        <v>45797</v>
      </c>
      <c r="D1150" t="inlineStr">
        <is>
          <t>ÖREBRO LÄN</t>
        </is>
      </c>
      <c r="E1150" t="inlineStr">
        <is>
          <t>ÖREBRO</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58100-2019</t>
        </is>
      </c>
      <c r="B1151" s="1" t="n">
        <v>43769</v>
      </c>
      <c r="C1151" s="1" t="n">
        <v>45797</v>
      </c>
      <c r="D1151" t="inlineStr">
        <is>
          <t>ÖREBRO LÄN</t>
        </is>
      </c>
      <c r="E1151" t="inlineStr">
        <is>
          <t>HÄLLEFORS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58317-2019</t>
        </is>
      </c>
      <c r="B1152" s="1" t="n">
        <v>43770</v>
      </c>
      <c r="C1152" s="1" t="n">
        <v>45797</v>
      </c>
      <c r="D1152" t="inlineStr">
        <is>
          <t>ÖREBRO LÄN</t>
        </is>
      </c>
      <c r="E1152" t="inlineStr">
        <is>
          <t>HÄLLEFORS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58193-2019</t>
        </is>
      </c>
      <c r="B1153" s="1" t="n">
        <v>43770</v>
      </c>
      <c r="C1153" s="1" t="n">
        <v>45797</v>
      </c>
      <c r="D1153" t="inlineStr">
        <is>
          <t>ÖREBRO LÄN</t>
        </is>
      </c>
      <c r="E1153" t="inlineStr">
        <is>
          <t>LAXÅ</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58197-2019</t>
        </is>
      </c>
      <c r="B1154" s="1" t="n">
        <v>43770</v>
      </c>
      <c r="C1154" s="1" t="n">
        <v>45797</v>
      </c>
      <c r="D1154" t="inlineStr">
        <is>
          <t>ÖREBRO LÄN</t>
        </is>
      </c>
      <c r="E1154" t="inlineStr">
        <is>
          <t>LAXÅ</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58575-2019</t>
        </is>
      </c>
      <c r="B1155" s="1" t="n">
        <v>43773</v>
      </c>
      <c r="C1155" s="1" t="n">
        <v>45797</v>
      </c>
      <c r="D1155" t="inlineStr">
        <is>
          <t>ÖREBRO LÄN</t>
        </is>
      </c>
      <c r="E1155" t="inlineStr">
        <is>
          <t>LINDESBERG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58621-2019</t>
        </is>
      </c>
      <c r="B1156" s="1" t="n">
        <v>43773</v>
      </c>
      <c r="C1156" s="1" t="n">
        <v>45797</v>
      </c>
      <c r="D1156" t="inlineStr">
        <is>
          <t>ÖREBRO LÄN</t>
        </is>
      </c>
      <c r="E1156" t="inlineStr">
        <is>
          <t>ASKERSUND</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58623-2019</t>
        </is>
      </c>
      <c r="B1157" s="1" t="n">
        <v>43773</v>
      </c>
      <c r="C1157" s="1" t="n">
        <v>45797</v>
      </c>
      <c r="D1157" t="inlineStr">
        <is>
          <t>ÖREBRO LÄN</t>
        </is>
      </c>
      <c r="E1157" t="inlineStr">
        <is>
          <t>ASKERSUND</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58955-2019</t>
        </is>
      </c>
      <c r="B1158" s="1" t="n">
        <v>43774</v>
      </c>
      <c r="C1158" s="1" t="n">
        <v>45797</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59012-2019</t>
        </is>
      </c>
      <c r="B1159" s="1" t="n">
        <v>43774</v>
      </c>
      <c r="C1159" s="1" t="n">
        <v>45797</v>
      </c>
      <c r="D1159" t="inlineStr">
        <is>
          <t>ÖREBRO LÄN</t>
        </is>
      </c>
      <c r="E1159" t="inlineStr">
        <is>
          <t>ASKERSUND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59958-2019</t>
        </is>
      </c>
      <c r="B1160" s="1" t="n">
        <v>43775</v>
      </c>
      <c r="C1160" s="1" t="n">
        <v>45797</v>
      </c>
      <c r="D1160" t="inlineStr">
        <is>
          <t>ÖREBRO LÄN</t>
        </is>
      </c>
      <c r="E1160" t="inlineStr">
        <is>
          <t>KUMLA</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59368-2019</t>
        </is>
      </c>
      <c r="B1161" s="1" t="n">
        <v>43775</v>
      </c>
      <c r="C1161" s="1" t="n">
        <v>45797</v>
      </c>
      <c r="D1161" t="inlineStr">
        <is>
          <t>ÖREBRO LÄN</t>
        </is>
      </c>
      <c r="E1161" t="inlineStr">
        <is>
          <t>LAXÅ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59109-2019</t>
        </is>
      </c>
      <c r="B1162" s="1" t="n">
        <v>43775</v>
      </c>
      <c r="C1162" s="1" t="n">
        <v>45797</v>
      </c>
      <c r="D1162" t="inlineStr">
        <is>
          <t>ÖREBRO LÄN</t>
        </is>
      </c>
      <c r="E1162" t="inlineStr">
        <is>
          <t>ÖREBRO</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59356-2019</t>
        </is>
      </c>
      <c r="B1163" s="1" t="n">
        <v>43775</v>
      </c>
      <c r="C1163" s="1" t="n">
        <v>45797</v>
      </c>
      <c r="D1163" t="inlineStr">
        <is>
          <t>ÖREBRO LÄN</t>
        </is>
      </c>
      <c r="E1163" t="inlineStr">
        <is>
          <t>ASKERSUND</t>
        </is>
      </c>
      <c r="F1163" t="inlineStr">
        <is>
          <t>Kommuner</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59713-2019</t>
        </is>
      </c>
      <c r="B1164" s="1" t="n">
        <v>43776</v>
      </c>
      <c r="C1164" s="1" t="n">
        <v>45797</v>
      </c>
      <c r="D1164" t="inlineStr">
        <is>
          <t>ÖREBRO LÄN</t>
        </is>
      </c>
      <c r="E1164" t="inlineStr">
        <is>
          <t>DEGERFORS</t>
        </is>
      </c>
      <c r="F1164" t="inlineStr">
        <is>
          <t>Sveaskog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59582-2019</t>
        </is>
      </c>
      <c r="B1165" s="1" t="n">
        <v>43776</v>
      </c>
      <c r="C1165" s="1" t="n">
        <v>45797</v>
      </c>
      <c r="D1165" t="inlineStr">
        <is>
          <t>ÖREBRO LÄN</t>
        </is>
      </c>
      <c r="E1165" t="inlineStr">
        <is>
          <t>ÖREBRO</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60367-2019</t>
        </is>
      </c>
      <c r="B1166" s="1" t="n">
        <v>43776</v>
      </c>
      <c r="C1166" s="1" t="n">
        <v>45797</v>
      </c>
      <c r="D1166" t="inlineStr">
        <is>
          <t>ÖREBRO LÄN</t>
        </is>
      </c>
      <c r="E1166" t="inlineStr">
        <is>
          <t>HALLSBERG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59673-2019</t>
        </is>
      </c>
      <c r="B1167" s="1" t="n">
        <v>43776</v>
      </c>
      <c r="C1167" s="1" t="n">
        <v>45797</v>
      </c>
      <c r="D1167" t="inlineStr">
        <is>
          <t>ÖREBRO LÄN</t>
        </is>
      </c>
      <c r="E1167" t="inlineStr">
        <is>
          <t>DEGERFORS</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59972-2019</t>
        </is>
      </c>
      <c r="B1168" s="1" t="n">
        <v>43777</v>
      </c>
      <c r="C1168" s="1" t="n">
        <v>45797</v>
      </c>
      <c r="D1168" t="inlineStr">
        <is>
          <t>ÖREBRO LÄN</t>
        </is>
      </c>
      <c r="E1168" t="inlineStr">
        <is>
          <t>KUMLA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60002-2019</t>
        </is>
      </c>
      <c r="B1169" s="1" t="n">
        <v>43777</v>
      </c>
      <c r="C1169" s="1" t="n">
        <v>45797</v>
      </c>
      <c r="D1169" t="inlineStr">
        <is>
          <t>ÖREBRO LÄN</t>
        </is>
      </c>
      <c r="E1169" t="inlineStr">
        <is>
          <t>DEGERFORS</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59993-2019</t>
        </is>
      </c>
      <c r="B1170" s="1" t="n">
        <v>43777</v>
      </c>
      <c r="C1170" s="1" t="n">
        <v>45797</v>
      </c>
      <c r="D1170" t="inlineStr">
        <is>
          <t>ÖREBRO LÄN</t>
        </is>
      </c>
      <c r="E1170" t="inlineStr">
        <is>
          <t>DEGERFORS</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60005-2019</t>
        </is>
      </c>
      <c r="B1171" s="1" t="n">
        <v>43777</v>
      </c>
      <c r="C1171" s="1" t="n">
        <v>45797</v>
      </c>
      <c r="D1171" t="inlineStr">
        <is>
          <t>ÖREBRO LÄN</t>
        </is>
      </c>
      <c r="E1171" t="inlineStr">
        <is>
          <t>DEGERFORS</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60066-2019</t>
        </is>
      </c>
      <c r="B1172" s="1" t="n">
        <v>43777</v>
      </c>
      <c r="C1172" s="1" t="n">
        <v>45797</v>
      </c>
      <c r="D1172" t="inlineStr">
        <is>
          <t>ÖREBRO LÄN</t>
        </is>
      </c>
      <c r="E1172" t="inlineStr">
        <is>
          <t>LJUSNARSBERG</t>
        </is>
      </c>
      <c r="F1172" t="inlineStr">
        <is>
          <t>Kyrkan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60009-2019</t>
        </is>
      </c>
      <c r="B1173" s="1" t="n">
        <v>43777</v>
      </c>
      <c r="C1173" s="1" t="n">
        <v>45797</v>
      </c>
      <c r="D1173" t="inlineStr">
        <is>
          <t>ÖREBRO LÄN</t>
        </is>
      </c>
      <c r="E1173" t="inlineStr">
        <is>
          <t>LJUSNARSBERG</t>
        </is>
      </c>
      <c r="F1173" t="inlineStr">
        <is>
          <t>Kyrkan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60004-2019</t>
        </is>
      </c>
      <c r="B1174" s="1" t="n">
        <v>43777</v>
      </c>
      <c r="C1174" s="1" t="n">
        <v>45797</v>
      </c>
      <c r="D1174" t="inlineStr">
        <is>
          <t>ÖREBRO LÄN</t>
        </is>
      </c>
      <c r="E1174" t="inlineStr">
        <is>
          <t>DEGERFORS</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59986-2019</t>
        </is>
      </c>
      <c r="B1175" s="1" t="n">
        <v>43777</v>
      </c>
      <c r="C1175" s="1" t="n">
        <v>45797</v>
      </c>
      <c r="D1175" t="inlineStr">
        <is>
          <t>ÖREBRO LÄN</t>
        </is>
      </c>
      <c r="E1175" t="inlineStr">
        <is>
          <t>DEGERFORS</t>
        </is>
      </c>
      <c r="F1175" t="inlineStr">
        <is>
          <t>Sveaskog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60069-2019</t>
        </is>
      </c>
      <c r="B1176" s="1" t="n">
        <v>43777</v>
      </c>
      <c r="C1176" s="1" t="n">
        <v>45797</v>
      </c>
      <c r="D1176" t="inlineStr">
        <is>
          <t>ÖREBRO LÄN</t>
        </is>
      </c>
      <c r="E1176" t="inlineStr">
        <is>
          <t>LJUSNARSBERG</t>
        </is>
      </c>
      <c r="F1176" t="inlineStr">
        <is>
          <t>Kyrkan</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60183-2019</t>
        </is>
      </c>
      <c r="B1177" s="1" t="n">
        <v>43780</v>
      </c>
      <c r="C1177" s="1" t="n">
        <v>45797</v>
      </c>
      <c r="D1177" t="inlineStr">
        <is>
          <t>ÖREBRO LÄN</t>
        </is>
      </c>
      <c r="E1177" t="inlineStr">
        <is>
          <t>ASKERSUND</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60243-2019</t>
        </is>
      </c>
      <c r="B1178" s="1" t="n">
        <v>43780</v>
      </c>
      <c r="C1178" s="1" t="n">
        <v>45797</v>
      </c>
      <c r="D1178" t="inlineStr">
        <is>
          <t>ÖREBRO LÄN</t>
        </is>
      </c>
      <c r="E1178" t="inlineStr">
        <is>
          <t>LJUSNARSBERG</t>
        </is>
      </c>
      <c r="F1178" t="inlineStr">
        <is>
          <t>Kyrkan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60949-2019</t>
        </is>
      </c>
      <c r="B1179" s="1" t="n">
        <v>43780</v>
      </c>
      <c r="C1179" s="1" t="n">
        <v>45797</v>
      </c>
      <c r="D1179" t="inlineStr">
        <is>
          <t>ÖREBRO LÄN</t>
        </is>
      </c>
      <c r="E1179" t="inlineStr">
        <is>
          <t>LINDESBERG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60192-2019</t>
        </is>
      </c>
      <c r="B1180" s="1" t="n">
        <v>43780</v>
      </c>
      <c r="C1180" s="1" t="n">
        <v>45797</v>
      </c>
      <c r="D1180" t="inlineStr">
        <is>
          <t>ÖREBRO LÄN</t>
        </is>
      </c>
      <c r="E1180" t="inlineStr">
        <is>
          <t>LJUSNARSBERG</t>
        </is>
      </c>
      <c r="F1180" t="inlineStr">
        <is>
          <t>Kyrkan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60435-2019</t>
        </is>
      </c>
      <c r="B1181" s="1" t="n">
        <v>43780</v>
      </c>
      <c r="C1181" s="1" t="n">
        <v>45797</v>
      </c>
      <c r="D1181" t="inlineStr">
        <is>
          <t>ÖREBRO LÄN</t>
        </is>
      </c>
      <c r="E1181" t="inlineStr">
        <is>
          <t>ASKERSUND</t>
        </is>
      </c>
      <c r="F1181" t="inlineStr">
        <is>
          <t>Sveaskog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60607-2019</t>
        </is>
      </c>
      <c r="B1182" s="1" t="n">
        <v>43781</v>
      </c>
      <c r="C1182" s="1" t="n">
        <v>45797</v>
      </c>
      <c r="D1182" t="inlineStr">
        <is>
          <t>ÖREBRO LÄN</t>
        </is>
      </c>
      <c r="E1182" t="inlineStr">
        <is>
          <t>LEKEBERG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60733-2019</t>
        </is>
      </c>
      <c r="B1183" s="1" t="n">
        <v>43781</v>
      </c>
      <c r="C1183" s="1" t="n">
        <v>45797</v>
      </c>
      <c r="D1183" t="inlineStr">
        <is>
          <t>ÖREBRO LÄN</t>
        </is>
      </c>
      <c r="E1183" t="inlineStr">
        <is>
          <t>LJUSNARSBERG</t>
        </is>
      </c>
      <c r="F1183" t="inlineStr">
        <is>
          <t>Bergvik skog väst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60626-2019</t>
        </is>
      </c>
      <c r="B1184" s="1" t="n">
        <v>43781</v>
      </c>
      <c r="C1184" s="1" t="n">
        <v>45797</v>
      </c>
      <c r="D1184" t="inlineStr">
        <is>
          <t>ÖREBRO LÄN</t>
        </is>
      </c>
      <c r="E1184" t="inlineStr">
        <is>
          <t>HALLSBERG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60921-2019</t>
        </is>
      </c>
      <c r="B1185" s="1" t="n">
        <v>43782</v>
      </c>
      <c r="C1185" s="1" t="n">
        <v>45797</v>
      </c>
      <c r="D1185" t="inlineStr">
        <is>
          <t>ÖREBRO LÄN</t>
        </is>
      </c>
      <c r="E1185" t="inlineStr">
        <is>
          <t>LAXÅ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60960-2019</t>
        </is>
      </c>
      <c r="B1186" s="1" t="n">
        <v>43782</v>
      </c>
      <c r="C1186" s="1" t="n">
        <v>45797</v>
      </c>
      <c r="D1186" t="inlineStr">
        <is>
          <t>ÖREBRO LÄN</t>
        </is>
      </c>
      <c r="E1186" t="inlineStr">
        <is>
          <t>ÖREBRO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60971-2019</t>
        </is>
      </c>
      <c r="B1187" s="1" t="n">
        <v>43782</v>
      </c>
      <c r="C1187" s="1" t="n">
        <v>45797</v>
      </c>
      <c r="D1187" t="inlineStr">
        <is>
          <t>ÖREBRO LÄN</t>
        </is>
      </c>
      <c r="E1187" t="inlineStr">
        <is>
          <t>LINDESBERG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61408-2019</t>
        </is>
      </c>
      <c r="B1188" s="1" t="n">
        <v>43783</v>
      </c>
      <c r="C1188" s="1" t="n">
        <v>45797</v>
      </c>
      <c r="D1188" t="inlineStr">
        <is>
          <t>ÖREBRO LÄN</t>
        </is>
      </c>
      <c r="E1188" t="inlineStr">
        <is>
          <t>ÖREBRO</t>
        </is>
      </c>
      <c r="F1188" t="inlineStr">
        <is>
          <t>Övriga Aktiebolag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61510-2019</t>
        </is>
      </c>
      <c r="B1189" s="1" t="n">
        <v>43783</v>
      </c>
      <c r="C1189" s="1" t="n">
        <v>45797</v>
      </c>
      <c r="D1189" t="inlineStr">
        <is>
          <t>ÖREBRO LÄN</t>
        </is>
      </c>
      <c r="E1189" t="inlineStr">
        <is>
          <t>LJUSNARSBERG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62821-2019</t>
        </is>
      </c>
      <c r="B1190" s="1" t="n">
        <v>43783</v>
      </c>
      <c r="C1190" s="1" t="n">
        <v>45797</v>
      </c>
      <c r="D1190" t="inlineStr">
        <is>
          <t>ÖREBRO LÄN</t>
        </is>
      </c>
      <c r="E1190" t="inlineStr">
        <is>
          <t>DEGERFORS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61669-2019</t>
        </is>
      </c>
      <c r="B1191" s="1" t="n">
        <v>43783</v>
      </c>
      <c r="C1191" s="1" t="n">
        <v>45797</v>
      </c>
      <c r="D1191" t="inlineStr">
        <is>
          <t>ÖREBRO LÄN</t>
        </is>
      </c>
      <c r="E1191" t="inlineStr">
        <is>
          <t>ÖREBRO</t>
        </is>
      </c>
      <c r="F1191" t="inlineStr">
        <is>
          <t>Kommuner</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61552-2019</t>
        </is>
      </c>
      <c r="B1192" s="1" t="n">
        <v>43784</v>
      </c>
      <c r="C1192" s="1" t="n">
        <v>45797</v>
      </c>
      <c r="D1192" t="inlineStr">
        <is>
          <t>ÖREBRO LÄN</t>
        </is>
      </c>
      <c r="E1192" t="inlineStr">
        <is>
          <t>ÖREBRO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61639-2019</t>
        </is>
      </c>
      <c r="B1193" s="1" t="n">
        <v>43784</v>
      </c>
      <c r="C1193" s="1" t="n">
        <v>45797</v>
      </c>
      <c r="D1193" t="inlineStr">
        <is>
          <t>ÖREBRO LÄN</t>
        </is>
      </c>
      <c r="E1193" t="inlineStr">
        <is>
          <t>ASKERSUND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61543-2019</t>
        </is>
      </c>
      <c r="B1194" s="1" t="n">
        <v>43784</v>
      </c>
      <c r="C1194" s="1" t="n">
        <v>45797</v>
      </c>
      <c r="D1194" t="inlineStr">
        <is>
          <t>ÖREBRO LÄN</t>
        </is>
      </c>
      <c r="E1194" t="inlineStr">
        <is>
          <t>LEKEBERG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61579-2019</t>
        </is>
      </c>
      <c r="B1195" s="1" t="n">
        <v>43784</v>
      </c>
      <c r="C1195" s="1" t="n">
        <v>45797</v>
      </c>
      <c r="D1195" t="inlineStr">
        <is>
          <t>ÖREBRO LÄN</t>
        </is>
      </c>
      <c r="E1195" t="inlineStr">
        <is>
          <t>DEGERFORS</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61583-2019</t>
        </is>
      </c>
      <c r="B1196" s="1" t="n">
        <v>43784</v>
      </c>
      <c r="C1196" s="1" t="n">
        <v>45797</v>
      </c>
      <c r="D1196" t="inlineStr">
        <is>
          <t>ÖREBRO LÄN</t>
        </is>
      </c>
      <c r="E1196" t="inlineStr">
        <is>
          <t>KUMLA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61803-2019</t>
        </is>
      </c>
      <c r="B1197" s="1" t="n">
        <v>43786</v>
      </c>
      <c r="C1197" s="1" t="n">
        <v>45797</v>
      </c>
      <c r="D1197" t="inlineStr">
        <is>
          <t>ÖREBRO LÄN</t>
        </is>
      </c>
      <c r="E1197" t="inlineStr">
        <is>
          <t>LINDESBERG</t>
        </is>
      </c>
      <c r="F1197" t="inlineStr">
        <is>
          <t>Kyrkan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61812-2019</t>
        </is>
      </c>
      <c r="B1198" s="1" t="n">
        <v>43786</v>
      </c>
      <c r="C1198" s="1" t="n">
        <v>45797</v>
      </c>
      <c r="D1198" t="inlineStr">
        <is>
          <t>ÖREBRO LÄN</t>
        </is>
      </c>
      <c r="E1198" t="inlineStr">
        <is>
          <t>ÖREBRO</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61804-2019</t>
        </is>
      </c>
      <c r="B1199" s="1" t="n">
        <v>43786</v>
      </c>
      <c r="C1199" s="1" t="n">
        <v>45797</v>
      </c>
      <c r="D1199" t="inlineStr">
        <is>
          <t>ÖREBRO LÄN</t>
        </is>
      </c>
      <c r="E1199" t="inlineStr">
        <is>
          <t>LINDESBERG</t>
        </is>
      </c>
      <c r="F1199" t="inlineStr">
        <is>
          <t>Kyrkan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62012-2019</t>
        </is>
      </c>
      <c r="B1200" s="1" t="n">
        <v>43787</v>
      </c>
      <c r="C1200" s="1" t="n">
        <v>45797</v>
      </c>
      <c r="D1200" t="inlineStr">
        <is>
          <t>ÖREBRO LÄN</t>
        </is>
      </c>
      <c r="E1200" t="inlineStr">
        <is>
          <t>ASKERSUND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62102-2019</t>
        </is>
      </c>
      <c r="B1201" s="1" t="n">
        <v>43787</v>
      </c>
      <c r="C1201" s="1" t="n">
        <v>45797</v>
      </c>
      <c r="D1201" t="inlineStr">
        <is>
          <t>ÖREBRO LÄN</t>
        </is>
      </c>
      <c r="E1201" t="inlineStr">
        <is>
          <t>ASKERSUND</t>
        </is>
      </c>
      <c r="F1201" t="inlineStr">
        <is>
          <t>Sveaskog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62131-2019</t>
        </is>
      </c>
      <c r="B1202" s="1" t="n">
        <v>43787</v>
      </c>
      <c r="C1202" s="1" t="n">
        <v>45797</v>
      </c>
      <c r="D1202" t="inlineStr">
        <is>
          <t>ÖREBRO LÄN</t>
        </is>
      </c>
      <c r="E1202" t="inlineStr">
        <is>
          <t>ÖREBRO</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62313-2019</t>
        </is>
      </c>
      <c r="B1203" s="1" t="n">
        <v>43788</v>
      </c>
      <c r="C1203" s="1" t="n">
        <v>45797</v>
      </c>
      <c r="D1203" t="inlineStr">
        <is>
          <t>ÖREBRO LÄN</t>
        </is>
      </c>
      <c r="E1203" t="inlineStr">
        <is>
          <t>KARLSKOGA</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62317-2019</t>
        </is>
      </c>
      <c r="B1204" s="1" t="n">
        <v>43788</v>
      </c>
      <c r="C1204" s="1" t="n">
        <v>45797</v>
      </c>
      <c r="D1204" t="inlineStr">
        <is>
          <t>ÖREBRO LÄN</t>
        </is>
      </c>
      <c r="E1204" t="inlineStr">
        <is>
          <t>KARLSKOGA</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62460-2019</t>
        </is>
      </c>
      <c r="B1205" s="1" t="n">
        <v>43788</v>
      </c>
      <c r="C1205" s="1" t="n">
        <v>45797</v>
      </c>
      <c r="D1205" t="inlineStr">
        <is>
          <t>ÖREBRO LÄN</t>
        </is>
      </c>
      <c r="E1205" t="inlineStr">
        <is>
          <t>LINDESBERG</t>
        </is>
      </c>
      <c r="F1205" t="inlineStr">
        <is>
          <t>Kommuner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62463-2019</t>
        </is>
      </c>
      <c r="B1206" s="1" t="n">
        <v>43788</v>
      </c>
      <c r="C1206" s="1" t="n">
        <v>45797</v>
      </c>
      <c r="D1206" t="inlineStr">
        <is>
          <t>ÖREBRO LÄN</t>
        </is>
      </c>
      <c r="E1206" t="inlineStr">
        <is>
          <t>LINDESBERG</t>
        </is>
      </c>
      <c r="F1206" t="inlineStr">
        <is>
          <t>Kommuner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63600-2019</t>
        </is>
      </c>
      <c r="B1207" s="1" t="n">
        <v>43789</v>
      </c>
      <c r="C1207" s="1" t="n">
        <v>45797</v>
      </c>
      <c r="D1207" t="inlineStr">
        <is>
          <t>ÖREBRO LÄN</t>
        </is>
      </c>
      <c r="E1207" t="inlineStr">
        <is>
          <t>DEGERFORS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62789-2019</t>
        </is>
      </c>
      <c r="B1208" s="1" t="n">
        <v>43790</v>
      </c>
      <c r="C1208" s="1" t="n">
        <v>45797</v>
      </c>
      <c r="D1208" t="inlineStr">
        <is>
          <t>ÖREBRO LÄN</t>
        </is>
      </c>
      <c r="E1208" t="inlineStr">
        <is>
          <t>ASKERSUND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62770-2019</t>
        </is>
      </c>
      <c r="B1209" s="1" t="n">
        <v>43790</v>
      </c>
      <c r="C1209" s="1" t="n">
        <v>45797</v>
      </c>
      <c r="D1209" t="inlineStr">
        <is>
          <t>ÖREBRO LÄN</t>
        </is>
      </c>
      <c r="E1209" t="inlineStr">
        <is>
          <t>ASKERSUND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62871-2019</t>
        </is>
      </c>
      <c r="B1210" s="1" t="n">
        <v>43790</v>
      </c>
      <c r="C1210" s="1" t="n">
        <v>45797</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62990-2019</t>
        </is>
      </c>
      <c r="B1211" s="1" t="n">
        <v>43790</v>
      </c>
      <c r="C1211" s="1" t="n">
        <v>45797</v>
      </c>
      <c r="D1211" t="inlineStr">
        <is>
          <t>ÖREBRO LÄN</t>
        </is>
      </c>
      <c r="E1211" t="inlineStr">
        <is>
          <t>LEKEBERG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62872-2019</t>
        </is>
      </c>
      <c r="B1212" s="1" t="n">
        <v>43790</v>
      </c>
      <c r="C1212" s="1" t="n">
        <v>45797</v>
      </c>
      <c r="D1212" t="inlineStr">
        <is>
          <t>ÖREBRO LÄN</t>
        </is>
      </c>
      <c r="E1212" t="inlineStr">
        <is>
          <t>LINDESBERG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63970-2019</t>
        </is>
      </c>
      <c r="B1213" s="1" t="n">
        <v>43790</v>
      </c>
      <c r="C1213" s="1" t="n">
        <v>45797</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63722-2019</t>
        </is>
      </c>
      <c r="B1214" s="1" t="n">
        <v>43790</v>
      </c>
      <c r="C1214" s="1" t="n">
        <v>45797</v>
      </c>
      <c r="D1214" t="inlineStr">
        <is>
          <t>ÖREBRO LÄN</t>
        </is>
      </c>
      <c r="E1214" t="inlineStr">
        <is>
          <t>ÖREBRO</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63117-2019</t>
        </is>
      </c>
      <c r="B1215" s="1" t="n">
        <v>43791</v>
      </c>
      <c r="C1215" s="1" t="n">
        <v>45797</v>
      </c>
      <c r="D1215" t="inlineStr">
        <is>
          <t>ÖREBRO LÄN</t>
        </is>
      </c>
      <c r="E1215" t="inlineStr">
        <is>
          <t>HALLSBERG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63245-2019</t>
        </is>
      </c>
      <c r="B1216" s="1" t="n">
        <v>43792</v>
      </c>
      <c r="C1216" s="1" t="n">
        <v>45797</v>
      </c>
      <c r="D1216" t="inlineStr">
        <is>
          <t>ÖREBRO LÄN</t>
        </is>
      </c>
      <c r="E1216" t="inlineStr">
        <is>
          <t>LINDESBERG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63244-2019</t>
        </is>
      </c>
      <c r="B1217" s="1" t="n">
        <v>43792</v>
      </c>
      <c r="C1217" s="1" t="n">
        <v>45797</v>
      </c>
      <c r="D1217" t="inlineStr">
        <is>
          <t>ÖREBRO LÄN</t>
        </is>
      </c>
      <c r="E1217" t="inlineStr">
        <is>
          <t>LAXÅ</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63264-2019</t>
        </is>
      </c>
      <c r="B1218" s="1" t="n">
        <v>43793</v>
      </c>
      <c r="C1218" s="1" t="n">
        <v>45797</v>
      </c>
      <c r="D1218" t="inlineStr">
        <is>
          <t>ÖREBRO LÄN</t>
        </is>
      </c>
      <c r="E1218" t="inlineStr">
        <is>
          <t>HALLSBERG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63502-2019</t>
        </is>
      </c>
      <c r="B1219" s="1" t="n">
        <v>43794</v>
      </c>
      <c r="C1219" s="1" t="n">
        <v>45797</v>
      </c>
      <c r="D1219" t="inlineStr">
        <is>
          <t>ÖREBRO LÄN</t>
        </is>
      </c>
      <c r="E1219" t="inlineStr">
        <is>
          <t>ASKERSUND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63499-2019</t>
        </is>
      </c>
      <c r="B1220" s="1" t="n">
        <v>43794</v>
      </c>
      <c r="C1220" s="1" t="n">
        <v>45797</v>
      </c>
      <c r="D1220" t="inlineStr">
        <is>
          <t>ÖREBRO LÄN</t>
        </is>
      </c>
      <c r="E1220" t="inlineStr">
        <is>
          <t>ASKERSUND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63310-2019</t>
        </is>
      </c>
      <c r="B1221" s="1" t="n">
        <v>43794</v>
      </c>
      <c r="C1221" s="1" t="n">
        <v>45797</v>
      </c>
      <c r="D1221" t="inlineStr">
        <is>
          <t>ÖREBRO LÄN</t>
        </is>
      </c>
      <c r="E1221" t="inlineStr">
        <is>
          <t>ÖREBRO</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64095-2019</t>
        </is>
      </c>
      <c r="B1222" s="1" t="n">
        <v>43796</v>
      </c>
      <c r="C1222" s="1" t="n">
        <v>45797</v>
      </c>
      <c r="D1222" t="inlineStr">
        <is>
          <t>ÖREBRO LÄN</t>
        </is>
      </c>
      <c r="E1222" t="inlineStr">
        <is>
          <t>ÖREBRO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65185-2019</t>
        </is>
      </c>
      <c r="B1223" s="1" t="n">
        <v>43796</v>
      </c>
      <c r="C1223" s="1" t="n">
        <v>45797</v>
      </c>
      <c r="D1223" t="inlineStr">
        <is>
          <t>ÖREBRO LÄN</t>
        </is>
      </c>
      <c r="E1223" t="inlineStr">
        <is>
          <t>LJUSNARSBERG</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64354-2019</t>
        </is>
      </c>
      <c r="B1224" s="1" t="n">
        <v>43797</v>
      </c>
      <c r="C1224" s="1" t="n">
        <v>45797</v>
      </c>
      <c r="D1224" t="inlineStr">
        <is>
          <t>ÖREBRO LÄN</t>
        </is>
      </c>
      <c r="E1224" t="inlineStr">
        <is>
          <t>LAXÅ</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64384-2019</t>
        </is>
      </c>
      <c r="B1225" s="1" t="n">
        <v>43797</v>
      </c>
      <c r="C1225" s="1" t="n">
        <v>45797</v>
      </c>
      <c r="D1225" t="inlineStr">
        <is>
          <t>ÖREBRO LÄN</t>
        </is>
      </c>
      <c r="E1225" t="inlineStr">
        <is>
          <t>ÖREBRO</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64675-2019</t>
        </is>
      </c>
      <c r="B1226" s="1" t="n">
        <v>43798</v>
      </c>
      <c r="C1226" s="1" t="n">
        <v>45797</v>
      </c>
      <c r="D1226" t="inlineStr">
        <is>
          <t>ÖREBRO LÄN</t>
        </is>
      </c>
      <c r="E1226" t="inlineStr">
        <is>
          <t>LJUSNARSBERG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64726-2019</t>
        </is>
      </c>
      <c r="B1227" s="1" t="n">
        <v>43800</v>
      </c>
      <c r="C1227" s="1" t="n">
        <v>45797</v>
      </c>
      <c r="D1227" t="inlineStr">
        <is>
          <t>ÖREBRO LÄN</t>
        </is>
      </c>
      <c r="E1227" t="inlineStr">
        <is>
          <t>LINDESBERG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64727-2019</t>
        </is>
      </c>
      <c r="B1228" s="1" t="n">
        <v>43800</v>
      </c>
      <c r="C1228" s="1" t="n">
        <v>45797</v>
      </c>
      <c r="D1228" t="inlineStr">
        <is>
          <t>ÖREBRO LÄN</t>
        </is>
      </c>
      <c r="E1228" t="inlineStr">
        <is>
          <t>LINDESBERG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64860-2019</t>
        </is>
      </c>
      <c r="B1229" s="1" t="n">
        <v>43801</v>
      </c>
      <c r="C1229" s="1" t="n">
        <v>45797</v>
      </c>
      <c r="D1229" t="inlineStr">
        <is>
          <t>ÖREBRO LÄN</t>
        </is>
      </c>
      <c r="E1229" t="inlineStr">
        <is>
          <t>LJUSNARSBERG</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64917-2019</t>
        </is>
      </c>
      <c r="B1230" s="1" t="n">
        <v>43801</v>
      </c>
      <c r="C1230" s="1" t="n">
        <v>45797</v>
      </c>
      <c r="D1230" t="inlineStr">
        <is>
          <t>ÖREBRO LÄN</t>
        </is>
      </c>
      <c r="E1230" t="inlineStr">
        <is>
          <t>ASKERSUND</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64828-2019</t>
        </is>
      </c>
      <c r="B1231" s="1" t="n">
        <v>43801</v>
      </c>
      <c r="C1231" s="1" t="n">
        <v>45797</v>
      </c>
      <c r="D1231" t="inlineStr">
        <is>
          <t>ÖREBRO LÄN</t>
        </is>
      </c>
      <c r="E1231" t="inlineStr">
        <is>
          <t>DEGERFORS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64883-2019</t>
        </is>
      </c>
      <c r="B1232" s="1" t="n">
        <v>43801</v>
      </c>
      <c r="C1232" s="1" t="n">
        <v>45797</v>
      </c>
      <c r="D1232" t="inlineStr">
        <is>
          <t>ÖREBRO LÄN</t>
        </is>
      </c>
      <c r="E1232" t="inlineStr">
        <is>
          <t>ASKERSUND</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65014-2019</t>
        </is>
      </c>
      <c r="B1233" s="1" t="n">
        <v>43801</v>
      </c>
      <c r="C1233" s="1" t="n">
        <v>45797</v>
      </c>
      <c r="D1233" t="inlineStr">
        <is>
          <t>ÖREBRO LÄN</t>
        </is>
      </c>
      <c r="E1233" t="inlineStr">
        <is>
          <t>ÖREBRO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64984-2019</t>
        </is>
      </c>
      <c r="B1234" s="1" t="n">
        <v>43801</v>
      </c>
      <c r="C1234" s="1" t="n">
        <v>45797</v>
      </c>
      <c r="D1234" t="inlineStr">
        <is>
          <t>ÖREBRO LÄN</t>
        </is>
      </c>
      <c r="E1234" t="inlineStr">
        <is>
          <t>ÖREBRO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65011-2019</t>
        </is>
      </c>
      <c r="B1235" s="1" t="n">
        <v>43801</v>
      </c>
      <c r="C1235" s="1" t="n">
        <v>45797</v>
      </c>
      <c r="D1235" t="inlineStr">
        <is>
          <t>ÖREBRO LÄN</t>
        </is>
      </c>
      <c r="E1235" t="inlineStr">
        <is>
          <t>ÖREBRO</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65937-2019</t>
        </is>
      </c>
      <c r="B1236" s="1" t="n">
        <v>43801</v>
      </c>
      <c r="C1236" s="1" t="n">
        <v>45797</v>
      </c>
      <c r="D1236" t="inlineStr">
        <is>
          <t>ÖREBRO LÄN</t>
        </is>
      </c>
      <c r="E1236" t="inlineStr">
        <is>
          <t>ÖREBRO</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65102-2019</t>
        </is>
      </c>
      <c r="B1237" s="1" t="n">
        <v>43802</v>
      </c>
      <c r="C1237" s="1" t="n">
        <v>45797</v>
      </c>
      <c r="D1237" t="inlineStr">
        <is>
          <t>ÖREBRO LÄN</t>
        </is>
      </c>
      <c r="E1237" t="inlineStr">
        <is>
          <t>LEKEBERG</t>
        </is>
      </c>
      <c r="F1237" t="inlineStr">
        <is>
          <t>Allmännings- och besparingsskogar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65251-2019</t>
        </is>
      </c>
      <c r="B1238" s="1" t="n">
        <v>43802</v>
      </c>
      <c r="C1238" s="1" t="n">
        <v>45797</v>
      </c>
      <c r="D1238" t="inlineStr">
        <is>
          <t>ÖREBRO LÄN</t>
        </is>
      </c>
      <c r="E1238" t="inlineStr">
        <is>
          <t>LJUSNARSBERG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65073-2019</t>
        </is>
      </c>
      <c r="B1239" s="1" t="n">
        <v>43802</v>
      </c>
      <c r="C1239" s="1" t="n">
        <v>45797</v>
      </c>
      <c r="D1239" t="inlineStr">
        <is>
          <t>ÖREBRO LÄN</t>
        </is>
      </c>
      <c r="E1239" t="inlineStr">
        <is>
          <t>HÄLLEFORS</t>
        </is>
      </c>
      <c r="F1239" t="inlineStr">
        <is>
          <t>Bergvik skog väst AB</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65138-2019</t>
        </is>
      </c>
      <c r="B1240" s="1" t="n">
        <v>43802</v>
      </c>
      <c r="C1240" s="1" t="n">
        <v>45797</v>
      </c>
      <c r="D1240" t="inlineStr">
        <is>
          <t>ÖREBRO LÄN</t>
        </is>
      </c>
      <c r="E1240" t="inlineStr">
        <is>
          <t>NORA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65486-2019</t>
        </is>
      </c>
      <c r="B1241" s="1" t="n">
        <v>43803</v>
      </c>
      <c r="C1241" s="1" t="n">
        <v>45797</v>
      </c>
      <c r="D1241" t="inlineStr">
        <is>
          <t>ÖREBRO LÄN</t>
        </is>
      </c>
      <c r="E1241" t="inlineStr">
        <is>
          <t>ASKERSUND</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65360-2019</t>
        </is>
      </c>
      <c r="B1242" s="1" t="n">
        <v>43803</v>
      </c>
      <c r="C1242" s="1" t="n">
        <v>45797</v>
      </c>
      <c r="D1242" t="inlineStr">
        <is>
          <t>ÖREBRO LÄN</t>
        </is>
      </c>
      <c r="E1242" t="inlineStr">
        <is>
          <t>LINDESBERG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65451-2019</t>
        </is>
      </c>
      <c r="B1243" s="1" t="n">
        <v>43803</v>
      </c>
      <c r="C1243" s="1" t="n">
        <v>45797</v>
      </c>
      <c r="D1243" t="inlineStr">
        <is>
          <t>ÖREBRO LÄN</t>
        </is>
      </c>
      <c r="E1243" t="inlineStr">
        <is>
          <t>ÖREBRO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65488-2019</t>
        </is>
      </c>
      <c r="B1244" s="1" t="n">
        <v>43803</v>
      </c>
      <c r="C1244" s="1" t="n">
        <v>45797</v>
      </c>
      <c r="D1244" t="inlineStr">
        <is>
          <t>ÖREBRO LÄN</t>
        </is>
      </c>
      <c r="E1244" t="inlineStr">
        <is>
          <t>ASKERSUND</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65738-2019</t>
        </is>
      </c>
      <c r="B1245" s="1" t="n">
        <v>43804</v>
      </c>
      <c r="C1245" s="1" t="n">
        <v>45797</v>
      </c>
      <c r="D1245" t="inlineStr">
        <is>
          <t>ÖREBRO LÄN</t>
        </is>
      </c>
      <c r="E1245" t="inlineStr">
        <is>
          <t>ÖREBRO</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65608-2019</t>
        </is>
      </c>
      <c r="B1246" s="1" t="n">
        <v>43804</v>
      </c>
      <c r="C1246" s="1" t="n">
        <v>45797</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65758-2019</t>
        </is>
      </c>
      <c r="B1247" s="1" t="n">
        <v>43804</v>
      </c>
      <c r="C1247" s="1" t="n">
        <v>45797</v>
      </c>
      <c r="D1247" t="inlineStr">
        <is>
          <t>ÖREBRO LÄN</t>
        </is>
      </c>
      <c r="E1247" t="inlineStr">
        <is>
          <t>HÄLLEFORS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65926-2019</t>
        </is>
      </c>
      <c r="B1248" s="1" t="n">
        <v>43805</v>
      </c>
      <c r="C1248" s="1" t="n">
        <v>45797</v>
      </c>
      <c r="D1248" t="inlineStr">
        <is>
          <t>ÖREBRO LÄN</t>
        </is>
      </c>
      <c r="E1248" t="inlineStr">
        <is>
          <t>LINDESBERG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65945-2019</t>
        </is>
      </c>
      <c r="B1249" s="1" t="n">
        <v>43805</v>
      </c>
      <c r="C1249" s="1" t="n">
        <v>45797</v>
      </c>
      <c r="D1249" t="inlineStr">
        <is>
          <t>ÖREBRO LÄN</t>
        </is>
      </c>
      <c r="E1249" t="inlineStr">
        <is>
          <t>LINDESBERG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65920-2019</t>
        </is>
      </c>
      <c r="B1250" s="1" t="n">
        <v>43805</v>
      </c>
      <c r="C1250" s="1" t="n">
        <v>45797</v>
      </c>
      <c r="D1250" t="inlineStr">
        <is>
          <t>ÖREBRO LÄN</t>
        </is>
      </c>
      <c r="E1250" t="inlineStr">
        <is>
          <t>LJUSNARSBERG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66547-2019</t>
        </is>
      </c>
      <c r="B1251" s="1" t="n">
        <v>43809</v>
      </c>
      <c r="C1251" s="1" t="n">
        <v>45797</v>
      </c>
      <c r="D1251" t="inlineStr">
        <is>
          <t>ÖREBRO LÄN</t>
        </is>
      </c>
      <c r="E1251" t="inlineStr">
        <is>
          <t>DEGERFORS</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66581-2019</t>
        </is>
      </c>
      <c r="B1252" s="1" t="n">
        <v>43809</v>
      </c>
      <c r="C1252" s="1" t="n">
        <v>45797</v>
      </c>
      <c r="D1252" t="inlineStr">
        <is>
          <t>ÖREBRO LÄN</t>
        </is>
      </c>
      <c r="E1252" t="inlineStr">
        <is>
          <t>ÖREBRO</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66503-2019</t>
        </is>
      </c>
      <c r="B1253" s="1" t="n">
        <v>43809</v>
      </c>
      <c r="C1253" s="1" t="n">
        <v>45797</v>
      </c>
      <c r="D1253" t="inlineStr">
        <is>
          <t>ÖREBRO LÄN</t>
        </is>
      </c>
      <c r="E1253" t="inlineStr">
        <is>
          <t>LINDESBERG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66562-2019</t>
        </is>
      </c>
      <c r="B1254" s="1" t="n">
        <v>43809</v>
      </c>
      <c r="C1254" s="1" t="n">
        <v>45797</v>
      </c>
      <c r="D1254" t="inlineStr">
        <is>
          <t>ÖREBRO LÄN</t>
        </is>
      </c>
      <c r="E1254" t="inlineStr">
        <is>
          <t>ÖREBRO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66558-2019</t>
        </is>
      </c>
      <c r="B1255" s="1" t="n">
        <v>43809</v>
      </c>
      <c r="C1255" s="1" t="n">
        <v>45797</v>
      </c>
      <c r="D1255" t="inlineStr">
        <is>
          <t>ÖREBRO LÄN</t>
        </is>
      </c>
      <c r="E1255" t="inlineStr">
        <is>
          <t>LAXÅ</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66546-2019</t>
        </is>
      </c>
      <c r="B1256" s="1" t="n">
        <v>43809</v>
      </c>
      <c r="C1256" s="1" t="n">
        <v>45797</v>
      </c>
      <c r="D1256" t="inlineStr">
        <is>
          <t>ÖREBRO LÄN</t>
        </is>
      </c>
      <c r="E1256" t="inlineStr">
        <is>
          <t>DEGERFORS</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66887-2019</t>
        </is>
      </c>
      <c r="B1257" s="1" t="n">
        <v>43810</v>
      </c>
      <c r="C1257" s="1" t="n">
        <v>45797</v>
      </c>
      <c r="D1257" t="inlineStr">
        <is>
          <t>ÖREBRO LÄN</t>
        </is>
      </c>
      <c r="E1257" t="inlineStr">
        <is>
          <t>LINDESBERG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67939-2019</t>
        </is>
      </c>
      <c r="B1258" s="1" t="n">
        <v>43810</v>
      </c>
      <c r="C1258" s="1" t="n">
        <v>45797</v>
      </c>
      <c r="D1258" t="inlineStr">
        <is>
          <t>ÖREBRO LÄN</t>
        </is>
      </c>
      <c r="E1258" t="inlineStr">
        <is>
          <t>ÖREBRO</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66718-2019</t>
        </is>
      </c>
      <c r="B1259" s="1" t="n">
        <v>43810</v>
      </c>
      <c r="C1259" s="1" t="n">
        <v>45797</v>
      </c>
      <c r="D1259" t="inlineStr">
        <is>
          <t>ÖREBRO LÄN</t>
        </is>
      </c>
      <c r="E1259" t="inlineStr">
        <is>
          <t>LINDESBERG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66748-2019</t>
        </is>
      </c>
      <c r="B1260" s="1" t="n">
        <v>43810</v>
      </c>
      <c r="C1260" s="1" t="n">
        <v>45797</v>
      </c>
      <c r="D1260" t="inlineStr">
        <is>
          <t>ÖREBRO LÄN</t>
        </is>
      </c>
      <c r="E1260" t="inlineStr">
        <is>
          <t>LEKEBERG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67029-2019</t>
        </is>
      </c>
      <c r="B1261" s="1" t="n">
        <v>43811</v>
      </c>
      <c r="C1261" s="1" t="n">
        <v>45797</v>
      </c>
      <c r="D1261" t="inlineStr">
        <is>
          <t>ÖREBRO LÄN</t>
        </is>
      </c>
      <c r="E1261" t="inlineStr">
        <is>
          <t>ASKERSUND</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67236-2019</t>
        </is>
      </c>
      <c r="B1262" s="1" t="n">
        <v>43812</v>
      </c>
      <c r="C1262" s="1" t="n">
        <v>45797</v>
      </c>
      <c r="D1262" t="inlineStr">
        <is>
          <t>ÖREBRO LÄN</t>
        </is>
      </c>
      <c r="E1262" t="inlineStr">
        <is>
          <t>LJUSNARSBERG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67471-2019</t>
        </is>
      </c>
      <c r="B1263" s="1" t="n">
        <v>43814</v>
      </c>
      <c r="C1263" s="1" t="n">
        <v>45797</v>
      </c>
      <c r="D1263" t="inlineStr">
        <is>
          <t>ÖREBRO LÄN</t>
        </is>
      </c>
      <c r="E1263" t="inlineStr">
        <is>
          <t>ÖREBRO</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67469-2019</t>
        </is>
      </c>
      <c r="B1264" s="1" t="n">
        <v>43814</v>
      </c>
      <c r="C1264" s="1" t="n">
        <v>45797</v>
      </c>
      <c r="D1264" t="inlineStr">
        <is>
          <t>ÖREBRO LÄN</t>
        </is>
      </c>
      <c r="E1264" t="inlineStr">
        <is>
          <t>ÖREBRO</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67475-2019</t>
        </is>
      </c>
      <c r="B1265" s="1" t="n">
        <v>43814</v>
      </c>
      <c r="C1265" s="1" t="n">
        <v>45797</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67477-2019</t>
        </is>
      </c>
      <c r="B1266" s="1" t="n">
        <v>43814</v>
      </c>
      <c r="C1266" s="1" t="n">
        <v>45797</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67800-2019</t>
        </is>
      </c>
      <c r="B1267" s="1" t="n">
        <v>43815</v>
      </c>
      <c r="C1267" s="1" t="n">
        <v>45797</v>
      </c>
      <c r="D1267" t="inlineStr">
        <is>
          <t>ÖREBRO LÄN</t>
        </is>
      </c>
      <c r="E1267" t="inlineStr">
        <is>
          <t>KARLSKOGA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67536-2019</t>
        </is>
      </c>
      <c r="B1268" s="1" t="n">
        <v>43815</v>
      </c>
      <c r="C1268" s="1" t="n">
        <v>45797</v>
      </c>
      <c r="D1268" t="inlineStr">
        <is>
          <t>ÖREBRO LÄN</t>
        </is>
      </c>
      <c r="E1268" t="inlineStr">
        <is>
          <t>LINDESBERG</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332-2020</t>
        </is>
      </c>
      <c r="B1269" s="1" t="n">
        <v>43816</v>
      </c>
      <c r="C1269" s="1" t="n">
        <v>45797</v>
      </c>
      <c r="D1269" t="inlineStr">
        <is>
          <t>ÖREBRO LÄN</t>
        </is>
      </c>
      <c r="E1269" t="inlineStr">
        <is>
          <t>DEGERFORS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68270-2019</t>
        </is>
      </c>
      <c r="B1270" s="1" t="n">
        <v>43817</v>
      </c>
      <c r="C1270" s="1" t="n">
        <v>45797</v>
      </c>
      <c r="D1270" t="inlineStr">
        <is>
          <t>ÖREBRO LÄN</t>
        </is>
      </c>
      <c r="E1270" t="inlineStr">
        <is>
          <t>DEGERFORS</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68257-2019</t>
        </is>
      </c>
      <c r="B1271" s="1" t="n">
        <v>43817</v>
      </c>
      <c r="C1271" s="1" t="n">
        <v>45797</v>
      </c>
      <c r="D1271" t="inlineStr">
        <is>
          <t>ÖREBRO LÄN</t>
        </is>
      </c>
      <c r="E1271" t="inlineStr">
        <is>
          <t>LINDESBERG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68534-2019</t>
        </is>
      </c>
      <c r="B1272" s="1" t="n">
        <v>43818</v>
      </c>
      <c r="C1272" s="1" t="n">
        <v>45797</v>
      </c>
      <c r="D1272" t="inlineStr">
        <is>
          <t>ÖREBRO LÄN</t>
        </is>
      </c>
      <c r="E1272" t="inlineStr">
        <is>
          <t>HÄLLEFORS</t>
        </is>
      </c>
      <c r="F1272" t="inlineStr">
        <is>
          <t>Bergvik skog väst AB</t>
        </is>
      </c>
      <c r="G1272" t="n">
        <v>14.3</v>
      </c>
      <c r="H1272" t="n">
        <v>0</v>
      </c>
      <c r="I1272" t="n">
        <v>0</v>
      </c>
      <c r="J1272" t="n">
        <v>0</v>
      </c>
      <c r="K1272" t="n">
        <v>0</v>
      </c>
      <c r="L1272" t="n">
        <v>0</v>
      </c>
      <c r="M1272" t="n">
        <v>0</v>
      </c>
      <c r="N1272" t="n">
        <v>0</v>
      </c>
      <c r="O1272" t="n">
        <v>0</v>
      </c>
      <c r="P1272" t="n">
        <v>0</v>
      </c>
      <c r="Q1272" t="n">
        <v>0</v>
      </c>
      <c r="R1272" s="2" t="inlineStr"/>
    </row>
    <row r="1273" ht="15" customHeight="1">
      <c r="A1273" t="inlineStr">
        <is>
          <t>A 68541-2019</t>
        </is>
      </c>
      <c r="B1273" s="1" t="n">
        <v>43818</v>
      </c>
      <c r="C1273" s="1" t="n">
        <v>45797</v>
      </c>
      <c r="D1273" t="inlineStr">
        <is>
          <t>ÖREBRO LÄN</t>
        </is>
      </c>
      <c r="E1273" t="inlineStr">
        <is>
          <t>ÖREBRO</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68554-2019</t>
        </is>
      </c>
      <c r="B1274" s="1" t="n">
        <v>43818</v>
      </c>
      <c r="C1274" s="1" t="n">
        <v>45797</v>
      </c>
      <c r="D1274" t="inlineStr">
        <is>
          <t>ÖREBRO LÄN</t>
        </is>
      </c>
      <c r="E1274" t="inlineStr">
        <is>
          <t>ÖREBRO</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69059-2019</t>
        </is>
      </c>
      <c r="B1275" s="1" t="n">
        <v>43826</v>
      </c>
      <c r="C1275" s="1" t="n">
        <v>45797</v>
      </c>
      <c r="D1275" t="inlineStr">
        <is>
          <t>ÖREBRO LÄN</t>
        </is>
      </c>
      <c r="E1275" t="inlineStr">
        <is>
          <t>LINDESBERG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341-2020</t>
        </is>
      </c>
      <c r="B1276" s="1" t="n">
        <v>43826</v>
      </c>
      <c r="C1276" s="1" t="n">
        <v>45797</v>
      </c>
      <c r="D1276" t="inlineStr">
        <is>
          <t>ÖREBRO LÄN</t>
        </is>
      </c>
      <c r="E1276" t="inlineStr">
        <is>
          <t>KUMLA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69074-2019</t>
        </is>
      </c>
      <c r="B1277" s="1" t="n">
        <v>43827</v>
      </c>
      <c r="C1277" s="1" t="n">
        <v>45797</v>
      </c>
      <c r="D1277" t="inlineStr">
        <is>
          <t>ÖREBRO LÄN</t>
        </is>
      </c>
      <c r="E1277" t="inlineStr">
        <is>
          <t>LAXÅ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55-2020</t>
        </is>
      </c>
      <c r="B1278" s="1" t="n">
        <v>43832</v>
      </c>
      <c r="C1278" s="1" t="n">
        <v>45797</v>
      </c>
      <c r="D1278" t="inlineStr">
        <is>
          <t>ÖREBRO LÄN</t>
        </is>
      </c>
      <c r="E1278" t="inlineStr">
        <is>
          <t>HÄLLEFORS</t>
        </is>
      </c>
      <c r="F1278" t="inlineStr">
        <is>
          <t>Bergvik skog väst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257-2020</t>
        </is>
      </c>
      <c r="B1279" s="1" t="n">
        <v>43836</v>
      </c>
      <c r="C1279" s="1" t="n">
        <v>45797</v>
      </c>
      <c r="D1279" t="inlineStr">
        <is>
          <t>ÖREBRO LÄN</t>
        </is>
      </c>
      <c r="E1279" t="inlineStr">
        <is>
          <t>ÖREBRO</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517-2020</t>
        </is>
      </c>
      <c r="B1280" s="1" t="n">
        <v>43837</v>
      </c>
      <c r="C1280" s="1" t="n">
        <v>45797</v>
      </c>
      <c r="D1280" t="inlineStr">
        <is>
          <t>ÖREBRO LÄN</t>
        </is>
      </c>
      <c r="E1280" t="inlineStr">
        <is>
          <t>LINDESBERG</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465-2020</t>
        </is>
      </c>
      <c r="B1281" s="1" t="n">
        <v>43837</v>
      </c>
      <c r="C1281" s="1" t="n">
        <v>45797</v>
      </c>
      <c r="D1281" t="inlineStr">
        <is>
          <t>ÖREBRO LÄN</t>
        </is>
      </c>
      <c r="E1281" t="inlineStr">
        <is>
          <t>LAXÅ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760-2020</t>
        </is>
      </c>
      <c r="B1282" s="1" t="n">
        <v>43838</v>
      </c>
      <c r="C1282" s="1" t="n">
        <v>45797</v>
      </c>
      <c r="D1282" t="inlineStr">
        <is>
          <t>ÖREBRO LÄN</t>
        </is>
      </c>
      <c r="E1282" t="inlineStr">
        <is>
          <t>ÖREBRO</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1970-2020</t>
        </is>
      </c>
      <c r="B1283" s="1" t="n">
        <v>43838</v>
      </c>
      <c r="C1283" s="1" t="n">
        <v>45797</v>
      </c>
      <c r="D1283" t="inlineStr">
        <is>
          <t>ÖREBRO LÄN</t>
        </is>
      </c>
      <c r="E1283" t="inlineStr">
        <is>
          <t>KUMLA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1012-2020</t>
        </is>
      </c>
      <c r="B1284" s="1" t="n">
        <v>43839</v>
      </c>
      <c r="C1284" s="1" t="n">
        <v>45797</v>
      </c>
      <c r="D1284" t="inlineStr">
        <is>
          <t>ÖREBRO LÄN</t>
        </is>
      </c>
      <c r="E1284" t="inlineStr">
        <is>
          <t>ASKERSUND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2137-2020</t>
        </is>
      </c>
      <c r="B1285" s="1" t="n">
        <v>43839</v>
      </c>
      <c r="C1285" s="1" t="n">
        <v>45797</v>
      </c>
      <c r="D1285" t="inlineStr">
        <is>
          <t>ÖREBRO LÄN</t>
        </is>
      </c>
      <c r="E1285" t="inlineStr">
        <is>
          <t>NORA</t>
        </is>
      </c>
      <c r="F1285" t="inlineStr">
        <is>
          <t>Övriga Aktiebolag</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2134-2020</t>
        </is>
      </c>
      <c r="B1286" s="1" t="n">
        <v>43839</v>
      </c>
      <c r="C1286" s="1" t="n">
        <v>45797</v>
      </c>
      <c r="D1286" t="inlineStr">
        <is>
          <t>ÖREBRO LÄN</t>
        </is>
      </c>
      <c r="E1286" t="inlineStr">
        <is>
          <t>KARLSKOGA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2329-2020</t>
        </is>
      </c>
      <c r="B1287" s="1" t="n">
        <v>43840</v>
      </c>
      <c r="C1287" s="1" t="n">
        <v>45797</v>
      </c>
      <c r="D1287" t="inlineStr">
        <is>
          <t>ÖREBRO LÄN</t>
        </is>
      </c>
      <c r="E1287" t="inlineStr">
        <is>
          <t>ÖREBRO</t>
        </is>
      </c>
      <c r="F1287" t="inlineStr">
        <is>
          <t>Kommuner</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1174-2020</t>
        </is>
      </c>
      <c r="B1288" s="1" t="n">
        <v>43840</v>
      </c>
      <c r="C1288" s="1" t="n">
        <v>45797</v>
      </c>
      <c r="D1288" t="inlineStr">
        <is>
          <t>ÖREBRO LÄN</t>
        </is>
      </c>
      <c r="E1288" t="inlineStr">
        <is>
          <t>ASKERSUND</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1311-2020</t>
        </is>
      </c>
      <c r="B1289" s="1" t="n">
        <v>43843</v>
      </c>
      <c r="C1289" s="1" t="n">
        <v>45797</v>
      </c>
      <c r="D1289" t="inlineStr">
        <is>
          <t>ÖREBRO LÄN</t>
        </is>
      </c>
      <c r="E1289" t="inlineStr">
        <is>
          <t>ÖREBRO</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1516-2020</t>
        </is>
      </c>
      <c r="B1290" s="1" t="n">
        <v>43843</v>
      </c>
      <c r="C1290" s="1" t="n">
        <v>45797</v>
      </c>
      <c r="D1290" t="inlineStr">
        <is>
          <t>ÖREBRO LÄN</t>
        </is>
      </c>
      <c r="E1290" t="inlineStr">
        <is>
          <t>HALLSBERG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2573-2020</t>
        </is>
      </c>
      <c r="B1291" s="1" t="n">
        <v>43843</v>
      </c>
      <c r="C1291" s="1" t="n">
        <v>45797</v>
      </c>
      <c r="D1291" t="inlineStr">
        <is>
          <t>ÖREBRO LÄN</t>
        </is>
      </c>
      <c r="E1291" t="inlineStr">
        <is>
          <t>LAXÅ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3154-2020</t>
        </is>
      </c>
      <c r="B1292" s="1" t="n">
        <v>43843</v>
      </c>
      <c r="C1292" s="1" t="n">
        <v>45797</v>
      </c>
      <c r="D1292" t="inlineStr">
        <is>
          <t>ÖREBRO LÄN</t>
        </is>
      </c>
      <c r="E1292" t="inlineStr">
        <is>
          <t>ASKERSUND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1574-2020</t>
        </is>
      </c>
      <c r="B1293" s="1" t="n">
        <v>43844</v>
      </c>
      <c r="C1293" s="1" t="n">
        <v>45797</v>
      </c>
      <c r="D1293" t="inlineStr">
        <is>
          <t>ÖREBRO LÄN</t>
        </is>
      </c>
      <c r="E1293" t="inlineStr">
        <is>
          <t>ÖREBRO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1580-2020</t>
        </is>
      </c>
      <c r="B1294" s="1" t="n">
        <v>43844</v>
      </c>
      <c r="C1294" s="1" t="n">
        <v>45797</v>
      </c>
      <c r="D1294" t="inlineStr">
        <is>
          <t>ÖREBRO LÄN</t>
        </is>
      </c>
      <c r="E1294" t="inlineStr">
        <is>
          <t>ÖREBRO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1651-2020</t>
        </is>
      </c>
      <c r="B1295" s="1" t="n">
        <v>43844</v>
      </c>
      <c r="C1295" s="1" t="n">
        <v>45797</v>
      </c>
      <c r="D1295" t="inlineStr">
        <is>
          <t>ÖREBRO LÄN</t>
        </is>
      </c>
      <c r="E1295" t="inlineStr">
        <is>
          <t>ASKERSUND</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1577-2020</t>
        </is>
      </c>
      <c r="B1296" s="1" t="n">
        <v>43844</v>
      </c>
      <c r="C1296" s="1" t="n">
        <v>45797</v>
      </c>
      <c r="D1296" t="inlineStr">
        <is>
          <t>ÖREBRO LÄN</t>
        </is>
      </c>
      <c r="E1296" t="inlineStr">
        <is>
          <t>ÖREBRO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1582-2020</t>
        </is>
      </c>
      <c r="B1297" s="1" t="n">
        <v>43844</v>
      </c>
      <c r="C1297" s="1" t="n">
        <v>45797</v>
      </c>
      <c r="D1297" t="inlineStr">
        <is>
          <t>ÖREBRO LÄN</t>
        </is>
      </c>
      <c r="E1297" t="inlineStr">
        <is>
          <t>ÖREBRO</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1753-2020</t>
        </is>
      </c>
      <c r="B1298" s="1" t="n">
        <v>43844</v>
      </c>
      <c r="C1298" s="1" t="n">
        <v>45797</v>
      </c>
      <c r="D1298" t="inlineStr">
        <is>
          <t>ÖREBRO LÄN</t>
        </is>
      </c>
      <c r="E1298" t="inlineStr">
        <is>
          <t>LINDESBERG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1581-2020</t>
        </is>
      </c>
      <c r="B1299" s="1" t="n">
        <v>43844</v>
      </c>
      <c r="C1299" s="1" t="n">
        <v>45797</v>
      </c>
      <c r="D1299" t="inlineStr">
        <is>
          <t>ÖREBRO LÄN</t>
        </is>
      </c>
      <c r="E1299" t="inlineStr">
        <is>
          <t>ÖREBRO</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1573-2020</t>
        </is>
      </c>
      <c r="B1300" s="1" t="n">
        <v>43844</v>
      </c>
      <c r="C1300" s="1" t="n">
        <v>45797</v>
      </c>
      <c r="D1300" t="inlineStr">
        <is>
          <t>ÖREBRO LÄN</t>
        </is>
      </c>
      <c r="E1300" t="inlineStr">
        <is>
          <t>ÖREBRO</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1579-2020</t>
        </is>
      </c>
      <c r="B1301" s="1" t="n">
        <v>43844</v>
      </c>
      <c r="C1301" s="1" t="n">
        <v>45797</v>
      </c>
      <c r="D1301" t="inlineStr">
        <is>
          <t>ÖREBRO LÄN</t>
        </is>
      </c>
      <c r="E1301" t="inlineStr">
        <is>
          <t>ÖREBRO</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1575-2020</t>
        </is>
      </c>
      <c r="B1302" s="1" t="n">
        <v>43844</v>
      </c>
      <c r="C1302" s="1" t="n">
        <v>45797</v>
      </c>
      <c r="D1302" t="inlineStr">
        <is>
          <t>ÖREBRO LÄN</t>
        </is>
      </c>
      <c r="E1302" t="inlineStr">
        <is>
          <t>ÖREBRO</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2078-2020</t>
        </is>
      </c>
      <c r="B1303" s="1" t="n">
        <v>43845</v>
      </c>
      <c r="C1303" s="1" t="n">
        <v>45797</v>
      </c>
      <c r="D1303" t="inlineStr">
        <is>
          <t>ÖREBRO LÄN</t>
        </is>
      </c>
      <c r="E1303" t="inlineStr">
        <is>
          <t>LINDESBERG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3680-2020</t>
        </is>
      </c>
      <c r="B1304" s="1" t="n">
        <v>43845</v>
      </c>
      <c r="C1304" s="1" t="n">
        <v>45797</v>
      </c>
      <c r="D1304" t="inlineStr">
        <is>
          <t>ÖREBRO LÄN</t>
        </is>
      </c>
      <c r="E1304" t="inlineStr">
        <is>
          <t>DEGERFORS</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2188-2020</t>
        </is>
      </c>
      <c r="B1305" s="1" t="n">
        <v>43846</v>
      </c>
      <c r="C1305" s="1" t="n">
        <v>45797</v>
      </c>
      <c r="D1305" t="inlineStr">
        <is>
          <t>ÖREBRO LÄN</t>
        </is>
      </c>
      <c r="E1305" t="inlineStr">
        <is>
          <t>DEGERFORS</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2218-2020</t>
        </is>
      </c>
      <c r="B1306" s="1" t="n">
        <v>43846</v>
      </c>
      <c r="C1306" s="1" t="n">
        <v>45797</v>
      </c>
      <c r="D1306" t="inlineStr">
        <is>
          <t>ÖREBRO LÄN</t>
        </is>
      </c>
      <c r="E1306" t="inlineStr">
        <is>
          <t>LEKEBERG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2362-2020</t>
        </is>
      </c>
      <c r="B1307" s="1" t="n">
        <v>43846</v>
      </c>
      <c r="C1307" s="1" t="n">
        <v>45797</v>
      </c>
      <c r="D1307" t="inlineStr">
        <is>
          <t>ÖREBRO LÄN</t>
        </is>
      </c>
      <c r="E1307" t="inlineStr">
        <is>
          <t>HALLSBERG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2784-2020</t>
        </is>
      </c>
      <c r="B1308" s="1" t="n">
        <v>43850</v>
      </c>
      <c r="C1308" s="1" t="n">
        <v>45797</v>
      </c>
      <c r="D1308" t="inlineStr">
        <is>
          <t>ÖREBRO LÄN</t>
        </is>
      </c>
      <c r="E1308" t="inlineStr">
        <is>
          <t>ASKERSUND</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3022-2020</t>
        </is>
      </c>
      <c r="B1309" s="1" t="n">
        <v>43851</v>
      </c>
      <c r="C1309" s="1" t="n">
        <v>45797</v>
      </c>
      <c r="D1309" t="inlineStr">
        <is>
          <t>ÖREBRO LÄN</t>
        </is>
      </c>
      <c r="E1309" t="inlineStr">
        <is>
          <t>ÖREBRO</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4686-2020</t>
        </is>
      </c>
      <c r="B1310" s="1" t="n">
        <v>43852</v>
      </c>
      <c r="C1310" s="1" t="n">
        <v>45797</v>
      </c>
      <c r="D1310" t="inlineStr">
        <is>
          <t>ÖREBRO LÄN</t>
        </is>
      </c>
      <c r="E1310" t="inlineStr">
        <is>
          <t>ASKERSUND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4846-2020</t>
        </is>
      </c>
      <c r="B1311" s="1" t="n">
        <v>43852</v>
      </c>
      <c r="C1311" s="1" t="n">
        <v>45797</v>
      </c>
      <c r="D1311" t="inlineStr">
        <is>
          <t>ÖREBRO LÄN</t>
        </is>
      </c>
      <c r="E1311" t="inlineStr">
        <is>
          <t>ASKERSUND</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3462-2020</t>
        </is>
      </c>
      <c r="B1312" s="1" t="n">
        <v>43852</v>
      </c>
      <c r="C1312" s="1" t="n">
        <v>45797</v>
      </c>
      <c r="D1312" t="inlineStr">
        <is>
          <t>ÖREBRO LÄN</t>
        </is>
      </c>
      <c r="E1312" t="inlineStr">
        <is>
          <t>LAXÅ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3630-2020</t>
        </is>
      </c>
      <c r="B1313" s="1" t="n">
        <v>43853</v>
      </c>
      <c r="C1313" s="1" t="n">
        <v>45797</v>
      </c>
      <c r="D1313" t="inlineStr">
        <is>
          <t>ÖREBRO LÄN</t>
        </is>
      </c>
      <c r="E1313" t="inlineStr">
        <is>
          <t>ÖREBRO</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3638-2020</t>
        </is>
      </c>
      <c r="B1314" s="1" t="n">
        <v>43853</v>
      </c>
      <c r="C1314" s="1" t="n">
        <v>45797</v>
      </c>
      <c r="D1314" t="inlineStr">
        <is>
          <t>ÖREBRO LÄN</t>
        </is>
      </c>
      <c r="E1314" t="inlineStr">
        <is>
          <t>LINDESBERG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3628-2020</t>
        </is>
      </c>
      <c r="B1315" s="1" t="n">
        <v>43853</v>
      </c>
      <c r="C1315" s="1" t="n">
        <v>45797</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4990-2020</t>
        </is>
      </c>
      <c r="B1316" s="1" t="n">
        <v>43853</v>
      </c>
      <c r="C1316" s="1" t="n">
        <v>45797</v>
      </c>
      <c r="D1316" t="inlineStr">
        <is>
          <t>ÖREBRO LÄN</t>
        </is>
      </c>
      <c r="E1316" t="inlineStr">
        <is>
          <t>ÖREBRO</t>
        </is>
      </c>
      <c r="F1316" t="inlineStr">
        <is>
          <t>Kommuner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3956-2020</t>
        </is>
      </c>
      <c r="B1317" s="1" t="n">
        <v>43854</v>
      </c>
      <c r="C1317" s="1" t="n">
        <v>45797</v>
      </c>
      <c r="D1317" t="inlineStr">
        <is>
          <t>ÖREBRO LÄN</t>
        </is>
      </c>
      <c r="E1317" t="inlineStr">
        <is>
          <t>ÖREBRO</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3999-2020</t>
        </is>
      </c>
      <c r="B1318" s="1" t="n">
        <v>43856</v>
      </c>
      <c r="C1318" s="1" t="n">
        <v>45797</v>
      </c>
      <c r="D1318" t="inlineStr">
        <is>
          <t>ÖREBRO LÄN</t>
        </is>
      </c>
      <c r="E1318" t="inlineStr">
        <is>
          <t>NORA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4343-2020</t>
        </is>
      </c>
      <c r="B1319" s="1" t="n">
        <v>43857</v>
      </c>
      <c r="C1319" s="1" t="n">
        <v>45797</v>
      </c>
      <c r="D1319" t="inlineStr">
        <is>
          <t>ÖREBRO LÄN</t>
        </is>
      </c>
      <c r="E1319" t="inlineStr">
        <is>
          <t>ÖREBRO</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4209-2020</t>
        </is>
      </c>
      <c r="B1320" s="1" t="n">
        <v>43857</v>
      </c>
      <c r="C1320" s="1" t="n">
        <v>45797</v>
      </c>
      <c r="D1320" t="inlineStr">
        <is>
          <t>ÖREBRO LÄN</t>
        </is>
      </c>
      <c r="E1320" t="inlineStr">
        <is>
          <t>KARLSKOGA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4418-2020</t>
        </is>
      </c>
      <c r="B1321" s="1" t="n">
        <v>43857</v>
      </c>
      <c r="C1321" s="1" t="n">
        <v>45797</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4751-2020</t>
        </is>
      </c>
      <c r="B1322" s="1" t="n">
        <v>43858</v>
      </c>
      <c r="C1322" s="1" t="n">
        <v>45797</v>
      </c>
      <c r="D1322" t="inlineStr">
        <is>
          <t>ÖREBRO LÄN</t>
        </is>
      </c>
      <c r="E1322" t="inlineStr">
        <is>
          <t>ÖREBRO</t>
        </is>
      </c>
      <c r="F1322" t="inlineStr">
        <is>
          <t>Kommuner</t>
        </is>
      </c>
      <c r="G1322" t="n">
        <v>2.9</v>
      </c>
      <c r="H1322" t="n">
        <v>0</v>
      </c>
      <c r="I1322" t="n">
        <v>0</v>
      </c>
      <c r="J1322" t="n">
        <v>0</v>
      </c>
      <c r="K1322" t="n">
        <v>0</v>
      </c>
      <c r="L1322" t="n">
        <v>0</v>
      </c>
      <c r="M1322" t="n">
        <v>0</v>
      </c>
      <c r="N1322" t="n">
        <v>0</v>
      </c>
      <c r="O1322" t="n">
        <v>0</v>
      </c>
      <c r="P1322" t="n">
        <v>0</v>
      </c>
      <c r="Q1322" t="n">
        <v>0</v>
      </c>
      <c r="R1322" s="2" t="inlineStr"/>
      <c r="U1322">
        <f>HYPERLINK("https://klasma.github.io/Logging_1880/knärot/A 4751-2020 karta knärot.png", "A 4751-2020")</f>
        <v/>
      </c>
      <c r="V1322">
        <f>HYPERLINK("https://klasma.github.io/Logging_1880/klagomål/A 4751-2020 FSC-klagomål.docx", "A 4751-2020")</f>
        <v/>
      </c>
      <c r="W1322">
        <f>HYPERLINK("https://klasma.github.io/Logging_1880/klagomålsmail/A 4751-2020 FSC-klagomål mail.docx", "A 4751-2020")</f>
        <v/>
      </c>
      <c r="X1322">
        <f>HYPERLINK("https://klasma.github.io/Logging_1880/tillsyn/A 4751-2020 tillsynsbegäran.docx", "A 4751-2020")</f>
        <v/>
      </c>
      <c r="Y1322">
        <f>HYPERLINK("https://klasma.github.io/Logging_1880/tillsynsmail/A 4751-2020 tillsynsbegäran mail.docx", "A 4751-2020")</f>
        <v/>
      </c>
    </row>
    <row r="1323" ht="15" customHeight="1">
      <c r="A1323" t="inlineStr">
        <is>
          <t>A 5477-2020</t>
        </is>
      </c>
      <c r="B1323" s="1" t="n">
        <v>43858</v>
      </c>
      <c r="C1323" s="1" t="n">
        <v>45797</v>
      </c>
      <c r="D1323" t="inlineStr">
        <is>
          <t>ÖREBRO LÄN</t>
        </is>
      </c>
      <c r="E1323" t="inlineStr">
        <is>
          <t>DEGERFORS</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5089-2020</t>
        </is>
      </c>
      <c r="B1324" s="1" t="n">
        <v>43859</v>
      </c>
      <c r="C1324" s="1" t="n">
        <v>45797</v>
      </c>
      <c r="D1324" t="inlineStr">
        <is>
          <t>ÖREBRO LÄN</t>
        </is>
      </c>
      <c r="E1324" t="inlineStr">
        <is>
          <t>HÄLLEFORS</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5076-2020</t>
        </is>
      </c>
      <c r="B1325" s="1" t="n">
        <v>43859</v>
      </c>
      <c r="C1325" s="1" t="n">
        <v>45797</v>
      </c>
      <c r="D1325" t="inlineStr">
        <is>
          <t>ÖREBRO LÄN</t>
        </is>
      </c>
      <c r="E1325" t="inlineStr">
        <is>
          <t>ÖREBRO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5246-2020</t>
        </is>
      </c>
      <c r="B1326" s="1" t="n">
        <v>43860</v>
      </c>
      <c r="C1326" s="1" t="n">
        <v>45797</v>
      </c>
      <c r="D1326" t="inlineStr">
        <is>
          <t>ÖREBRO LÄN</t>
        </is>
      </c>
      <c r="E1326" t="inlineStr">
        <is>
          <t>LINDESBERG</t>
        </is>
      </c>
      <c r="F1326" t="inlineStr">
        <is>
          <t>Kyrkan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5275-2020</t>
        </is>
      </c>
      <c r="B1327" s="1" t="n">
        <v>43860</v>
      </c>
      <c r="C1327" s="1" t="n">
        <v>45797</v>
      </c>
      <c r="D1327" t="inlineStr">
        <is>
          <t>ÖREBRO LÄN</t>
        </is>
      </c>
      <c r="E1327" t="inlineStr">
        <is>
          <t>HALLSBERG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5241-2020</t>
        </is>
      </c>
      <c r="B1328" s="1" t="n">
        <v>43860</v>
      </c>
      <c r="C1328" s="1" t="n">
        <v>45797</v>
      </c>
      <c r="D1328" t="inlineStr">
        <is>
          <t>ÖREBRO LÄN</t>
        </is>
      </c>
      <c r="E1328" t="inlineStr">
        <is>
          <t>LINDESBERG</t>
        </is>
      </c>
      <c r="F1328" t="inlineStr">
        <is>
          <t>Kyrkan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5575-2020</t>
        </is>
      </c>
      <c r="B1329" s="1" t="n">
        <v>43861</v>
      </c>
      <c r="C1329" s="1" t="n">
        <v>45797</v>
      </c>
      <c r="D1329" t="inlineStr">
        <is>
          <t>ÖREBRO LÄN</t>
        </is>
      </c>
      <c r="E1329" t="inlineStr">
        <is>
          <t>KUMLA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5563-2020</t>
        </is>
      </c>
      <c r="B1330" s="1" t="n">
        <v>43861</v>
      </c>
      <c r="C1330" s="1" t="n">
        <v>45797</v>
      </c>
      <c r="D1330" t="inlineStr">
        <is>
          <t>ÖREBRO LÄN</t>
        </is>
      </c>
      <c r="E1330" t="inlineStr">
        <is>
          <t>KUMLA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5696-2020</t>
        </is>
      </c>
      <c r="B1331" s="1" t="n">
        <v>43861</v>
      </c>
      <c r="C1331" s="1" t="n">
        <v>45797</v>
      </c>
      <c r="D1331" t="inlineStr">
        <is>
          <t>ÖREBRO LÄN</t>
        </is>
      </c>
      <c r="E1331" t="inlineStr">
        <is>
          <t>ASKERSUND</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5667-2020</t>
        </is>
      </c>
      <c r="B1332" s="1" t="n">
        <v>43861</v>
      </c>
      <c r="C1332" s="1" t="n">
        <v>45797</v>
      </c>
      <c r="D1332" t="inlineStr">
        <is>
          <t>ÖREBRO LÄN</t>
        </is>
      </c>
      <c r="E1332" t="inlineStr">
        <is>
          <t>HALLSBERG</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5813-2020</t>
        </is>
      </c>
      <c r="B1333" s="1" t="n">
        <v>43861</v>
      </c>
      <c r="C1333" s="1" t="n">
        <v>45797</v>
      </c>
      <c r="D1333" t="inlineStr">
        <is>
          <t>ÖREBRO LÄN</t>
        </is>
      </c>
      <c r="E1333" t="inlineStr">
        <is>
          <t>LINDESBERG</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6166-2020</t>
        </is>
      </c>
      <c r="B1334" s="1" t="n">
        <v>43864</v>
      </c>
      <c r="C1334" s="1" t="n">
        <v>45797</v>
      </c>
      <c r="D1334" t="inlineStr">
        <is>
          <t>ÖREBRO LÄN</t>
        </is>
      </c>
      <c r="E1334" t="inlineStr">
        <is>
          <t>ÖREBRO</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6247-2020</t>
        </is>
      </c>
      <c r="B1335" s="1" t="n">
        <v>43864</v>
      </c>
      <c r="C1335" s="1" t="n">
        <v>45797</v>
      </c>
      <c r="D1335" t="inlineStr">
        <is>
          <t>ÖREBRO LÄN</t>
        </is>
      </c>
      <c r="E1335" t="inlineStr">
        <is>
          <t>ÖREBRO</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6064-2020</t>
        </is>
      </c>
      <c r="B1336" s="1" t="n">
        <v>43865</v>
      </c>
      <c r="C1336" s="1" t="n">
        <v>45797</v>
      </c>
      <c r="D1336" t="inlineStr">
        <is>
          <t>ÖREBRO LÄN</t>
        </is>
      </c>
      <c r="E1336" t="inlineStr">
        <is>
          <t>KARLSKOGA</t>
        </is>
      </c>
      <c r="G1336" t="n">
        <v>12.7</v>
      </c>
      <c r="H1336" t="n">
        <v>0</v>
      </c>
      <c r="I1336" t="n">
        <v>0</v>
      </c>
      <c r="J1336" t="n">
        <v>0</v>
      </c>
      <c r="K1336" t="n">
        <v>0</v>
      </c>
      <c r="L1336" t="n">
        <v>0</v>
      </c>
      <c r="M1336" t="n">
        <v>0</v>
      </c>
      <c r="N1336" t="n">
        <v>0</v>
      </c>
      <c r="O1336" t="n">
        <v>0</v>
      </c>
      <c r="P1336" t="n">
        <v>0</v>
      </c>
      <c r="Q1336" t="n">
        <v>0</v>
      </c>
      <c r="R1336" s="2" t="inlineStr"/>
    </row>
    <row r="1337" ht="15" customHeight="1">
      <c r="A1337" t="inlineStr">
        <is>
          <t>A 6188-2020</t>
        </is>
      </c>
      <c r="B1337" s="1" t="n">
        <v>43865</v>
      </c>
      <c r="C1337" s="1" t="n">
        <v>45797</v>
      </c>
      <c r="D1337" t="inlineStr">
        <is>
          <t>ÖREBRO LÄN</t>
        </is>
      </c>
      <c r="E1337" t="inlineStr">
        <is>
          <t>LINDESBERG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6014-2020</t>
        </is>
      </c>
      <c r="B1338" s="1" t="n">
        <v>43865</v>
      </c>
      <c r="C1338" s="1" t="n">
        <v>45797</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6081-2020</t>
        </is>
      </c>
      <c r="B1339" s="1" t="n">
        <v>43865</v>
      </c>
      <c r="C1339" s="1" t="n">
        <v>45797</v>
      </c>
      <c r="D1339" t="inlineStr">
        <is>
          <t>ÖREBRO LÄN</t>
        </is>
      </c>
      <c r="E1339" t="inlineStr">
        <is>
          <t>KARLSKOGA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6089-2020</t>
        </is>
      </c>
      <c r="B1340" s="1" t="n">
        <v>43865</v>
      </c>
      <c r="C1340" s="1" t="n">
        <v>45797</v>
      </c>
      <c r="D1340" t="inlineStr">
        <is>
          <t>ÖREBRO LÄN</t>
        </is>
      </c>
      <c r="E1340" t="inlineStr">
        <is>
          <t>KARLSKOGA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6196-2020</t>
        </is>
      </c>
      <c r="B1341" s="1" t="n">
        <v>43865</v>
      </c>
      <c r="C1341" s="1" t="n">
        <v>45797</v>
      </c>
      <c r="D1341" t="inlineStr">
        <is>
          <t>ÖREBRO LÄN</t>
        </is>
      </c>
      <c r="E1341" t="inlineStr">
        <is>
          <t>HÄLLEFORS</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6476-2020</t>
        </is>
      </c>
      <c r="B1342" s="1" t="n">
        <v>43866</v>
      </c>
      <c r="C1342" s="1" t="n">
        <v>45797</v>
      </c>
      <c r="D1342" t="inlineStr">
        <is>
          <t>ÖREBRO LÄN</t>
        </is>
      </c>
      <c r="E1342" t="inlineStr">
        <is>
          <t>LINDESBERG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6456-2020</t>
        </is>
      </c>
      <c r="B1343" s="1" t="n">
        <v>43866</v>
      </c>
      <c r="C1343" s="1" t="n">
        <v>45797</v>
      </c>
      <c r="D1343" t="inlineStr">
        <is>
          <t>ÖREBRO LÄN</t>
        </is>
      </c>
      <c r="E1343" t="inlineStr">
        <is>
          <t>ÖREBRO</t>
        </is>
      </c>
      <c r="F1343" t="inlineStr">
        <is>
          <t>Övriga Aktiebolag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6663-2020</t>
        </is>
      </c>
      <c r="B1344" s="1" t="n">
        <v>43867</v>
      </c>
      <c r="C1344" s="1" t="n">
        <v>45797</v>
      </c>
      <c r="D1344" t="inlineStr">
        <is>
          <t>ÖREBRO LÄN</t>
        </is>
      </c>
      <c r="E1344" t="inlineStr">
        <is>
          <t>KUMLA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6633-2020</t>
        </is>
      </c>
      <c r="B1345" s="1" t="n">
        <v>43867</v>
      </c>
      <c r="C1345" s="1" t="n">
        <v>45797</v>
      </c>
      <c r="D1345" t="inlineStr">
        <is>
          <t>ÖREBRO LÄN</t>
        </is>
      </c>
      <c r="E1345" t="inlineStr">
        <is>
          <t>ÖREBRO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6717-2020</t>
        </is>
      </c>
      <c r="B1346" s="1" t="n">
        <v>43867</v>
      </c>
      <c r="C1346" s="1" t="n">
        <v>45797</v>
      </c>
      <c r="D1346" t="inlineStr">
        <is>
          <t>ÖREBRO LÄN</t>
        </is>
      </c>
      <c r="E1346" t="inlineStr">
        <is>
          <t>LINDESBERG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6687-2020</t>
        </is>
      </c>
      <c r="B1347" s="1" t="n">
        <v>43867</v>
      </c>
      <c r="C1347" s="1" t="n">
        <v>45797</v>
      </c>
      <c r="D1347" t="inlineStr">
        <is>
          <t>ÖREBRO LÄN</t>
        </is>
      </c>
      <c r="E1347" t="inlineStr">
        <is>
          <t>LINDESBERG</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6792-2020</t>
        </is>
      </c>
      <c r="B1348" s="1" t="n">
        <v>43867</v>
      </c>
      <c r="C1348" s="1" t="n">
        <v>45797</v>
      </c>
      <c r="D1348" t="inlineStr">
        <is>
          <t>ÖREBRO LÄN</t>
        </is>
      </c>
      <c r="E1348" t="inlineStr">
        <is>
          <t>ÖREBRO</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6938-2020</t>
        </is>
      </c>
      <c r="B1349" s="1" t="n">
        <v>43867</v>
      </c>
      <c r="C1349" s="1" t="n">
        <v>45797</v>
      </c>
      <c r="D1349" t="inlineStr">
        <is>
          <t>ÖREBRO LÄN</t>
        </is>
      </c>
      <c r="E1349" t="inlineStr">
        <is>
          <t>HALLSBERG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6924-2020</t>
        </is>
      </c>
      <c r="B1350" s="1" t="n">
        <v>43868</v>
      </c>
      <c r="C1350" s="1" t="n">
        <v>45797</v>
      </c>
      <c r="D1350" t="inlineStr">
        <is>
          <t>ÖREBRO LÄN</t>
        </is>
      </c>
      <c r="E1350" t="inlineStr">
        <is>
          <t>ÖREBRO</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6949-2020</t>
        </is>
      </c>
      <c r="B1351" s="1" t="n">
        <v>43868</v>
      </c>
      <c r="C1351" s="1" t="n">
        <v>45797</v>
      </c>
      <c r="D1351" t="inlineStr">
        <is>
          <t>ÖREBRO LÄN</t>
        </is>
      </c>
      <c r="E1351" t="inlineStr">
        <is>
          <t>ÖREBRO</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6914-2020</t>
        </is>
      </c>
      <c r="B1352" s="1" t="n">
        <v>43868</v>
      </c>
      <c r="C1352" s="1" t="n">
        <v>45797</v>
      </c>
      <c r="D1352" t="inlineStr">
        <is>
          <t>ÖREBRO LÄN</t>
        </is>
      </c>
      <c r="E1352" t="inlineStr">
        <is>
          <t>HÄLLEFORS</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7369-2020</t>
        </is>
      </c>
      <c r="B1353" s="1" t="n">
        <v>43871</v>
      </c>
      <c r="C1353" s="1" t="n">
        <v>45797</v>
      </c>
      <c r="D1353" t="inlineStr">
        <is>
          <t>ÖREBRO LÄN</t>
        </is>
      </c>
      <c r="E1353" t="inlineStr">
        <is>
          <t>DEGERFORS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7385-2020</t>
        </is>
      </c>
      <c r="B1354" s="1" t="n">
        <v>43871</v>
      </c>
      <c r="C1354" s="1" t="n">
        <v>45797</v>
      </c>
      <c r="D1354" t="inlineStr">
        <is>
          <t>ÖREBRO LÄN</t>
        </is>
      </c>
      <c r="E1354" t="inlineStr">
        <is>
          <t>LINDESBERG</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7399-2020</t>
        </is>
      </c>
      <c r="B1355" s="1" t="n">
        <v>43871</v>
      </c>
      <c r="C1355" s="1" t="n">
        <v>45797</v>
      </c>
      <c r="D1355" t="inlineStr">
        <is>
          <t>ÖREBRO LÄN</t>
        </is>
      </c>
      <c r="E1355" t="inlineStr">
        <is>
          <t>LINDESBERG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7414-2020</t>
        </is>
      </c>
      <c r="B1356" s="1" t="n">
        <v>43871</v>
      </c>
      <c r="C1356" s="1" t="n">
        <v>45797</v>
      </c>
      <c r="D1356" t="inlineStr">
        <is>
          <t>ÖREBRO LÄN</t>
        </is>
      </c>
      <c r="E1356" t="inlineStr">
        <is>
          <t>NORA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7583-2020</t>
        </is>
      </c>
      <c r="B1357" s="1" t="n">
        <v>43872</v>
      </c>
      <c r="C1357" s="1" t="n">
        <v>45797</v>
      </c>
      <c r="D1357" t="inlineStr">
        <is>
          <t>ÖREBRO LÄN</t>
        </is>
      </c>
      <c r="E1357" t="inlineStr">
        <is>
          <t>ÖREBRO</t>
        </is>
      </c>
      <c r="F1357" t="inlineStr">
        <is>
          <t>Övriga Aktiebolag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7748-2020</t>
        </is>
      </c>
      <c r="B1358" s="1" t="n">
        <v>43872</v>
      </c>
      <c r="C1358" s="1" t="n">
        <v>45797</v>
      </c>
      <c r="D1358" t="inlineStr">
        <is>
          <t>ÖREBRO LÄN</t>
        </is>
      </c>
      <c r="E1358" t="inlineStr">
        <is>
          <t>LINDESBERG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8157-2020</t>
        </is>
      </c>
      <c r="B1359" s="1" t="n">
        <v>43873</v>
      </c>
      <c r="C1359" s="1" t="n">
        <v>45797</v>
      </c>
      <c r="D1359" t="inlineStr">
        <is>
          <t>ÖREBRO LÄN</t>
        </is>
      </c>
      <c r="E1359" t="inlineStr">
        <is>
          <t>DEGERFORS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8421-2020</t>
        </is>
      </c>
      <c r="B1360" s="1" t="n">
        <v>43874</v>
      </c>
      <c r="C1360" s="1" t="n">
        <v>45797</v>
      </c>
      <c r="D1360" t="inlineStr">
        <is>
          <t>ÖREBRO LÄN</t>
        </is>
      </c>
      <c r="E1360" t="inlineStr">
        <is>
          <t>LJUSNARSBERG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8302-2020</t>
        </is>
      </c>
      <c r="B1361" s="1" t="n">
        <v>43875</v>
      </c>
      <c r="C1361" s="1" t="n">
        <v>45797</v>
      </c>
      <c r="D1361" t="inlineStr">
        <is>
          <t>ÖREBRO LÄN</t>
        </is>
      </c>
      <c r="E1361" t="inlineStr">
        <is>
          <t>LINDESBERG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8563-2020</t>
        </is>
      </c>
      <c r="B1362" s="1" t="n">
        <v>43877</v>
      </c>
      <c r="C1362" s="1" t="n">
        <v>45797</v>
      </c>
      <c r="D1362" t="inlineStr">
        <is>
          <t>ÖREBRO LÄN</t>
        </is>
      </c>
      <c r="E1362" t="inlineStr">
        <is>
          <t>ÖREBRO</t>
        </is>
      </c>
      <c r="G1362" t="n">
        <v>11.9</v>
      </c>
      <c r="H1362" t="n">
        <v>0</v>
      </c>
      <c r="I1362" t="n">
        <v>0</v>
      </c>
      <c r="J1362" t="n">
        <v>0</v>
      </c>
      <c r="K1362" t="n">
        <v>0</v>
      </c>
      <c r="L1362" t="n">
        <v>0</v>
      </c>
      <c r="M1362" t="n">
        <v>0</v>
      </c>
      <c r="N1362" t="n">
        <v>0</v>
      </c>
      <c r="O1362" t="n">
        <v>0</v>
      </c>
      <c r="P1362" t="n">
        <v>0</v>
      </c>
      <c r="Q1362" t="n">
        <v>0</v>
      </c>
      <c r="R1362" s="2" t="inlineStr"/>
    </row>
    <row r="1363" ht="15" customHeight="1">
      <c r="A1363" t="inlineStr">
        <is>
          <t>A 8801-2020</t>
        </is>
      </c>
      <c r="B1363" s="1" t="n">
        <v>43878</v>
      </c>
      <c r="C1363" s="1" t="n">
        <v>45797</v>
      </c>
      <c r="D1363" t="inlineStr">
        <is>
          <t>ÖREBRO LÄN</t>
        </is>
      </c>
      <c r="E1363" t="inlineStr">
        <is>
          <t>ÖREBRO</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8893-2020</t>
        </is>
      </c>
      <c r="B1364" s="1" t="n">
        <v>43878</v>
      </c>
      <c r="C1364" s="1" t="n">
        <v>45797</v>
      </c>
      <c r="D1364" t="inlineStr">
        <is>
          <t>ÖREBRO LÄN</t>
        </is>
      </c>
      <c r="E1364" t="inlineStr">
        <is>
          <t>ÖREBRO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9238-2020</t>
        </is>
      </c>
      <c r="B1365" s="1" t="n">
        <v>43879</v>
      </c>
      <c r="C1365" s="1" t="n">
        <v>45797</v>
      </c>
      <c r="D1365" t="inlineStr">
        <is>
          <t>ÖREBRO LÄN</t>
        </is>
      </c>
      <c r="E1365" t="inlineStr">
        <is>
          <t>LEKEBERG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9200-2020</t>
        </is>
      </c>
      <c r="B1366" s="1" t="n">
        <v>43879</v>
      </c>
      <c r="C1366" s="1" t="n">
        <v>45797</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9211-2020</t>
        </is>
      </c>
      <c r="B1367" s="1" t="n">
        <v>43879</v>
      </c>
      <c r="C1367" s="1" t="n">
        <v>45797</v>
      </c>
      <c r="D1367" t="inlineStr">
        <is>
          <t>ÖREBRO LÄN</t>
        </is>
      </c>
      <c r="E1367" t="inlineStr">
        <is>
          <t>HALLSBERG</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9501-2020</t>
        </is>
      </c>
      <c r="B1368" s="1" t="n">
        <v>43880</v>
      </c>
      <c r="C1368" s="1" t="n">
        <v>45797</v>
      </c>
      <c r="D1368" t="inlineStr">
        <is>
          <t>ÖREBRO LÄN</t>
        </is>
      </c>
      <c r="E1368" t="inlineStr">
        <is>
          <t>ASKERSUND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9572-2020</t>
        </is>
      </c>
      <c r="B1369" s="1" t="n">
        <v>43881</v>
      </c>
      <c r="C1369" s="1" t="n">
        <v>45797</v>
      </c>
      <c r="D1369" t="inlineStr">
        <is>
          <t>ÖREBRO LÄN</t>
        </is>
      </c>
      <c r="E1369" t="inlineStr">
        <is>
          <t>ÖREBRO</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9561-2020</t>
        </is>
      </c>
      <c r="B1370" s="1" t="n">
        <v>43881</v>
      </c>
      <c r="C1370" s="1" t="n">
        <v>45797</v>
      </c>
      <c r="D1370" t="inlineStr">
        <is>
          <t>ÖREBRO LÄN</t>
        </is>
      </c>
      <c r="E1370" t="inlineStr">
        <is>
          <t>ÖREBRO</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9655-2020</t>
        </is>
      </c>
      <c r="B1371" s="1" t="n">
        <v>43881</v>
      </c>
      <c r="C1371" s="1" t="n">
        <v>45797</v>
      </c>
      <c r="D1371" t="inlineStr">
        <is>
          <t>ÖREBRO LÄN</t>
        </is>
      </c>
      <c r="E1371" t="inlineStr">
        <is>
          <t>ÖREBRO</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9893-2020</t>
        </is>
      </c>
      <c r="B1372" s="1" t="n">
        <v>43881</v>
      </c>
      <c r="C1372" s="1" t="n">
        <v>45797</v>
      </c>
      <c r="D1372" t="inlineStr">
        <is>
          <t>ÖREBRO LÄN</t>
        </is>
      </c>
      <c r="E1372" t="inlineStr">
        <is>
          <t>ÖREBRO</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9712-2020</t>
        </is>
      </c>
      <c r="B1373" s="1" t="n">
        <v>43881</v>
      </c>
      <c r="C1373" s="1" t="n">
        <v>45797</v>
      </c>
      <c r="D1373" t="inlineStr">
        <is>
          <t>ÖREBRO LÄN</t>
        </is>
      </c>
      <c r="E1373" t="inlineStr">
        <is>
          <t>KARLSKOGA</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9959-2020</t>
        </is>
      </c>
      <c r="B1374" s="1" t="n">
        <v>43882</v>
      </c>
      <c r="C1374" s="1" t="n">
        <v>45797</v>
      </c>
      <c r="D1374" t="inlineStr">
        <is>
          <t>ÖREBRO LÄN</t>
        </is>
      </c>
      <c r="E1374" t="inlineStr">
        <is>
          <t>HÄLLEFORS</t>
        </is>
      </c>
      <c r="F1374" t="inlineStr">
        <is>
          <t>Bergvik skog väst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10089-2020</t>
        </is>
      </c>
      <c r="B1375" s="1" t="n">
        <v>43885</v>
      </c>
      <c r="C1375" s="1" t="n">
        <v>45797</v>
      </c>
      <c r="D1375" t="inlineStr">
        <is>
          <t>ÖREBRO LÄN</t>
        </is>
      </c>
      <c r="E1375" t="inlineStr">
        <is>
          <t>ASKERSUND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10378-2020</t>
        </is>
      </c>
      <c r="B1376" s="1" t="n">
        <v>43885</v>
      </c>
      <c r="C1376" s="1" t="n">
        <v>45797</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10724-2020</t>
        </is>
      </c>
      <c r="B1377" s="1" t="n">
        <v>43885</v>
      </c>
      <c r="C1377" s="1" t="n">
        <v>45797</v>
      </c>
      <c r="D1377" t="inlineStr">
        <is>
          <t>ÖREBRO LÄN</t>
        </is>
      </c>
      <c r="E1377" t="inlineStr">
        <is>
          <t>KARLSKOGA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10544-2020</t>
        </is>
      </c>
      <c r="B1378" s="1" t="n">
        <v>43887</v>
      </c>
      <c r="C1378" s="1" t="n">
        <v>45797</v>
      </c>
      <c r="D1378" t="inlineStr">
        <is>
          <t>ÖREBRO LÄN</t>
        </is>
      </c>
      <c r="E1378" t="inlineStr">
        <is>
          <t>NORA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10660-2020</t>
        </is>
      </c>
      <c r="B1379" s="1" t="n">
        <v>43888</v>
      </c>
      <c r="C1379" s="1" t="n">
        <v>45797</v>
      </c>
      <c r="D1379" t="inlineStr">
        <is>
          <t>ÖREBRO LÄN</t>
        </is>
      </c>
      <c r="E1379" t="inlineStr">
        <is>
          <t>NORA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10684-2020</t>
        </is>
      </c>
      <c r="B1380" s="1" t="n">
        <v>43888</v>
      </c>
      <c r="C1380" s="1" t="n">
        <v>45797</v>
      </c>
      <c r="D1380" t="inlineStr">
        <is>
          <t>ÖREBRO LÄN</t>
        </is>
      </c>
      <c r="E1380" t="inlineStr">
        <is>
          <t>LJUSNARSBERG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10847-2020</t>
        </is>
      </c>
      <c r="B1381" s="1" t="n">
        <v>43889</v>
      </c>
      <c r="C1381" s="1" t="n">
        <v>45797</v>
      </c>
      <c r="D1381" t="inlineStr">
        <is>
          <t>ÖREBRO LÄN</t>
        </is>
      </c>
      <c r="E1381" t="inlineStr">
        <is>
          <t>LINDESBERG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11308-2020</t>
        </is>
      </c>
      <c r="B1382" s="1" t="n">
        <v>43892</v>
      </c>
      <c r="C1382" s="1" t="n">
        <v>45797</v>
      </c>
      <c r="D1382" t="inlineStr">
        <is>
          <t>ÖREBRO LÄN</t>
        </is>
      </c>
      <c r="E1382" t="inlineStr">
        <is>
          <t>HÄLLEFORS</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11235-2020</t>
        </is>
      </c>
      <c r="B1383" s="1" t="n">
        <v>43892</v>
      </c>
      <c r="C1383" s="1" t="n">
        <v>45797</v>
      </c>
      <c r="D1383" t="inlineStr">
        <is>
          <t>ÖREBRO LÄN</t>
        </is>
      </c>
      <c r="E1383" t="inlineStr">
        <is>
          <t>HÄLLEFORS</t>
        </is>
      </c>
      <c r="F1383" t="inlineStr">
        <is>
          <t>Bergvik skog väst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12481-2020</t>
        </is>
      </c>
      <c r="B1384" s="1" t="n">
        <v>43892</v>
      </c>
      <c r="C1384" s="1" t="n">
        <v>45797</v>
      </c>
      <c r="D1384" t="inlineStr">
        <is>
          <t>ÖREBRO LÄN</t>
        </is>
      </c>
      <c r="E1384" t="inlineStr">
        <is>
          <t>LINDESBERG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11639-2020</t>
        </is>
      </c>
      <c r="B1385" s="1" t="n">
        <v>43893</v>
      </c>
      <c r="C1385" s="1" t="n">
        <v>45797</v>
      </c>
      <c r="D1385" t="inlineStr">
        <is>
          <t>ÖREBRO LÄN</t>
        </is>
      </c>
      <c r="E1385" t="inlineStr">
        <is>
          <t>NORA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11652-2020</t>
        </is>
      </c>
      <c r="B1386" s="1" t="n">
        <v>43893</v>
      </c>
      <c r="C1386" s="1" t="n">
        <v>45797</v>
      </c>
      <c r="D1386" t="inlineStr">
        <is>
          <t>ÖREBRO LÄN</t>
        </is>
      </c>
      <c r="E1386" t="inlineStr">
        <is>
          <t>NORA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11437-2020</t>
        </is>
      </c>
      <c r="B1387" s="1" t="n">
        <v>43893</v>
      </c>
      <c r="C1387" s="1" t="n">
        <v>45797</v>
      </c>
      <c r="D1387" t="inlineStr">
        <is>
          <t>ÖREBRO LÄN</t>
        </is>
      </c>
      <c r="E1387" t="inlineStr">
        <is>
          <t>LEKEBERG</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11568-2020</t>
        </is>
      </c>
      <c r="B1388" s="1" t="n">
        <v>43893</v>
      </c>
      <c r="C1388" s="1" t="n">
        <v>45797</v>
      </c>
      <c r="D1388" t="inlineStr">
        <is>
          <t>ÖREBRO LÄN</t>
        </is>
      </c>
      <c r="E1388" t="inlineStr">
        <is>
          <t>LAXÅ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11956-2020</t>
        </is>
      </c>
      <c r="B1389" s="1" t="n">
        <v>43894</v>
      </c>
      <c r="C1389" s="1" t="n">
        <v>45797</v>
      </c>
      <c r="D1389" t="inlineStr">
        <is>
          <t>ÖREBRO LÄN</t>
        </is>
      </c>
      <c r="E1389" t="inlineStr">
        <is>
          <t>ÖREBRO</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11919-2020</t>
        </is>
      </c>
      <c r="B1390" s="1" t="n">
        <v>43894</v>
      </c>
      <c r="C1390" s="1" t="n">
        <v>45797</v>
      </c>
      <c r="D1390" t="inlineStr">
        <is>
          <t>ÖREBRO LÄN</t>
        </is>
      </c>
      <c r="E1390" t="inlineStr">
        <is>
          <t>LAXÅ</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11957-2020</t>
        </is>
      </c>
      <c r="B1391" s="1" t="n">
        <v>43894</v>
      </c>
      <c r="C1391" s="1" t="n">
        <v>45797</v>
      </c>
      <c r="D1391" t="inlineStr">
        <is>
          <t>ÖREBRO LÄN</t>
        </is>
      </c>
      <c r="E1391" t="inlineStr">
        <is>
          <t>ÖREBRO</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11975-2020</t>
        </is>
      </c>
      <c r="B1392" s="1" t="n">
        <v>43894</v>
      </c>
      <c r="C1392" s="1" t="n">
        <v>45797</v>
      </c>
      <c r="D1392" t="inlineStr">
        <is>
          <t>ÖREBRO LÄN</t>
        </is>
      </c>
      <c r="E1392" t="inlineStr">
        <is>
          <t>NORA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12057-2020</t>
        </is>
      </c>
      <c r="B1393" s="1" t="n">
        <v>43894</v>
      </c>
      <c r="C1393" s="1" t="n">
        <v>45797</v>
      </c>
      <c r="D1393" t="inlineStr">
        <is>
          <t>ÖREBRO LÄN</t>
        </is>
      </c>
      <c r="E1393" t="inlineStr">
        <is>
          <t>HALLSBERG</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12251-2020</t>
        </is>
      </c>
      <c r="B1394" s="1" t="n">
        <v>43895</v>
      </c>
      <c r="C1394" s="1" t="n">
        <v>45797</v>
      </c>
      <c r="D1394" t="inlineStr">
        <is>
          <t>ÖREBRO LÄN</t>
        </is>
      </c>
      <c r="E1394" t="inlineStr">
        <is>
          <t>LEKEBERG</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12258-2020</t>
        </is>
      </c>
      <c r="B1395" s="1" t="n">
        <v>43895</v>
      </c>
      <c r="C1395" s="1" t="n">
        <v>45797</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12170-2020</t>
        </is>
      </c>
      <c r="B1396" s="1" t="n">
        <v>43895</v>
      </c>
      <c r="C1396" s="1" t="n">
        <v>45797</v>
      </c>
      <c r="D1396" t="inlineStr">
        <is>
          <t>ÖREBRO LÄN</t>
        </is>
      </c>
      <c r="E1396" t="inlineStr">
        <is>
          <t>HÄLLEFORS</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12260-2020</t>
        </is>
      </c>
      <c r="B1397" s="1" t="n">
        <v>43895</v>
      </c>
      <c r="C1397" s="1" t="n">
        <v>45797</v>
      </c>
      <c r="D1397" t="inlineStr">
        <is>
          <t>ÖREBRO LÄN</t>
        </is>
      </c>
      <c r="E1397" t="inlineStr">
        <is>
          <t>LINDESBERG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13605-2020</t>
        </is>
      </c>
      <c r="B1398" s="1" t="n">
        <v>43895</v>
      </c>
      <c r="C1398" s="1" t="n">
        <v>45797</v>
      </c>
      <c r="D1398" t="inlineStr">
        <is>
          <t>ÖREBRO LÄN</t>
        </is>
      </c>
      <c r="E1398" t="inlineStr">
        <is>
          <t>LJUSNARSBERG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12335-2020</t>
        </is>
      </c>
      <c r="B1399" s="1" t="n">
        <v>43895</v>
      </c>
      <c r="C1399" s="1" t="n">
        <v>45797</v>
      </c>
      <c r="D1399" t="inlineStr">
        <is>
          <t>ÖREBRO LÄN</t>
        </is>
      </c>
      <c r="E1399" t="inlineStr">
        <is>
          <t>ÖREBRO</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12471-2020</t>
        </is>
      </c>
      <c r="B1400" s="1" t="n">
        <v>43896</v>
      </c>
      <c r="C1400" s="1" t="n">
        <v>45797</v>
      </c>
      <c r="D1400" t="inlineStr">
        <is>
          <t>ÖREBRO LÄN</t>
        </is>
      </c>
      <c r="E1400" t="inlineStr">
        <is>
          <t>DEGERFORS</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12542-2020</t>
        </is>
      </c>
      <c r="B1401" s="1" t="n">
        <v>43897</v>
      </c>
      <c r="C1401" s="1" t="n">
        <v>45797</v>
      </c>
      <c r="D1401" t="inlineStr">
        <is>
          <t>ÖREBRO LÄN</t>
        </is>
      </c>
      <c r="E1401" t="inlineStr">
        <is>
          <t>LINDESBERG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12548-2020</t>
        </is>
      </c>
      <c r="B1402" s="1" t="n">
        <v>43897</v>
      </c>
      <c r="C1402" s="1" t="n">
        <v>45797</v>
      </c>
      <c r="D1402" t="inlineStr">
        <is>
          <t>ÖREBRO LÄN</t>
        </is>
      </c>
      <c r="E1402" t="inlineStr">
        <is>
          <t>ÖREBRO</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12546-2020</t>
        </is>
      </c>
      <c r="B1403" s="1" t="n">
        <v>43897</v>
      </c>
      <c r="C1403" s="1" t="n">
        <v>45797</v>
      </c>
      <c r="D1403" t="inlineStr">
        <is>
          <t>ÖREBRO LÄN</t>
        </is>
      </c>
      <c r="E1403" t="inlineStr">
        <is>
          <t>ÖREBRO</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12842-2020</t>
        </is>
      </c>
      <c r="B1404" s="1" t="n">
        <v>43899</v>
      </c>
      <c r="C1404" s="1" t="n">
        <v>45797</v>
      </c>
      <c r="D1404" t="inlineStr">
        <is>
          <t>ÖREBRO LÄN</t>
        </is>
      </c>
      <c r="E1404" t="inlineStr">
        <is>
          <t>LINDESBERG</t>
        </is>
      </c>
      <c r="F1404" t="inlineStr">
        <is>
          <t>Kyrkan</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12937-2020</t>
        </is>
      </c>
      <c r="B1405" s="1" t="n">
        <v>43900</v>
      </c>
      <c r="C1405" s="1" t="n">
        <v>45797</v>
      </c>
      <c r="D1405" t="inlineStr">
        <is>
          <t>ÖREBRO LÄN</t>
        </is>
      </c>
      <c r="E1405" t="inlineStr">
        <is>
          <t>LINDESBERG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12946-2020</t>
        </is>
      </c>
      <c r="B1406" s="1" t="n">
        <v>43900</v>
      </c>
      <c r="C1406" s="1" t="n">
        <v>45797</v>
      </c>
      <c r="D1406" t="inlineStr">
        <is>
          <t>ÖREBRO LÄN</t>
        </is>
      </c>
      <c r="E1406" t="inlineStr">
        <is>
          <t>LINDESBERG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13146-2020</t>
        </is>
      </c>
      <c r="B1407" s="1" t="n">
        <v>43901</v>
      </c>
      <c r="C1407" s="1" t="n">
        <v>45797</v>
      </c>
      <c r="D1407" t="inlineStr">
        <is>
          <t>ÖREBRO LÄN</t>
        </is>
      </c>
      <c r="E1407" t="inlineStr">
        <is>
          <t>ASKERSUND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13242-2020</t>
        </is>
      </c>
      <c r="B1408" s="1" t="n">
        <v>43901</v>
      </c>
      <c r="C1408" s="1" t="n">
        <v>45797</v>
      </c>
      <c r="D1408" t="inlineStr">
        <is>
          <t>ÖREBRO LÄN</t>
        </is>
      </c>
      <c r="E1408" t="inlineStr">
        <is>
          <t>ASKERSUND</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13266-2020</t>
        </is>
      </c>
      <c r="B1409" s="1" t="n">
        <v>43901</v>
      </c>
      <c r="C1409" s="1" t="n">
        <v>45797</v>
      </c>
      <c r="D1409" t="inlineStr">
        <is>
          <t>ÖREBRO LÄN</t>
        </is>
      </c>
      <c r="E1409" t="inlineStr">
        <is>
          <t>LINDESBERG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13273-2020</t>
        </is>
      </c>
      <c r="B1410" s="1" t="n">
        <v>43901</v>
      </c>
      <c r="C1410" s="1" t="n">
        <v>45797</v>
      </c>
      <c r="D1410" t="inlineStr">
        <is>
          <t>ÖREBRO LÄN</t>
        </is>
      </c>
      <c r="E1410" t="inlineStr">
        <is>
          <t>ÖREBRO</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13328-2020</t>
        </is>
      </c>
      <c r="B1411" s="1" t="n">
        <v>43902</v>
      </c>
      <c r="C1411" s="1" t="n">
        <v>45797</v>
      </c>
      <c r="D1411" t="inlineStr">
        <is>
          <t>ÖREBRO LÄN</t>
        </is>
      </c>
      <c r="E1411" t="inlineStr">
        <is>
          <t>ÖREBRO</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13413-2020</t>
        </is>
      </c>
      <c r="B1412" s="1" t="n">
        <v>43902</v>
      </c>
      <c r="C1412" s="1" t="n">
        <v>45797</v>
      </c>
      <c r="D1412" t="inlineStr">
        <is>
          <t>ÖREBRO LÄN</t>
        </is>
      </c>
      <c r="E1412" t="inlineStr">
        <is>
          <t>LINDESBERG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14477-2020</t>
        </is>
      </c>
      <c r="B1413" s="1" t="n">
        <v>43902</v>
      </c>
      <c r="C1413" s="1" t="n">
        <v>45797</v>
      </c>
      <c r="D1413" t="inlineStr">
        <is>
          <t>ÖREBRO LÄN</t>
        </is>
      </c>
      <c r="E1413" t="inlineStr">
        <is>
          <t>LAXÅ</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13667-2020</t>
        </is>
      </c>
      <c r="B1414" s="1" t="n">
        <v>43903</v>
      </c>
      <c r="C1414" s="1" t="n">
        <v>45797</v>
      </c>
      <c r="D1414" t="inlineStr">
        <is>
          <t>ÖREBRO LÄN</t>
        </is>
      </c>
      <c r="E1414" t="inlineStr">
        <is>
          <t>KUMLA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13745-2020</t>
        </is>
      </c>
      <c r="B1415" s="1" t="n">
        <v>43903</v>
      </c>
      <c r="C1415" s="1" t="n">
        <v>45797</v>
      </c>
      <c r="D1415" t="inlineStr">
        <is>
          <t>ÖREBRO LÄN</t>
        </is>
      </c>
      <c r="E1415" t="inlineStr">
        <is>
          <t>NORA</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13591-2020</t>
        </is>
      </c>
      <c r="B1416" s="1" t="n">
        <v>43903</v>
      </c>
      <c r="C1416" s="1" t="n">
        <v>45797</v>
      </c>
      <c r="D1416" t="inlineStr">
        <is>
          <t>ÖREBRO LÄN</t>
        </is>
      </c>
      <c r="E1416" t="inlineStr">
        <is>
          <t>LJUSNARSBERG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13809-2020</t>
        </is>
      </c>
      <c r="B1417" s="1" t="n">
        <v>43904</v>
      </c>
      <c r="C1417" s="1" t="n">
        <v>45797</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13803-2020</t>
        </is>
      </c>
      <c r="B1418" s="1" t="n">
        <v>43904</v>
      </c>
      <c r="C1418" s="1" t="n">
        <v>45797</v>
      </c>
      <c r="D1418" t="inlineStr">
        <is>
          <t>ÖREBRO LÄN</t>
        </is>
      </c>
      <c r="E1418" t="inlineStr">
        <is>
          <t>LINDESBERG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13808-2020</t>
        </is>
      </c>
      <c r="B1419" s="1" t="n">
        <v>43904</v>
      </c>
      <c r="C1419" s="1" t="n">
        <v>45797</v>
      </c>
      <c r="D1419" t="inlineStr">
        <is>
          <t>ÖREBRO LÄN</t>
        </is>
      </c>
      <c r="E1419" t="inlineStr">
        <is>
          <t>LINDESBERG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13830-2020</t>
        </is>
      </c>
      <c r="B1420" s="1" t="n">
        <v>43905</v>
      </c>
      <c r="C1420" s="1" t="n">
        <v>45797</v>
      </c>
      <c r="D1420" t="inlineStr">
        <is>
          <t>ÖREBRO LÄN</t>
        </is>
      </c>
      <c r="E1420" t="inlineStr">
        <is>
          <t>ÖREBRO</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14027-2020</t>
        </is>
      </c>
      <c r="B1421" s="1" t="n">
        <v>43906</v>
      </c>
      <c r="C1421" s="1" t="n">
        <v>45797</v>
      </c>
      <c r="D1421" t="inlineStr">
        <is>
          <t>ÖREBRO LÄN</t>
        </is>
      </c>
      <c r="E1421" t="inlineStr">
        <is>
          <t>LEKEBERG</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14913-2020</t>
        </is>
      </c>
      <c r="B1422" s="1" t="n">
        <v>43906</v>
      </c>
      <c r="C1422" s="1" t="n">
        <v>45797</v>
      </c>
      <c r="D1422" t="inlineStr">
        <is>
          <t>ÖREBRO LÄN</t>
        </is>
      </c>
      <c r="E1422" t="inlineStr">
        <is>
          <t>ASKERSUND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14196-2020</t>
        </is>
      </c>
      <c r="B1423" s="1" t="n">
        <v>43907</v>
      </c>
      <c r="C1423" s="1" t="n">
        <v>45797</v>
      </c>
      <c r="D1423" t="inlineStr">
        <is>
          <t>ÖREBRO LÄN</t>
        </is>
      </c>
      <c r="E1423" t="inlineStr">
        <is>
          <t>NORA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14209-2020</t>
        </is>
      </c>
      <c r="B1424" s="1" t="n">
        <v>43907</v>
      </c>
      <c r="C1424" s="1" t="n">
        <v>45797</v>
      </c>
      <c r="D1424" t="inlineStr">
        <is>
          <t>ÖREBRO LÄN</t>
        </is>
      </c>
      <c r="E1424" t="inlineStr">
        <is>
          <t>ÖREBRO</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14294-2020</t>
        </is>
      </c>
      <c r="B1425" s="1" t="n">
        <v>43907</v>
      </c>
      <c r="C1425" s="1" t="n">
        <v>45797</v>
      </c>
      <c r="D1425" t="inlineStr">
        <is>
          <t>ÖREBRO LÄN</t>
        </is>
      </c>
      <c r="E1425" t="inlineStr">
        <is>
          <t>LINDESBERG</t>
        </is>
      </c>
      <c r="F1425" t="inlineStr">
        <is>
          <t>Kyrkan</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14377-2020</t>
        </is>
      </c>
      <c r="B1426" s="1" t="n">
        <v>43908</v>
      </c>
      <c r="C1426" s="1" t="n">
        <v>45797</v>
      </c>
      <c r="D1426" t="inlineStr">
        <is>
          <t>ÖREBRO LÄN</t>
        </is>
      </c>
      <c r="E1426" t="inlineStr">
        <is>
          <t>ASKERSUND</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14453-2020</t>
        </is>
      </c>
      <c r="B1427" s="1" t="n">
        <v>43908</v>
      </c>
      <c r="C1427" s="1" t="n">
        <v>45797</v>
      </c>
      <c r="D1427" t="inlineStr">
        <is>
          <t>ÖREBRO LÄN</t>
        </is>
      </c>
      <c r="E1427" t="inlineStr">
        <is>
          <t>HALLSBERG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14379-2020</t>
        </is>
      </c>
      <c r="B1428" s="1" t="n">
        <v>43908</v>
      </c>
      <c r="C1428" s="1" t="n">
        <v>45797</v>
      </c>
      <c r="D1428" t="inlineStr">
        <is>
          <t>ÖREBRO LÄN</t>
        </is>
      </c>
      <c r="E1428" t="inlineStr">
        <is>
          <t>ASKERSUND</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15096-2020</t>
        </is>
      </c>
      <c r="B1429" s="1" t="n">
        <v>43910</v>
      </c>
      <c r="C1429" s="1" t="n">
        <v>45797</v>
      </c>
      <c r="D1429" t="inlineStr">
        <is>
          <t>ÖREBRO LÄN</t>
        </is>
      </c>
      <c r="E1429" t="inlineStr">
        <is>
          <t>LINDESBERG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14935-2020</t>
        </is>
      </c>
      <c r="B1430" s="1" t="n">
        <v>43910</v>
      </c>
      <c r="C1430" s="1" t="n">
        <v>45797</v>
      </c>
      <c r="D1430" t="inlineStr">
        <is>
          <t>ÖREBRO LÄN</t>
        </is>
      </c>
      <c r="E1430" t="inlineStr">
        <is>
          <t>KUMLA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15167-2020</t>
        </is>
      </c>
      <c r="B1431" s="1" t="n">
        <v>43912</v>
      </c>
      <c r="C1431" s="1" t="n">
        <v>45797</v>
      </c>
      <c r="D1431" t="inlineStr">
        <is>
          <t>ÖREBRO LÄN</t>
        </is>
      </c>
      <c r="E1431" t="inlineStr">
        <is>
          <t>KARLSKOGA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15168-2020</t>
        </is>
      </c>
      <c r="B1432" s="1" t="n">
        <v>43912</v>
      </c>
      <c r="C1432" s="1" t="n">
        <v>45797</v>
      </c>
      <c r="D1432" t="inlineStr">
        <is>
          <t>ÖREBRO LÄN</t>
        </is>
      </c>
      <c r="E1432" t="inlineStr">
        <is>
          <t>KARLSKOGA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15152-2020</t>
        </is>
      </c>
      <c r="B1433" s="1" t="n">
        <v>43912</v>
      </c>
      <c r="C1433" s="1" t="n">
        <v>45797</v>
      </c>
      <c r="D1433" t="inlineStr">
        <is>
          <t>ÖREBRO LÄN</t>
        </is>
      </c>
      <c r="E1433" t="inlineStr">
        <is>
          <t>NORA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15170-2020</t>
        </is>
      </c>
      <c r="B1434" s="1" t="n">
        <v>43912</v>
      </c>
      <c r="C1434" s="1" t="n">
        <v>45797</v>
      </c>
      <c r="D1434" t="inlineStr">
        <is>
          <t>ÖREBRO LÄN</t>
        </is>
      </c>
      <c r="E1434" t="inlineStr">
        <is>
          <t>KARLSKOGA</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15205-2020</t>
        </is>
      </c>
      <c r="B1435" s="1" t="n">
        <v>43913</v>
      </c>
      <c r="C1435" s="1" t="n">
        <v>45797</v>
      </c>
      <c r="D1435" t="inlineStr">
        <is>
          <t>ÖREBRO LÄN</t>
        </is>
      </c>
      <c r="E1435" t="inlineStr">
        <is>
          <t>LINDESBERG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16990-2020</t>
        </is>
      </c>
      <c r="B1436" s="1" t="n">
        <v>43913</v>
      </c>
      <c r="C1436" s="1" t="n">
        <v>45797</v>
      </c>
      <c r="D1436" t="inlineStr">
        <is>
          <t>ÖREBRO LÄN</t>
        </is>
      </c>
      <c r="E1436" t="inlineStr">
        <is>
          <t>DEGERFORS</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15447-2020</t>
        </is>
      </c>
      <c r="B1437" s="1" t="n">
        <v>43914</v>
      </c>
      <c r="C1437" s="1" t="n">
        <v>45797</v>
      </c>
      <c r="D1437" t="inlineStr">
        <is>
          <t>ÖREBRO LÄN</t>
        </is>
      </c>
      <c r="E1437" t="inlineStr">
        <is>
          <t>NORA</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15609-2020</t>
        </is>
      </c>
      <c r="B1438" s="1" t="n">
        <v>43914</v>
      </c>
      <c r="C1438" s="1" t="n">
        <v>45797</v>
      </c>
      <c r="D1438" t="inlineStr">
        <is>
          <t>ÖREBRO LÄN</t>
        </is>
      </c>
      <c r="E1438" t="inlineStr">
        <is>
          <t>DEGERFORS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15455-2020</t>
        </is>
      </c>
      <c r="B1439" s="1" t="n">
        <v>43914</v>
      </c>
      <c r="C1439" s="1" t="n">
        <v>45797</v>
      </c>
      <c r="D1439" t="inlineStr">
        <is>
          <t>ÖREBRO LÄN</t>
        </is>
      </c>
      <c r="E1439" t="inlineStr">
        <is>
          <t>LINDESBERG</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15617-2020</t>
        </is>
      </c>
      <c r="B1440" s="1" t="n">
        <v>43914</v>
      </c>
      <c r="C1440" s="1" t="n">
        <v>45797</v>
      </c>
      <c r="D1440" t="inlineStr">
        <is>
          <t>ÖREBRO LÄN</t>
        </is>
      </c>
      <c r="E1440" t="inlineStr">
        <is>
          <t>NORA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15923-2020</t>
        </is>
      </c>
      <c r="B1441" s="1" t="n">
        <v>43916</v>
      </c>
      <c r="C1441" s="1" t="n">
        <v>45797</v>
      </c>
      <c r="D1441" t="inlineStr">
        <is>
          <t>ÖREBRO LÄN</t>
        </is>
      </c>
      <c r="E1441" t="inlineStr">
        <is>
          <t>DEGERFORS</t>
        </is>
      </c>
      <c r="F1441" t="inlineStr">
        <is>
          <t>Kommuner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15921-2020</t>
        </is>
      </c>
      <c r="B1442" s="1" t="n">
        <v>43916</v>
      </c>
      <c r="C1442" s="1" t="n">
        <v>45797</v>
      </c>
      <c r="D1442" t="inlineStr">
        <is>
          <t>ÖREBRO LÄN</t>
        </is>
      </c>
      <c r="E1442" t="inlineStr">
        <is>
          <t>DEGERFORS</t>
        </is>
      </c>
      <c r="F1442" t="inlineStr">
        <is>
          <t>Kommuner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15922-2020</t>
        </is>
      </c>
      <c r="B1443" s="1" t="n">
        <v>43916</v>
      </c>
      <c r="C1443" s="1" t="n">
        <v>45797</v>
      </c>
      <c r="D1443" t="inlineStr">
        <is>
          <t>ÖREBRO LÄN</t>
        </is>
      </c>
      <c r="E1443" t="inlineStr">
        <is>
          <t>DEGERFORS</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16152-2020</t>
        </is>
      </c>
      <c r="B1444" s="1" t="n">
        <v>43916</v>
      </c>
      <c r="C1444" s="1" t="n">
        <v>45797</v>
      </c>
      <c r="D1444" t="inlineStr">
        <is>
          <t>ÖREBRO LÄN</t>
        </is>
      </c>
      <c r="E1444" t="inlineStr">
        <is>
          <t>ÖREBRO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15924-2020</t>
        </is>
      </c>
      <c r="B1445" s="1" t="n">
        <v>43916</v>
      </c>
      <c r="C1445" s="1" t="n">
        <v>45797</v>
      </c>
      <c r="D1445" t="inlineStr">
        <is>
          <t>ÖREBRO LÄN</t>
        </is>
      </c>
      <c r="E1445" t="inlineStr">
        <is>
          <t>DEGERFORS</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16073-2020</t>
        </is>
      </c>
      <c r="B1446" s="1" t="n">
        <v>43916</v>
      </c>
      <c r="C1446" s="1" t="n">
        <v>45797</v>
      </c>
      <c r="D1446" t="inlineStr">
        <is>
          <t>ÖREBRO LÄN</t>
        </is>
      </c>
      <c r="E1446" t="inlineStr">
        <is>
          <t>LEKEBERG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16056-2020</t>
        </is>
      </c>
      <c r="B1447" s="1" t="n">
        <v>43916</v>
      </c>
      <c r="C1447" s="1" t="n">
        <v>45797</v>
      </c>
      <c r="D1447" t="inlineStr">
        <is>
          <t>ÖREBRO LÄN</t>
        </is>
      </c>
      <c r="E1447" t="inlineStr">
        <is>
          <t>HALLSBERG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15926-2020</t>
        </is>
      </c>
      <c r="B1448" s="1" t="n">
        <v>43916</v>
      </c>
      <c r="C1448" s="1" t="n">
        <v>45797</v>
      </c>
      <c r="D1448" t="inlineStr">
        <is>
          <t>ÖREBRO LÄN</t>
        </is>
      </c>
      <c r="E1448" t="inlineStr">
        <is>
          <t>DEGERFORS</t>
        </is>
      </c>
      <c r="F1448" t="inlineStr">
        <is>
          <t>Kommuner</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16186-2020</t>
        </is>
      </c>
      <c r="B1449" s="1" t="n">
        <v>43917</v>
      </c>
      <c r="C1449" s="1" t="n">
        <v>45797</v>
      </c>
      <c r="D1449" t="inlineStr">
        <is>
          <t>ÖREBRO LÄN</t>
        </is>
      </c>
      <c r="E1449" t="inlineStr">
        <is>
          <t>KARLSKOGA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16232-2020</t>
        </is>
      </c>
      <c r="B1450" s="1" t="n">
        <v>43917</v>
      </c>
      <c r="C1450" s="1" t="n">
        <v>45797</v>
      </c>
      <c r="D1450" t="inlineStr">
        <is>
          <t>ÖREBRO LÄN</t>
        </is>
      </c>
      <c r="E1450" t="inlineStr">
        <is>
          <t>LEKEBERG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16258-2020</t>
        </is>
      </c>
      <c r="B1451" s="1" t="n">
        <v>43917</v>
      </c>
      <c r="C1451" s="1" t="n">
        <v>45797</v>
      </c>
      <c r="D1451" t="inlineStr">
        <is>
          <t>ÖREBRO LÄN</t>
        </is>
      </c>
      <c r="E1451" t="inlineStr">
        <is>
          <t>ÖREBRO</t>
        </is>
      </c>
      <c r="F1451" t="inlineStr">
        <is>
          <t>Övriga Aktiebolag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16185-2020</t>
        </is>
      </c>
      <c r="B1452" s="1" t="n">
        <v>43917</v>
      </c>
      <c r="C1452" s="1" t="n">
        <v>45797</v>
      </c>
      <c r="D1452" t="inlineStr">
        <is>
          <t>ÖREBRO LÄN</t>
        </is>
      </c>
      <c r="E1452" t="inlineStr">
        <is>
          <t>KARLSKOGA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16192-2020</t>
        </is>
      </c>
      <c r="B1453" s="1" t="n">
        <v>43917</v>
      </c>
      <c r="C1453" s="1" t="n">
        <v>45797</v>
      </c>
      <c r="D1453" t="inlineStr">
        <is>
          <t>ÖREBRO LÄN</t>
        </is>
      </c>
      <c r="E1453" t="inlineStr">
        <is>
          <t>KARLSKOGA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16207-2020</t>
        </is>
      </c>
      <c r="B1454" s="1" t="n">
        <v>43917</v>
      </c>
      <c r="C1454" s="1" t="n">
        <v>45797</v>
      </c>
      <c r="D1454" t="inlineStr">
        <is>
          <t>ÖREBRO LÄN</t>
        </is>
      </c>
      <c r="E1454" t="inlineStr">
        <is>
          <t>LEKEBERG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16319-2020</t>
        </is>
      </c>
      <c r="B1455" s="1" t="n">
        <v>43917</v>
      </c>
      <c r="C1455" s="1" t="n">
        <v>45797</v>
      </c>
      <c r="D1455" t="inlineStr">
        <is>
          <t>ÖREBRO LÄN</t>
        </is>
      </c>
      <c r="E1455" t="inlineStr">
        <is>
          <t>NORA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16682-2020</t>
        </is>
      </c>
      <c r="B1456" s="1" t="n">
        <v>43920</v>
      </c>
      <c r="C1456" s="1" t="n">
        <v>45797</v>
      </c>
      <c r="D1456" t="inlineStr">
        <is>
          <t>ÖREBRO LÄN</t>
        </is>
      </c>
      <c r="E1456" t="inlineStr">
        <is>
          <t>ÖREBRO</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16693-2020</t>
        </is>
      </c>
      <c r="B1457" s="1" t="n">
        <v>43920</v>
      </c>
      <c r="C1457" s="1" t="n">
        <v>45797</v>
      </c>
      <c r="D1457" t="inlineStr">
        <is>
          <t>ÖREBRO LÄN</t>
        </is>
      </c>
      <c r="E1457" t="inlineStr">
        <is>
          <t>KARLSKOGA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16829-2020</t>
        </is>
      </c>
      <c r="B1458" s="1" t="n">
        <v>43921</v>
      </c>
      <c r="C1458" s="1" t="n">
        <v>45797</v>
      </c>
      <c r="D1458" t="inlineStr">
        <is>
          <t>ÖREBRO LÄN</t>
        </is>
      </c>
      <c r="E1458" t="inlineStr">
        <is>
          <t>HÄLLEFORS</t>
        </is>
      </c>
      <c r="F1458" t="inlineStr">
        <is>
          <t>Bergvik skog väst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17047-2020</t>
        </is>
      </c>
      <c r="B1459" s="1" t="n">
        <v>43921</v>
      </c>
      <c r="C1459" s="1" t="n">
        <v>45797</v>
      </c>
      <c r="D1459" t="inlineStr">
        <is>
          <t>ÖREBRO LÄN</t>
        </is>
      </c>
      <c r="E1459" t="inlineStr">
        <is>
          <t>LINDESBERG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17113-2020</t>
        </is>
      </c>
      <c r="B1460" s="1" t="n">
        <v>43922</v>
      </c>
      <c r="C1460" s="1" t="n">
        <v>45797</v>
      </c>
      <c r="D1460" t="inlineStr">
        <is>
          <t>ÖREBRO LÄN</t>
        </is>
      </c>
      <c r="E1460" t="inlineStr">
        <is>
          <t>ASKERSUND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17449-2020</t>
        </is>
      </c>
      <c r="B1461" s="1" t="n">
        <v>43923</v>
      </c>
      <c r="C1461" s="1" t="n">
        <v>45797</v>
      </c>
      <c r="D1461" t="inlineStr">
        <is>
          <t>ÖREBRO LÄN</t>
        </is>
      </c>
      <c r="E1461" t="inlineStr">
        <is>
          <t>DEGERFORS</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17482-2020</t>
        </is>
      </c>
      <c r="B1462" s="1" t="n">
        <v>43923</v>
      </c>
      <c r="C1462" s="1" t="n">
        <v>45797</v>
      </c>
      <c r="D1462" t="inlineStr">
        <is>
          <t>ÖREBRO LÄN</t>
        </is>
      </c>
      <c r="E1462" t="inlineStr">
        <is>
          <t>LAXÅ</t>
        </is>
      </c>
      <c r="F1462" t="inlineStr">
        <is>
          <t>Sveaskog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17575-2020</t>
        </is>
      </c>
      <c r="B1463" s="1" t="n">
        <v>43923</v>
      </c>
      <c r="C1463" s="1" t="n">
        <v>45797</v>
      </c>
      <c r="D1463" t="inlineStr">
        <is>
          <t>ÖREBRO LÄN</t>
        </is>
      </c>
      <c r="E1463" t="inlineStr">
        <is>
          <t>DEGERFORS</t>
        </is>
      </c>
      <c r="F1463" t="inlineStr">
        <is>
          <t>Sveaskog</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17466-2020</t>
        </is>
      </c>
      <c r="B1464" s="1" t="n">
        <v>43923</v>
      </c>
      <c r="C1464" s="1" t="n">
        <v>45797</v>
      </c>
      <c r="D1464" t="inlineStr">
        <is>
          <t>ÖREBRO LÄN</t>
        </is>
      </c>
      <c r="E1464" t="inlineStr">
        <is>
          <t>DEGERFORS</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17663-2020</t>
        </is>
      </c>
      <c r="B1465" s="1" t="n">
        <v>43923</v>
      </c>
      <c r="C1465" s="1" t="n">
        <v>45797</v>
      </c>
      <c r="D1465" t="inlineStr">
        <is>
          <t>ÖREBRO LÄN</t>
        </is>
      </c>
      <c r="E1465" t="inlineStr">
        <is>
          <t>LAXÅ</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17528-2020</t>
        </is>
      </c>
      <c r="B1466" s="1" t="n">
        <v>43923</v>
      </c>
      <c r="C1466" s="1" t="n">
        <v>45797</v>
      </c>
      <c r="D1466" t="inlineStr">
        <is>
          <t>ÖREBRO LÄN</t>
        </is>
      </c>
      <c r="E1466" t="inlineStr">
        <is>
          <t>LINDESBERG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17579-2020</t>
        </is>
      </c>
      <c r="B1467" s="1" t="n">
        <v>43923</v>
      </c>
      <c r="C1467" s="1" t="n">
        <v>45797</v>
      </c>
      <c r="D1467" t="inlineStr">
        <is>
          <t>ÖREBRO LÄN</t>
        </is>
      </c>
      <c r="E1467" t="inlineStr">
        <is>
          <t>DEGERFORS</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17561-2020</t>
        </is>
      </c>
      <c r="B1468" s="1" t="n">
        <v>43923</v>
      </c>
      <c r="C1468" s="1" t="n">
        <v>45797</v>
      </c>
      <c r="D1468" t="inlineStr">
        <is>
          <t>ÖREBRO LÄN</t>
        </is>
      </c>
      <c r="E1468" t="inlineStr">
        <is>
          <t>LINDESBERG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17673-2020</t>
        </is>
      </c>
      <c r="B1469" s="1" t="n">
        <v>43923</v>
      </c>
      <c r="C1469" s="1" t="n">
        <v>45797</v>
      </c>
      <c r="D1469" t="inlineStr">
        <is>
          <t>ÖREBRO LÄN</t>
        </is>
      </c>
      <c r="E1469" t="inlineStr">
        <is>
          <t>LAXÅ</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17793-2020</t>
        </is>
      </c>
      <c r="B1470" s="1" t="n">
        <v>43924</v>
      </c>
      <c r="C1470" s="1" t="n">
        <v>45797</v>
      </c>
      <c r="D1470" t="inlineStr">
        <is>
          <t>ÖREBRO LÄN</t>
        </is>
      </c>
      <c r="E1470" t="inlineStr">
        <is>
          <t>NORA</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17864-2020</t>
        </is>
      </c>
      <c r="B1471" s="1" t="n">
        <v>43924</v>
      </c>
      <c r="C1471" s="1" t="n">
        <v>45797</v>
      </c>
      <c r="D1471" t="inlineStr">
        <is>
          <t>ÖREBRO LÄN</t>
        </is>
      </c>
      <c r="E1471" t="inlineStr">
        <is>
          <t>ASKERSUND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18122-2020</t>
        </is>
      </c>
      <c r="B1472" s="1" t="n">
        <v>43924</v>
      </c>
      <c r="C1472" s="1" t="n">
        <v>45797</v>
      </c>
      <c r="D1472" t="inlineStr">
        <is>
          <t>ÖREBRO LÄN</t>
        </is>
      </c>
      <c r="E1472" t="inlineStr">
        <is>
          <t>LAXÅ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18119-2020</t>
        </is>
      </c>
      <c r="B1473" s="1" t="n">
        <v>43924</v>
      </c>
      <c r="C1473" s="1" t="n">
        <v>45797</v>
      </c>
      <c r="D1473" t="inlineStr">
        <is>
          <t>ÖREBRO LÄN</t>
        </is>
      </c>
      <c r="E1473" t="inlineStr">
        <is>
          <t>LAXÅ</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18044-2020</t>
        </is>
      </c>
      <c r="B1474" s="1" t="n">
        <v>43927</v>
      </c>
      <c r="C1474" s="1" t="n">
        <v>45797</v>
      </c>
      <c r="D1474" t="inlineStr">
        <is>
          <t>ÖREBRO LÄN</t>
        </is>
      </c>
      <c r="E1474" t="inlineStr">
        <is>
          <t>ASKERSUND</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18000-2020</t>
        </is>
      </c>
      <c r="B1475" s="1" t="n">
        <v>43927</v>
      </c>
      <c r="C1475" s="1" t="n">
        <v>45797</v>
      </c>
      <c r="D1475" t="inlineStr">
        <is>
          <t>ÖREBRO LÄN</t>
        </is>
      </c>
      <c r="E1475" t="inlineStr">
        <is>
          <t>HÄLLEFORS</t>
        </is>
      </c>
      <c r="F1475" t="inlineStr">
        <is>
          <t>Bergvik skog väst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18136-2020</t>
        </is>
      </c>
      <c r="B1476" s="1" t="n">
        <v>43927</v>
      </c>
      <c r="C1476" s="1" t="n">
        <v>45797</v>
      </c>
      <c r="D1476" t="inlineStr">
        <is>
          <t>ÖREBRO LÄN</t>
        </is>
      </c>
      <c r="E1476" t="inlineStr">
        <is>
          <t>ÖREBRO</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18527-2020</t>
        </is>
      </c>
      <c r="B1477" s="1" t="n">
        <v>43927</v>
      </c>
      <c r="C1477" s="1" t="n">
        <v>45797</v>
      </c>
      <c r="D1477" t="inlineStr">
        <is>
          <t>ÖREBRO LÄN</t>
        </is>
      </c>
      <c r="E1477" t="inlineStr">
        <is>
          <t>LJUSNARSBERG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18293-2020</t>
        </is>
      </c>
      <c r="B1478" s="1" t="n">
        <v>43928</v>
      </c>
      <c r="C1478" s="1" t="n">
        <v>45797</v>
      </c>
      <c r="D1478" t="inlineStr">
        <is>
          <t>ÖREBRO LÄN</t>
        </is>
      </c>
      <c r="E1478" t="inlineStr">
        <is>
          <t>ASKERSUND</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18290-2020</t>
        </is>
      </c>
      <c r="B1479" s="1" t="n">
        <v>43928</v>
      </c>
      <c r="C1479" s="1" t="n">
        <v>45797</v>
      </c>
      <c r="D1479" t="inlineStr">
        <is>
          <t>ÖREBRO LÄN</t>
        </is>
      </c>
      <c r="E1479" t="inlineStr">
        <is>
          <t>ASKERSUND</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18365-2020</t>
        </is>
      </c>
      <c r="B1480" s="1" t="n">
        <v>43928</v>
      </c>
      <c r="C1480" s="1" t="n">
        <v>45797</v>
      </c>
      <c r="D1480" t="inlineStr">
        <is>
          <t>ÖREBRO LÄN</t>
        </is>
      </c>
      <c r="E1480" t="inlineStr">
        <is>
          <t>ÖREBRO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18243-2020</t>
        </is>
      </c>
      <c r="B1481" s="1" t="n">
        <v>43928</v>
      </c>
      <c r="C1481" s="1" t="n">
        <v>45797</v>
      </c>
      <c r="D1481" t="inlineStr">
        <is>
          <t>ÖREBRO LÄN</t>
        </is>
      </c>
      <c r="E1481" t="inlineStr">
        <is>
          <t>ASKERSUND</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18311-2020</t>
        </is>
      </c>
      <c r="B1482" s="1" t="n">
        <v>43928</v>
      </c>
      <c r="C1482" s="1" t="n">
        <v>45797</v>
      </c>
      <c r="D1482" t="inlineStr">
        <is>
          <t>ÖREBRO LÄN</t>
        </is>
      </c>
      <c r="E1482" t="inlineStr">
        <is>
          <t>ASKERSUND</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18548-2020</t>
        </is>
      </c>
      <c r="B1483" s="1" t="n">
        <v>43929</v>
      </c>
      <c r="C1483" s="1" t="n">
        <v>45797</v>
      </c>
      <c r="D1483" t="inlineStr">
        <is>
          <t>ÖREBRO LÄN</t>
        </is>
      </c>
      <c r="E1483" t="inlineStr">
        <is>
          <t>HALLSBERG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18555-2020</t>
        </is>
      </c>
      <c r="B1484" s="1" t="n">
        <v>43929</v>
      </c>
      <c r="C1484" s="1" t="n">
        <v>45797</v>
      </c>
      <c r="D1484" t="inlineStr">
        <is>
          <t>ÖREBRO LÄN</t>
        </is>
      </c>
      <c r="E1484" t="inlineStr">
        <is>
          <t>HALLSBERG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18553-2020</t>
        </is>
      </c>
      <c r="B1485" s="1" t="n">
        <v>43929</v>
      </c>
      <c r="C1485" s="1" t="n">
        <v>45797</v>
      </c>
      <c r="D1485" t="inlineStr">
        <is>
          <t>ÖREBRO LÄN</t>
        </is>
      </c>
      <c r="E1485" t="inlineStr">
        <is>
          <t>HALLSBERG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18557-2020</t>
        </is>
      </c>
      <c r="B1486" s="1" t="n">
        <v>43929</v>
      </c>
      <c r="C1486" s="1" t="n">
        <v>45797</v>
      </c>
      <c r="D1486" t="inlineStr">
        <is>
          <t>ÖREBRO LÄN</t>
        </is>
      </c>
      <c r="E1486" t="inlineStr">
        <is>
          <t>LINDESBERG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18633-2020</t>
        </is>
      </c>
      <c r="B1487" s="1" t="n">
        <v>43930</v>
      </c>
      <c r="C1487" s="1" t="n">
        <v>45797</v>
      </c>
      <c r="D1487" t="inlineStr">
        <is>
          <t>ÖREBRO LÄN</t>
        </is>
      </c>
      <c r="E1487" t="inlineStr">
        <is>
          <t>LINDESBERG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18669-2020</t>
        </is>
      </c>
      <c r="B1488" s="1" t="n">
        <v>43930</v>
      </c>
      <c r="C1488" s="1" t="n">
        <v>45797</v>
      </c>
      <c r="D1488" t="inlineStr">
        <is>
          <t>ÖREBRO LÄN</t>
        </is>
      </c>
      <c r="E1488" t="inlineStr">
        <is>
          <t>HÄLLEFORS</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18663-2020</t>
        </is>
      </c>
      <c r="B1489" s="1" t="n">
        <v>43930</v>
      </c>
      <c r="C1489" s="1" t="n">
        <v>45797</v>
      </c>
      <c r="D1489" t="inlineStr">
        <is>
          <t>ÖREBRO LÄN</t>
        </is>
      </c>
      <c r="E1489" t="inlineStr">
        <is>
          <t>KARLSKOGA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18672-2020</t>
        </is>
      </c>
      <c r="B1490" s="1" t="n">
        <v>43930</v>
      </c>
      <c r="C1490" s="1" t="n">
        <v>45797</v>
      </c>
      <c r="D1490" t="inlineStr">
        <is>
          <t>ÖREBRO LÄN</t>
        </is>
      </c>
      <c r="E1490" t="inlineStr">
        <is>
          <t>HÄLLEFORS</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18790-2020</t>
        </is>
      </c>
      <c r="B1491" s="1" t="n">
        <v>43931</v>
      </c>
      <c r="C1491" s="1" t="n">
        <v>45797</v>
      </c>
      <c r="D1491" t="inlineStr">
        <is>
          <t>ÖREBRO LÄN</t>
        </is>
      </c>
      <c r="E1491" t="inlineStr">
        <is>
          <t>LEKEBERG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18807-2020</t>
        </is>
      </c>
      <c r="B1492" s="1" t="n">
        <v>43934</v>
      </c>
      <c r="C1492" s="1" t="n">
        <v>45797</v>
      </c>
      <c r="D1492" t="inlineStr">
        <is>
          <t>ÖREBRO LÄN</t>
        </is>
      </c>
      <c r="E1492" t="inlineStr">
        <is>
          <t>ASKERSUND</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18841-2020</t>
        </is>
      </c>
      <c r="B1493" s="1" t="n">
        <v>43935</v>
      </c>
      <c r="C1493" s="1" t="n">
        <v>45797</v>
      </c>
      <c r="D1493" t="inlineStr">
        <is>
          <t>ÖREBRO LÄN</t>
        </is>
      </c>
      <c r="E1493" t="inlineStr">
        <is>
          <t>NORA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18975-2020</t>
        </is>
      </c>
      <c r="B1494" s="1" t="n">
        <v>43935</v>
      </c>
      <c r="C1494" s="1" t="n">
        <v>45797</v>
      </c>
      <c r="D1494" t="inlineStr">
        <is>
          <t>ÖREBRO LÄN</t>
        </is>
      </c>
      <c r="E1494" t="inlineStr">
        <is>
          <t>NORA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19053-2020</t>
        </is>
      </c>
      <c r="B1495" s="1" t="n">
        <v>43936</v>
      </c>
      <c r="C1495" s="1" t="n">
        <v>45797</v>
      </c>
      <c r="D1495" t="inlineStr">
        <is>
          <t>ÖREBRO LÄN</t>
        </is>
      </c>
      <c r="E1495" t="inlineStr">
        <is>
          <t>ASKERSUND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19038-2020</t>
        </is>
      </c>
      <c r="B1496" s="1" t="n">
        <v>43936</v>
      </c>
      <c r="C1496" s="1" t="n">
        <v>45797</v>
      </c>
      <c r="D1496" t="inlineStr">
        <is>
          <t>ÖREBRO LÄN</t>
        </is>
      </c>
      <c r="E1496" t="inlineStr">
        <is>
          <t>NORA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19050-2020</t>
        </is>
      </c>
      <c r="B1497" s="1" t="n">
        <v>43936</v>
      </c>
      <c r="C1497" s="1" t="n">
        <v>45797</v>
      </c>
      <c r="D1497" t="inlineStr">
        <is>
          <t>ÖREBRO LÄN</t>
        </is>
      </c>
      <c r="E1497" t="inlineStr">
        <is>
          <t>ASKERSUND</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19416-2020</t>
        </is>
      </c>
      <c r="B1498" s="1" t="n">
        <v>43938</v>
      </c>
      <c r="C1498" s="1" t="n">
        <v>45797</v>
      </c>
      <c r="D1498" t="inlineStr">
        <is>
          <t>ÖREBRO LÄN</t>
        </is>
      </c>
      <c r="E1498" t="inlineStr">
        <is>
          <t>ASKERSUND</t>
        </is>
      </c>
      <c r="F1498" t="inlineStr">
        <is>
          <t>Övriga Aktiebolag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19447-2020</t>
        </is>
      </c>
      <c r="B1499" s="1" t="n">
        <v>43938</v>
      </c>
      <c r="C1499" s="1" t="n">
        <v>45797</v>
      </c>
      <c r="D1499" t="inlineStr">
        <is>
          <t>ÖREBRO LÄN</t>
        </is>
      </c>
      <c r="E1499" t="inlineStr">
        <is>
          <t>ASKERSUND</t>
        </is>
      </c>
      <c r="F1499" t="inlineStr">
        <is>
          <t>Övriga Aktiebolag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19465-2020</t>
        </is>
      </c>
      <c r="B1500" s="1" t="n">
        <v>43938</v>
      </c>
      <c r="C1500" s="1" t="n">
        <v>45797</v>
      </c>
      <c r="D1500" t="inlineStr">
        <is>
          <t>ÖREBRO LÄN</t>
        </is>
      </c>
      <c r="E1500" t="inlineStr">
        <is>
          <t>ÖREBRO</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20302-2020</t>
        </is>
      </c>
      <c r="B1501" s="1" t="n">
        <v>43938</v>
      </c>
      <c r="C1501" s="1" t="n">
        <v>45797</v>
      </c>
      <c r="D1501" t="inlineStr">
        <is>
          <t>ÖREBRO LÄN</t>
        </is>
      </c>
      <c r="E1501" t="inlineStr">
        <is>
          <t>ÖREBRO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19612-2020</t>
        </is>
      </c>
      <c r="B1502" s="1" t="n">
        <v>43941</v>
      </c>
      <c r="C1502" s="1" t="n">
        <v>45797</v>
      </c>
      <c r="D1502" t="inlineStr">
        <is>
          <t>ÖREBRO LÄN</t>
        </is>
      </c>
      <c r="E1502" t="inlineStr">
        <is>
          <t>NORA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19540-2020</t>
        </is>
      </c>
      <c r="B1503" s="1" t="n">
        <v>43941</v>
      </c>
      <c r="C1503" s="1" t="n">
        <v>45797</v>
      </c>
      <c r="D1503" t="inlineStr">
        <is>
          <t>ÖREBRO LÄN</t>
        </is>
      </c>
      <c r="E1503" t="inlineStr">
        <is>
          <t>ASKERSUND</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19711-2020</t>
        </is>
      </c>
      <c r="B1504" s="1" t="n">
        <v>43941</v>
      </c>
      <c r="C1504" s="1" t="n">
        <v>45797</v>
      </c>
      <c r="D1504" t="inlineStr">
        <is>
          <t>ÖREBRO LÄN</t>
        </is>
      </c>
      <c r="E1504" t="inlineStr">
        <is>
          <t>LINDESBERG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19784-2020</t>
        </is>
      </c>
      <c r="B1505" s="1" t="n">
        <v>43942</v>
      </c>
      <c r="C1505" s="1" t="n">
        <v>45797</v>
      </c>
      <c r="D1505" t="inlineStr">
        <is>
          <t>ÖREBRO LÄN</t>
        </is>
      </c>
      <c r="E1505" t="inlineStr">
        <is>
          <t>HALLSBERG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19815-2020</t>
        </is>
      </c>
      <c r="B1506" s="1" t="n">
        <v>43942</v>
      </c>
      <c r="C1506" s="1" t="n">
        <v>45797</v>
      </c>
      <c r="D1506" t="inlineStr">
        <is>
          <t>ÖREBRO LÄN</t>
        </is>
      </c>
      <c r="E1506" t="inlineStr">
        <is>
          <t>DEGERFORS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19791-2020</t>
        </is>
      </c>
      <c r="B1507" s="1" t="n">
        <v>43942</v>
      </c>
      <c r="C1507" s="1" t="n">
        <v>45797</v>
      </c>
      <c r="D1507" t="inlineStr">
        <is>
          <t>ÖREBRO LÄN</t>
        </is>
      </c>
      <c r="E1507" t="inlineStr">
        <is>
          <t>HALLSBERG</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20129-2020</t>
        </is>
      </c>
      <c r="B1508" s="1" t="n">
        <v>43944</v>
      </c>
      <c r="C1508" s="1" t="n">
        <v>45797</v>
      </c>
      <c r="D1508" t="inlineStr">
        <is>
          <t>ÖREBRO LÄN</t>
        </is>
      </c>
      <c r="E1508" t="inlineStr">
        <is>
          <t>HALLSBERG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20312-2020</t>
        </is>
      </c>
      <c r="B1509" s="1" t="n">
        <v>43945</v>
      </c>
      <c r="C1509" s="1" t="n">
        <v>45797</v>
      </c>
      <c r="D1509" t="inlineStr">
        <is>
          <t>ÖREBRO LÄN</t>
        </is>
      </c>
      <c r="E1509" t="inlineStr">
        <is>
          <t>ASKERSUND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20350-2020</t>
        </is>
      </c>
      <c r="B1510" s="1" t="n">
        <v>43945</v>
      </c>
      <c r="C1510" s="1" t="n">
        <v>45797</v>
      </c>
      <c r="D1510" t="inlineStr">
        <is>
          <t>ÖREBRO LÄN</t>
        </is>
      </c>
      <c r="E1510" t="inlineStr">
        <is>
          <t>DEGERFORS</t>
        </is>
      </c>
      <c r="G1510" t="n">
        <v>58.8</v>
      </c>
      <c r="H1510" t="n">
        <v>0</v>
      </c>
      <c r="I1510" t="n">
        <v>0</v>
      </c>
      <c r="J1510" t="n">
        <v>0</v>
      </c>
      <c r="K1510" t="n">
        <v>0</v>
      </c>
      <c r="L1510" t="n">
        <v>0</v>
      </c>
      <c r="M1510" t="n">
        <v>0</v>
      </c>
      <c r="N1510" t="n">
        <v>0</v>
      </c>
      <c r="O1510" t="n">
        <v>0</v>
      </c>
      <c r="P1510" t="n">
        <v>0</v>
      </c>
      <c r="Q1510" t="n">
        <v>0</v>
      </c>
      <c r="R1510" s="2" t="inlineStr"/>
    </row>
    <row r="1511" ht="15" customHeight="1">
      <c r="A1511" t="inlineStr">
        <is>
          <t>A 21855-2020</t>
        </is>
      </c>
      <c r="B1511" s="1" t="n">
        <v>43945</v>
      </c>
      <c r="C1511" s="1" t="n">
        <v>45797</v>
      </c>
      <c r="D1511" t="inlineStr">
        <is>
          <t>ÖREBRO LÄN</t>
        </is>
      </c>
      <c r="E1511" t="inlineStr">
        <is>
          <t>DEGERFORS</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20442-2020</t>
        </is>
      </c>
      <c r="B1512" s="1" t="n">
        <v>43947</v>
      </c>
      <c r="C1512" s="1" t="n">
        <v>45797</v>
      </c>
      <c r="D1512" t="inlineStr">
        <is>
          <t>ÖREBRO LÄN</t>
        </is>
      </c>
      <c r="E1512" t="inlineStr">
        <is>
          <t>LINDESBERG</t>
        </is>
      </c>
      <c r="G1512" t="n">
        <v>15.3</v>
      </c>
      <c r="H1512" t="n">
        <v>0</v>
      </c>
      <c r="I1512" t="n">
        <v>0</v>
      </c>
      <c r="J1512" t="n">
        <v>0</v>
      </c>
      <c r="K1512" t="n">
        <v>0</v>
      </c>
      <c r="L1512" t="n">
        <v>0</v>
      </c>
      <c r="M1512" t="n">
        <v>0</v>
      </c>
      <c r="N1512" t="n">
        <v>0</v>
      </c>
      <c r="O1512" t="n">
        <v>0</v>
      </c>
      <c r="P1512" t="n">
        <v>0</v>
      </c>
      <c r="Q1512" t="n">
        <v>0</v>
      </c>
      <c r="R1512" s="2" t="inlineStr"/>
    </row>
    <row r="1513" ht="15" customHeight="1">
      <c r="A1513" t="inlineStr">
        <is>
          <t>A 20511-2020</t>
        </is>
      </c>
      <c r="B1513" s="1" t="n">
        <v>43948</v>
      </c>
      <c r="C1513" s="1" t="n">
        <v>45797</v>
      </c>
      <c r="D1513" t="inlineStr">
        <is>
          <t>ÖREBRO LÄN</t>
        </is>
      </c>
      <c r="E1513" t="inlineStr">
        <is>
          <t>HALLSBERG</t>
        </is>
      </c>
      <c r="F1513" t="inlineStr">
        <is>
          <t>Allmännings- och besparingsskogar</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20544-2020</t>
        </is>
      </c>
      <c r="B1514" s="1" t="n">
        <v>43948</v>
      </c>
      <c r="C1514" s="1" t="n">
        <v>45797</v>
      </c>
      <c r="D1514" t="inlineStr">
        <is>
          <t>ÖREBRO LÄN</t>
        </is>
      </c>
      <c r="E1514" t="inlineStr">
        <is>
          <t>HALLSBERG</t>
        </is>
      </c>
      <c r="F1514" t="inlineStr">
        <is>
          <t>Allmännings- och besparingsskogar</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20500-2020</t>
        </is>
      </c>
      <c r="B1515" s="1" t="n">
        <v>43948</v>
      </c>
      <c r="C1515" s="1" t="n">
        <v>45797</v>
      </c>
      <c r="D1515" t="inlineStr">
        <is>
          <t>ÖREBRO LÄN</t>
        </is>
      </c>
      <c r="E1515" t="inlineStr">
        <is>
          <t>HALLSBERG</t>
        </is>
      </c>
      <c r="F1515" t="inlineStr">
        <is>
          <t>Allmännings- och besparingsskogar</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20510-2020</t>
        </is>
      </c>
      <c r="B1516" s="1" t="n">
        <v>43948</v>
      </c>
      <c r="C1516" s="1" t="n">
        <v>45797</v>
      </c>
      <c r="D1516" t="inlineStr">
        <is>
          <t>ÖREBRO LÄN</t>
        </is>
      </c>
      <c r="E1516" t="inlineStr">
        <is>
          <t>HALLSBERG</t>
        </is>
      </c>
      <c r="F1516" t="inlineStr">
        <is>
          <t>Allmännings- och besparingsskogar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20529-2020</t>
        </is>
      </c>
      <c r="B1517" s="1" t="n">
        <v>43948</v>
      </c>
      <c r="C1517" s="1" t="n">
        <v>45797</v>
      </c>
      <c r="D1517" t="inlineStr">
        <is>
          <t>ÖREBRO LÄN</t>
        </is>
      </c>
      <c r="E1517" t="inlineStr">
        <is>
          <t>LINDESBERG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20546-2020</t>
        </is>
      </c>
      <c r="B1518" s="1" t="n">
        <v>43948</v>
      </c>
      <c r="C1518" s="1" t="n">
        <v>45797</v>
      </c>
      <c r="D1518" t="inlineStr">
        <is>
          <t>ÖREBRO LÄN</t>
        </is>
      </c>
      <c r="E1518" t="inlineStr">
        <is>
          <t>LINDESBERG</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20559-2020</t>
        </is>
      </c>
      <c r="B1519" s="1" t="n">
        <v>43948</v>
      </c>
      <c r="C1519" s="1" t="n">
        <v>45797</v>
      </c>
      <c r="D1519" t="inlineStr">
        <is>
          <t>ÖREBRO LÄN</t>
        </is>
      </c>
      <c r="E1519" t="inlineStr">
        <is>
          <t>LAXÅ</t>
        </is>
      </c>
      <c r="F1519" t="inlineStr">
        <is>
          <t>Allmännings- och besparingsskogar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20595-2020</t>
        </is>
      </c>
      <c r="B1520" s="1" t="n">
        <v>43948</v>
      </c>
      <c r="C1520" s="1" t="n">
        <v>45797</v>
      </c>
      <c r="D1520" t="inlineStr">
        <is>
          <t>ÖREBRO LÄN</t>
        </is>
      </c>
      <c r="E1520" t="inlineStr">
        <is>
          <t>DEGERFORS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20613-2020</t>
        </is>
      </c>
      <c r="B1521" s="1" t="n">
        <v>43948</v>
      </c>
      <c r="C1521" s="1" t="n">
        <v>45797</v>
      </c>
      <c r="D1521" t="inlineStr">
        <is>
          <t>ÖREBRO LÄN</t>
        </is>
      </c>
      <c r="E1521" t="inlineStr">
        <is>
          <t>LAXÅ</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20704-2020</t>
        </is>
      </c>
      <c r="B1522" s="1" t="n">
        <v>43949</v>
      </c>
      <c r="C1522" s="1" t="n">
        <v>45797</v>
      </c>
      <c r="D1522" t="inlineStr">
        <is>
          <t>ÖREBRO LÄN</t>
        </is>
      </c>
      <c r="E1522" t="inlineStr">
        <is>
          <t>HALLSBERG</t>
        </is>
      </c>
      <c r="F1522" t="inlineStr">
        <is>
          <t>Allmännings- och besparingsskogar</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20719-2020</t>
        </is>
      </c>
      <c r="B1523" s="1" t="n">
        <v>43949</v>
      </c>
      <c r="C1523" s="1" t="n">
        <v>45797</v>
      </c>
      <c r="D1523" t="inlineStr">
        <is>
          <t>ÖREBRO LÄN</t>
        </is>
      </c>
      <c r="E1523" t="inlineStr">
        <is>
          <t>HÄLLEFORS</t>
        </is>
      </c>
      <c r="F1523" t="inlineStr">
        <is>
          <t>Bergvik skog väst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20705-2020</t>
        </is>
      </c>
      <c r="B1524" s="1" t="n">
        <v>43949</v>
      </c>
      <c r="C1524" s="1" t="n">
        <v>45797</v>
      </c>
      <c r="D1524" t="inlineStr">
        <is>
          <t>ÖREBRO LÄN</t>
        </is>
      </c>
      <c r="E1524" t="inlineStr">
        <is>
          <t>HALLSBERG</t>
        </is>
      </c>
      <c r="F1524" t="inlineStr">
        <is>
          <t>Allmännings- och besparingsskogar</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20718-2020</t>
        </is>
      </c>
      <c r="B1525" s="1" t="n">
        <v>43949</v>
      </c>
      <c r="C1525" s="1" t="n">
        <v>45797</v>
      </c>
      <c r="D1525" t="inlineStr">
        <is>
          <t>ÖREBRO LÄN</t>
        </is>
      </c>
      <c r="E1525" t="inlineStr">
        <is>
          <t>HÄLLEFORS</t>
        </is>
      </c>
      <c r="F1525" t="inlineStr">
        <is>
          <t>Bergvik skog väst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20958-2020</t>
        </is>
      </c>
      <c r="B1526" s="1" t="n">
        <v>43950</v>
      </c>
      <c r="C1526" s="1" t="n">
        <v>45797</v>
      </c>
      <c r="D1526" t="inlineStr">
        <is>
          <t>ÖREBRO LÄN</t>
        </is>
      </c>
      <c r="E1526" t="inlineStr">
        <is>
          <t>HALLSBERG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20833-2020</t>
        </is>
      </c>
      <c r="B1527" s="1" t="n">
        <v>43950</v>
      </c>
      <c r="C1527" s="1" t="n">
        <v>45797</v>
      </c>
      <c r="D1527" t="inlineStr">
        <is>
          <t>ÖREBRO LÄN</t>
        </is>
      </c>
      <c r="E1527" t="inlineStr">
        <is>
          <t>HALLSBERG</t>
        </is>
      </c>
      <c r="F1527" t="inlineStr">
        <is>
          <t>Allmännings- och besparingsskogar</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21053-2020</t>
        </is>
      </c>
      <c r="B1528" s="1" t="n">
        <v>43951</v>
      </c>
      <c r="C1528" s="1" t="n">
        <v>45797</v>
      </c>
      <c r="D1528" t="inlineStr">
        <is>
          <t>ÖREBRO LÄN</t>
        </is>
      </c>
      <c r="E1528" t="inlineStr">
        <is>
          <t>ÖREBRO</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21177-2020</t>
        </is>
      </c>
      <c r="B1529" s="1" t="n">
        <v>43951</v>
      </c>
      <c r="C1529" s="1" t="n">
        <v>45797</v>
      </c>
      <c r="D1529" t="inlineStr">
        <is>
          <t>ÖREBRO LÄN</t>
        </is>
      </c>
      <c r="E1529" t="inlineStr">
        <is>
          <t>HÄLLEFORS</t>
        </is>
      </c>
      <c r="F1529" t="inlineStr">
        <is>
          <t>Bergvik skog väst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21249-2020</t>
        </is>
      </c>
      <c r="B1530" s="1" t="n">
        <v>43955</v>
      </c>
      <c r="C1530" s="1" t="n">
        <v>45797</v>
      </c>
      <c r="D1530" t="inlineStr">
        <is>
          <t>ÖREBRO LÄN</t>
        </is>
      </c>
      <c r="E1530" t="inlineStr">
        <is>
          <t>LAXÅ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21296-2020</t>
        </is>
      </c>
      <c r="B1531" s="1" t="n">
        <v>43955</v>
      </c>
      <c r="C1531" s="1" t="n">
        <v>45797</v>
      </c>
      <c r="D1531" t="inlineStr">
        <is>
          <t>ÖREBRO LÄN</t>
        </is>
      </c>
      <c r="E1531" t="inlineStr">
        <is>
          <t>ASKERSUND</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21500-2020</t>
        </is>
      </c>
      <c r="B1532" s="1" t="n">
        <v>43956</v>
      </c>
      <c r="C1532" s="1" t="n">
        <v>45797</v>
      </c>
      <c r="D1532" t="inlineStr">
        <is>
          <t>ÖREBRO LÄN</t>
        </is>
      </c>
      <c r="E1532" t="inlineStr">
        <is>
          <t>LEKEBERG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22349-2020</t>
        </is>
      </c>
      <c r="B1533" s="1" t="n">
        <v>43957</v>
      </c>
      <c r="C1533" s="1" t="n">
        <v>45797</v>
      </c>
      <c r="D1533" t="inlineStr">
        <is>
          <t>ÖREBRO LÄN</t>
        </is>
      </c>
      <c r="E1533" t="inlineStr">
        <is>
          <t>NORA</t>
        </is>
      </c>
      <c r="F1533" t="inlineStr">
        <is>
          <t>Övriga Aktiebolag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21689-2020</t>
        </is>
      </c>
      <c r="B1534" s="1" t="n">
        <v>43957</v>
      </c>
      <c r="C1534" s="1" t="n">
        <v>45797</v>
      </c>
      <c r="D1534" t="inlineStr">
        <is>
          <t>ÖREBRO LÄN</t>
        </is>
      </c>
      <c r="E1534" t="inlineStr">
        <is>
          <t>LINDESBERG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21750-2020</t>
        </is>
      </c>
      <c r="B1535" s="1" t="n">
        <v>43957</v>
      </c>
      <c r="C1535" s="1" t="n">
        <v>45797</v>
      </c>
      <c r="D1535" t="inlineStr">
        <is>
          <t>ÖREBRO LÄN</t>
        </is>
      </c>
      <c r="E1535" t="inlineStr">
        <is>
          <t>HÄLLEFORS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22353-2020</t>
        </is>
      </c>
      <c r="B1536" s="1" t="n">
        <v>43957</v>
      </c>
      <c r="C1536" s="1" t="n">
        <v>45797</v>
      </c>
      <c r="D1536" t="inlineStr">
        <is>
          <t>ÖREBRO LÄN</t>
        </is>
      </c>
      <c r="E1536" t="inlineStr">
        <is>
          <t>NORA</t>
        </is>
      </c>
      <c r="F1536" t="inlineStr">
        <is>
          <t>Övriga Aktiebolag</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22354-2020</t>
        </is>
      </c>
      <c r="B1537" s="1" t="n">
        <v>43957</v>
      </c>
      <c r="C1537" s="1" t="n">
        <v>45797</v>
      </c>
      <c r="D1537" t="inlineStr">
        <is>
          <t>ÖREBRO LÄN</t>
        </is>
      </c>
      <c r="E1537" t="inlineStr">
        <is>
          <t>KARLSKOGA</t>
        </is>
      </c>
      <c r="F1537" t="inlineStr">
        <is>
          <t>Övriga Aktiebolag</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21779-2020</t>
        </is>
      </c>
      <c r="B1538" s="1" t="n">
        <v>43958</v>
      </c>
      <c r="C1538" s="1" t="n">
        <v>45797</v>
      </c>
      <c r="D1538" t="inlineStr">
        <is>
          <t>ÖREBRO LÄN</t>
        </is>
      </c>
      <c r="E1538" t="inlineStr">
        <is>
          <t>ASKERSUND</t>
        </is>
      </c>
      <c r="F1538" t="inlineStr">
        <is>
          <t>Sveaskog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21825-2020</t>
        </is>
      </c>
      <c r="B1539" s="1" t="n">
        <v>43958</v>
      </c>
      <c r="C1539" s="1" t="n">
        <v>45797</v>
      </c>
      <c r="D1539" t="inlineStr">
        <is>
          <t>ÖREBRO LÄN</t>
        </is>
      </c>
      <c r="E1539" t="inlineStr">
        <is>
          <t>LINDESBERG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21850-2020</t>
        </is>
      </c>
      <c r="B1540" s="1" t="n">
        <v>43958</v>
      </c>
      <c r="C1540" s="1" t="n">
        <v>45797</v>
      </c>
      <c r="D1540" t="inlineStr">
        <is>
          <t>ÖREBRO LÄN</t>
        </is>
      </c>
      <c r="E1540" t="inlineStr">
        <is>
          <t>DEGERFORS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21859-2020</t>
        </is>
      </c>
      <c r="B1541" s="1" t="n">
        <v>43958</v>
      </c>
      <c r="C1541" s="1" t="n">
        <v>45797</v>
      </c>
      <c r="D1541" t="inlineStr">
        <is>
          <t>ÖREBRO LÄN</t>
        </is>
      </c>
      <c r="E1541" t="inlineStr">
        <is>
          <t>HÄLLEFORS</t>
        </is>
      </c>
      <c r="F1541" t="inlineStr">
        <is>
          <t>Bergvik skog väst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22141-2020</t>
        </is>
      </c>
      <c r="B1542" s="1" t="n">
        <v>43961</v>
      </c>
      <c r="C1542" s="1" t="n">
        <v>45797</v>
      </c>
      <c r="D1542" t="inlineStr">
        <is>
          <t>ÖREBRO LÄN</t>
        </is>
      </c>
      <c r="E1542" t="inlineStr">
        <is>
          <t>ÖREBRO</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22208-2020</t>
        </is>
      </c>
      <c r="B1543" s="1" t="n">
        <v>43962</v>
      </c>
      <c r="C1543" s="1" t="n">
        <v>45797</v>
      </c>
      <c r="D1543" t="inlineStr">
        <is>
          <t>ÖREBRO LÄN</t>
        </is>
      </c>
      <c r="E1543" t="inlineStr">
        <is>
          <t>LINDESBERG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22240-2020</t>
        </is>
      </c>
      <c r="B1544" s="1" t="n">
        <v>43962</v>
      </c>
      <c r="C1544" s="1" t="n">
        <v>45797</v>
      </c>
      <c r="D1544" t="inlineStr">
        <is>
          <t>ÖREBRO LÄN</t>
        </is>
      </c>
      <c r="E1544" t="inlineStr">
        <is>
          <t>LINDESBERG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22220-2020</t>
        </is>
      </c>
      <c r="B1545" s="1" t="n">
        <v>43962</v>
      </c>
      <c r="C1545" s="1" t="n">
        <v>45797</v>
      </c>
      <c r="D1545" t="inlineStr">
        <is>
          <t>ÖREBRO LÄN</t>
        </is>
      </c>
      <c r="E1545" t="inlineStr">
        <is>
          <t>LINDESBERG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22367-2020</t>
        </is>
      </c>
      <c r="B1546" s="1" t="n">
        <v>43962</v>
      </c>
      <c r="C1546" s="1" t="n">
        <v>45797</v>
      </c>
      <c r="D1546" t="inlineStr">
        <is>
          <t>ÖREBRO LÄN</t>
        </is>
      </c>
      <c r="E1546" t="inlineStr">
        <is>
          <t>LINDESBERG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22729-2020</t>
        </is>
      </c>
      <c r="B1547" s="1" t="n">
        <v>43962</v>
      </c>
      <c r="C1547" s="1" t="n">
        <v>45797</v>
      </c>
      <c r="D1547" t="inlineStr">
        <is>
          <t>ÖREBRO LÄN</t>
        </is>
      </c>
      <c r="E1547" t="inlineStr">
        <is>
          <t>HÄLLEFORS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22481-2020</t>
        </is>
      </c>
      <c r="B1548" s="1" t="n">
        <v>43963</v>
      </c>
      <c r="C1548" s="1" t="n">
        <v>45797</v>
      </c>
      <c r="D1548" t="inlineStr">
        <is>
          <t>ÖREBRO LÄN</t>
        </is>
      </c>
      <c r="E1548" t="inlineStr">
        <is>
          <t>ASKERSUND</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22479-2020</t>
        </is>
      </c>
      <c r="B1549" s="1" t="n">
        <v>43963</v>
      </c>
      <c r="C1549" s="1" t="n">
        <v>45797</v>
      </c>
      <c r="D1549" t="inlineStr">
        <is>
          <t>ÖREBRO LÄN</t>
        </is>
      </c>
      <c r="E1549" t="inlineStr">
        <is>
          <t>ASKERSUND</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22567-2020</t>
        </is>
      </c>
      <c r="B1550" s="1" t="n">
        <v>43963</v>
      </c>
      <c r="C1550" s="1" t="n">
        <v>45797</v>
      </c>
      <c r="D1550" t="inlineStr">
        <is>
          <t>ÖREBRO LÄN</t>
        </is>
      </c>
      <c r="E1550" t="inlineStr">
        <is>
          <t>HALLSBERG</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22476-2020</t>
        </is>
      </c>
      <c r="B1551" s="1" t="n">
        <v>43963</v>
      </c>
      <c r="C1551" s="1" t="n">
        <v>45797</v>
      </c>
      <c r="D1551" t="inlineStr">
        <is>
          <t>ÖREBRO LÄN</t>
        </is>
      </c>
      <c r="E1551" t="inlineStr">
        <is>
          <t>ASKERSUND</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22487-2020</t>
        </is>
      </c>
      <c r="B1552" s="1" t="n">
        <v>43963</v>
      </c>
      <c r="C1552" s="1" t="n">
        <v>45797</v>
      </c>
      <c r="D1552" t="inlineStr">
        <is>
          <t>ÖREBRO LÄN</t>
        </is>
      </c>
      <c r="E1552" t="inlineStr">
        <is>
          <t>ASKERSUND</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22753-2020</t>
        </is>
      </c>
      <c r="B1553" s="1" t="n">
        <v>43963</v>
      </c>
      <c r="C1553" s="1" t="n">
        <v>45797</v>
      </c>
      <c r="D1553" t="inlineStr">
        <is>
          <t>ÖREBRO LÄN</t>
        </is>
      </c>
      <c r="E1553" t="inlineStr">
        <is>
          <t>LINDESBERG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23254-2020</t>
        </is>
      </c>
      <c r="B1554" s="1" t="n">
        <v>43966</v>
      </c>
      <c r="C1554" s="1" t="n">
        <v>45797</v>
      </c>
      <c r="D1554" t="inlineStr">
        <is>
          <t>ÖREBRO LÄN</t>
        </is>
      </c>
      <c r="E1554" t="inlineStr">
        <is>
          <t>LINDESBERG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23479-2020</t>
        </is>
      </c>
      <c r="B1555" s="1" t="n">
        <v>43969</v>
      </c>
      <c r="C1555" s="1" t="n">
        <v>45797</v>
      </c>
      <c r="D1555" t="inlineStr">
        <is>
          <t>ÖREBRO LÄN</t>
        </is>
      </c>
      <c r="E1555" t="inlineStr">
        <is>
          <t>ASKERSUND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23623-2020</t>
        </is>
      </c>
      <c r="B1556" s="1" t="n">
        <v>43969</v>
      </c>
      <c r="C1556" s="1" t="n">
        <v>45797</v>
      </c>
      <c r="D1556" t="inlineStr">
        <is>
          <t>ÖREBRO LÄN</t>
        </is>
      </c>
      <c r="E1556" t="inlineStr">
        <is>
          <t>LINDESBERG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23617-2020</t>
        </is>
      </c>
      <c r="B1557" s="1" t="n">
        <v>43969</v>
      </c>
      <c r="C1557" s="1" t="n">
        <v>45797</v>
      </c>
      <c r="D1557" t="inlineStr">
        <is>
          <t>ÖREBRO LÄN</t>
        </is>
      </c>
      <c r="E1557" t="inlineStr">
        <is>
          <t>LINDESBERG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23591-2020</t>
        </is>
      </c>
      <c r="B1558" s="1" t="n">
        <v>43969</v>
      </c>
      <c r="C1558" s="1" t="n">
        <v>45797</v>
      </c>
      <c r="D1558" t="inlineStr">
        <is>
          <t>ÖREBRO LÄN</t>
        </is>
      </c>
      <c r="E1558" t="inlineStr">
        <is>
          <t>ASKERSUND</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23698-2020</t>
        </is>
      </c>
      <c r="B1559" s="1" t="n">
        <v>43970</v>
      </c>
      <c r="C1559" s="1" t="n">
        <v>45797</v>
      </c>
      <c r="D1559" t="inlineStr">
        <is>
          <t>ÖREBRO LÄN</t>
        </is>
      </c>
      <c r="E1559" t="inlineStr">
        <is>
          <t>ASKERSUND</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23720-2020</t>
        </is>
      </c>
      <c r="B1560" s="1" t="n">
        <v>43970</v>
      </c>
      <c r="C1560" s="1" t="n">
        <v>45797</v>
      </c>
      <c r="D1560" t="inlineStr">
        <is>
          <t>ÖREBRO LÄN</t>
        </is>
      </c>
      <c r="E1560" t="inlineStr">
        <is>
          <t>HALLSBERG</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23716-2020</t>
        </is>
      </c>
      <c r="B1561" s="1" t="n">
        <v>43970</v>
      </c>
      <c r="C1561" s="1" t="n">
        <v>45797</v>
      </c>
      <c r="D1561" t="inlineStr">
        <is>
          <t>ÖREBRO LÄN</t>
        </is>
      </c>
      <c r="E1561" t="inlineStr">
        <is>
          <t>HALLSBERG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23717-2020</t>
        </is>
      </c>
      <c r="B1562" s="1" t="n">
        <v>43970</v>
      </c>
      <c r="C1562" s="1" t="n">
        <v>45797</v>
      </c>
      <c r="D1562" t="inlineStr">
        <is>
          <t>ÖREBRO LÄN</t>
        </is>
      </c>
      <c r="E1562" t="inlineStr">
        <is>
          <t>HALLSBERG</t>
        </is>
      </c>
      <c r="F1562" t="inlineStr">
        <is>
          <t>Sveaskog</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23773-2020</t>
        </is>
      </c>
      <c r="B1563" s="1" t="n">
        <v>43970</v>
      </c>
      <c r="C1563" s="1" t="n">
        <v>45797</v>
      </c>
      <c r="D1563" t="inlineStr">
        <is>
          <t>ÖREBRO LÄN</t>
        </is>
      </c>
      <c r="E1563" t="inlineStr">
        <is>
          <t>HALLSBERG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23919-2020</t>
        </is>
      </c>
      <c r="B1564" s="1" t="n">
        <v>43971</v>
      </c>
      <c r="C1564" s="1" t="n">
        <v>45797</v>
      </c>
      <c r="D1564" t="inlineStr">
        <is>
          <t>ÖREBRO LÄN</t>
        </is>
      </c>
      <c r="E1564" t="inlineStr">
        <is>
          <t>ASKERSUND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23970-2020</t>
        </is>
      </c>
      <c r="B1565" s="1" t="n">
        <v>43971</v>
      </c>
      <c r="C1565" s="1" t="n">
        <v>45797</v>
      </c>
      <c r="D1565" t="inlineStr">
        <is>
          <t>ÖREBRO LÄN</t>
        </is>
      </c>
      <c r="E1565" t="inlineStr">
        <is>
          <t>LINDESBERG</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24022-2020</t>
        </is>
      </c>
      <c r="B1566" s="1" t="n">
        <v>43971</v>
      </c>
      <c r="C1566" s="1" t="n">
        <v>45797</v>
      </c>
      <c r="D1566" t="inlineStr">
        <is>
          <t>ÖREBRO LÄN</t>
        </is>
      </c>
      <c r="E1566" t="inlineStr">
        <is>
          <t>HALLSBERG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23849-2020</t>
        </is>
      </c>
      <c r="B1567" s="1" t="n">
        <v>43971</v>
      </c>
      <c r="C1567" s="1" t="n">
        <v>45797</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24239-2020</t>
        </is>
      </c>
      <c r="B1568" s="1" t="n">
        <v>43976</v>
      </c>
      <c r="C1568" s="1" t="n">
        <v>45797</v>
      </c>
      <c r="D1568" t="inlineStr">
        <is>
          <t>ÖREBRO LÄN</t>
        </is>
      </c>
      <c r="E1568" t="inlineStr">
        <is>
          <t>ASKERSUND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24329-2020</t>
        </is>
      </c>
      <c r="B1569" s="1" t="n">
        <v>43976</v>
      </c>
      <c r="C1569" s="1" t="n">
        <v>45797</v>
      </c>
      <c r="D1569" t="inlineStr">
        <is>
          <t>ÖREBRO LÄN</t>
        </is>
      </c>
      <c r="E1569" t="inlineStr">
        <is>
          <t>NORA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24483-2020</t>
        </is>
      </c>
      <c r="B1570" s="1" t="n">
        <v>43977</v>
      </c>
      <c r="C1570" s="1" t="n">
        <v>45797</v>
      </c>
      <c r="D1570" t="inlineStr">
        <is>
          <t>ÖREBRO LÄN</t>
        </is>
      </c>
      <c r="E1570" t="inlineStr">
        <is>
          <t>HÄLLEFORS</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24623-2020</t>
        </is>
      </c>
      <c r="B1571" s="1" t="n">
        <v>43977</v>
      </c>
      <c r="C1571" s="1" t="n">
        <v>45797</v>
      </c>
      <c r="D1571" t="inlineStr">
        <is>
          <t>ÖREBRO LÄN</t>
        </is>
      </c>
      <c r="E1571" t="inlineStr">
        <is>
          <t>HALLSBERG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24615-2020</t>
        </is>
      </c>
      <c r="B1572" s="1" t="n">
        <v>43977</v>
      </c>
      <c r="C1572" s="1" t="n">
        <v>45797</v>
      </c>
      <c r="D1572" t="inlineStr">
        <is>
          <t>ÖREBRO LÄN</t>
        </is>
      </c>
      <c r="E1572" t="inlineStr">
        <is>
          <t>LAXÅ</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24624-2020</t>
        </is>
      </c>
      <c r="B1573" s="1" t="n">
        <v>43977</v>
      </c>
      <c r="C1573" s="1" t="n">
        <v>45797</v>
      </c>
      <c r="D1573" t="inlineStr">
        <is>
          <t>ÖREBRO LÄN</t>
        </is>
      </c>
      <c r="E1573" t="inlineStr">
        <is>
          <t>LAXÅ</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24626-2020</t>
        </is>
      </c>
      <c r="B1574" s="1" t="n">
        <v>43977</v>
      </c>
      <c r="C1574" s="1" t="n">
        <v>45797</v>
      </c>
      <c r="D1574" t="inlineStr">
        <is>
          <t>ÖREBRO LÄN</t>
        </is>
      </c>
      <c r="E1574" t="inlineStr">
        <is>
          <t>HALLSBERG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24844-2020</t>
        </is>
      </c>
      <c r="B1575" s="1" t="n">
        <v>43978</v>
      </c>
      <c r="C1575" s="1" t="n">
        <v>45797</v>
      </c>
      <c r="D1575" t="inlineStr">
        <is>
          <t>ÖREBRO LÄN</t>
        </is>
      </c>
      <c r="E1575" t="inlineStr">
        <is>
          <t>LAXÅ</t>
        </is>
      </c>
      <c r="F1575" t="inlineStr">
        <is>
          <t>Sveaskog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25043-2020</t>
        </is>
      </c>
      <c r="B1576" s="1" t="n">
        <v>43979</v>
      </c>
      <c r="C1576" s="1" t="n">
        <v>45797</v>
      </c>
      <c r="D1576" t="inlineStr">
        <is>
          <t>ÖREBRO LÄN</t>
        </is>
      </c>
      <c r="E1576" t="inlineStr">
        <is>
          <t>DEGERFORS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24995-2020</t>
        </is>
      </c>
      <c r="B1577" s="1" t="n">
        <v>43979</v>
      </c>
      <c r="C1577" s="1" t="n">
        <v>45797</v>
      </c>
      <c r="D1577" t="inlineStr">
        <is>
          <t>ÖREBRO LÄN</t>
        </is>
      </c>
      <c r="E1577" t="inlineStr">
        <is>
          <t>LJUSNARSBERG</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25322-2020</t>
        </is>
      </c>
      <c r="B1578" s="1" t="n">
        <v>43980</v>
      </c>
      <c r="C1578" s="1" t="n">
        <v>45797</v>
      </c>
      <c r="D1578" t="inlineStr">
        <is>
          <t>ÖREBRO LÄN</t>
        </is>
      </c>
      <c r="E1578" t="inlineStr">
        <is>
          <t>LAXÅ</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25437-2020</t>
        </is>
      </c>
      <c r="B1579" s="1" t="n">
        <v>43983</v>
      </c>
      <c r="C1579" s="1" t="n">
        <v>45797</v>
      </c>
      <c r="D1579" t="inlineStr">
        <is>
          <t>ÖREBRO LÄN</t>
        </is>
      </c>
      <c r="E1579" t="inlineStr">
        <is>
          <t>ÖREBRO</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25650-2020</t>
        </is>
      </c>
      <c r="B1580" s="1" t="n">
        <v>43983</v>
      </c>
      <c r="C1580" s="1" t="n">
        <v>45797</v>
      </c>
      <c r="D1580" t="inlineStr">
        <is>
          <t>ÖREBRO LÄN</t>
        </is>
      </c>
      <c r="E1580" t="inlineStr">
        <is>
          <t>ASKERSUND</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25654-2020</t>
        </is>
      </c>
      <c r="B1581" s="1" t="n">
        <v>43983</v>
      </c>
      <c r="C1581" s="1" t="n">
        <v>45797</v>
      </c>
      <c r="D1581" t="inlineStr">
        <is>
          <t>ÖREBRO LÄN</t>
        </is>
      </c>
      <c r="E1581" t="inlineStr">
        <is>
          <t>LAXÅ</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25648-2020</t>
        </is>
      </c>
      <c r="B1582" s="1" t="n">
        <v>43983</v>
      </c>
      <c r="C1582" s="1" t="n">
        <v>45797</v>
      </c>
      <c r="D1582" t="inlineStr">
        <is>
          <t>ÖREBRO LÄN</t>
        </is>
      </c>
      <c r="E1582" t="inlineStr">
        <is>
          <t>ASKERSUND</t>
        </is>
      </c>
      <c r="F1582" t="inlineStr">
        <is>
          <t>Sveaskog</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25653-2020</t>
        </is>
      </c>
      <c r="B1583" s="1" t="n">
        <v>43983</v>
      </c>
      <c r="C1583" s="1" t="n">
        <v>45797</v>
      </c>
      <c r="D1583" t="inlineStr">
        <is>
          <t>ÖREBRO LÄN</t>
        </is>
      </c>
      <c r="E1583" t="inlineStr">
        <is>
          <t>LAXÅ</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25655-2020</t>
        </is>
      </c>
      <c r="B1584" s="1" t="n">
        <v>43983</v>
      </c>
      <c r="C1584" s="1" t="n">
        <v>45797</v>
      </c>
      <c r="D1584" t="inlineStr">
        <is>
          <t>ÖREBRO LÄN</t>
        </is>
      </c>
      <c r="E1584" t="inlineStr">
        <is>
          <t>LAXÅ</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25631-2020</t>
        </is>
      </c>
      <c r="B1585" s="1" t="n">
        <v>43983</v>
      </c>
      <c r="C1585" s="1" t="n">
        <v>45797</v>
      </c>
      <c r="D1585" t="inlineStr">
        <is>
          <t>ÖREBRO LÄN</t>
        </is>
      </c>
      <c r="E1585" t="inlineStr">
        <is>
          <t>ÖREBRO</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25703-2020</t>
        </is>
      </c>
      <c r="B1586" s="1" t="n">
        <v>43984</v>
      </c>
      <c r="C1586" s="1" t="n">
        <v>45797</v>
      </c>
      <c r="D1586" t="inlineStr">
        <is>
          <t>ÖREBRO LÄN</t>
        </is>
      </c>
      <c r="E1586" t="inlineStr">
        <is>
          <t>LINDESBERG</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25884-2020</t>
        </is>
      </c>
      <c r="B1587" s="1" t="n">
        <v>43984</v>
      </c>
      <c r="C1587" s="1" t="n">
        <v>45797</v>
      </c>
      <c r="D1587" t="inlineStr">
        <is>
          <t>ÖREBRO LÄN</t>
        </is>
      </c>
      <c r="E1587" t="inlineStr">
        <is>
          <t>ASKERSUND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25862-2020</t>
        </is>
      </c>
      <c r="B1588" s="1" t="n">
        <v>43984</v>
      </c>
      <c r="C1588" s="1" t="n">
        <v>45797</v>
      </c>
      <c r="D1588" t="inlineStr">
        <is>
          <t>ÖREBRO LÄN</t>
        </is>
      </c>
      <c r="E1588" t="inlineStr">
        <is>
          <t>LJUSNARSBERG</t>
        </is>
      </c>
      <c r="F1588" t="inlineStr">
        <is>
          <t>Sveaskog</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26033-2020</t>
        </is>
      </c>
      <c r="B1589" s="1" t="n">
        <v>43985</v>
      </c>
      <c r="C1589" s="1" t="n">
        <v>45797</v>
      </c>
      <c r="D1589" t="inlineStr">
        <is>
          <t>ÖREBRO LÄN</t>
        </is>
      </c>
      <c r="E1589" t="inlineStr">
        <is>
          <t>LEKEBERG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26196-2020</t>
        </is>
      </c>
      <c r="B1590" s="1" t="n">
        <v>43985</v>
      </c>
      <c r="C1590" s="1" t="n">
        <v>45797</v>
      </c>
      <c r="D1590" t="inlineStr">
        <is>
          <t>ÖREBRO LÄN</t>
        </is>
      </c>
      <c r="E1590" t="inlineStr">
        <is>
          <t>HALLSBERG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26211-2020</t>
        </is>
      </c>
      <c r="B1591" s="1" t="n">
        <v>43986</v>
      </c>
      <c r="C1591" s="1" t="n">
        <v>45797</v>
      </c>
      <c r="D1591" t="inlineStr">
        <is>
          <t>ÖREBRO LÄN</t>
        </is>
      </c>
      <c r="E1591" t="inlineStr">
        <is>
          <t>HALLSBERG</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26282-2020</t>
        </is>
      </c>
      <c r="B1592" s="1" t="n">
        <v>43986</v>
      </c>
      <c r="C1592" s="1" t="n">
        <v>45797</v>
      </c>
      <c r="D1592" t="inlineStr">
        <is>
          <t>ÖREBRO LÄN</t>
        </is>
      </c>
      <c r="E1592" t="inlineStr">
        <is>
          <t>NORA</t>
        </is>
      </c>
      <c r="F1592" t="inlineStr">
        <is>
          <t>Kyrkan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26477-2020</t>
        </is>
      </c>
      <c r="B1593" s="1" t="n">
        <v>43987</v>
      </c>
      <c r="C1593" s="1" t="n">
        <v>45797</v>
      </c>
      <c r="D1593" t="inlineStr">
        <is>
          <t>ÖREBRO LÄN</t>
        </is>
      </c>
      <c r="E1593" t="inlineStr">
        <is>
          <t>HALLSBERG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26870-2020</t>
        </is>
      </c>
      <c r="B1594" s="1" t="n">
        <v>43987</v>
      </c>
      <c r="C1594" s="1" t="n">
        <v>45797</v>
      </c>
      <c r="D1594" t="inlineStr">
        <is>
          <t>ÖREBRO LÄN</t>
        </is>
      </c>
      <c r="E1594" t="inlineStr">
        <is>
          <t>ASKERSUND</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26554-2020</t>
        </is>
      </c>
      <c r="B1595" s="1" t="n">
        <v>43987</v>
      </c>
      <c r="C1595" s="1" t="n">
        <v>45797</v>
      </c>
      <c r="D1595" t="inlineStr">
        <is>
          <t>ÖREBRO LÄN</t>
        </is>
      </c>
      <c r="E1595" t="inlineStr">
        <is>
          <t>ASKERSUND</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26810-2020</t>
        </is>
      </c>
      <c r="B1596" s="1" t="n">
        <v>43987</v>
      </c>
      <c r="C1596" s="1" t="n">
        <v>45797</v>
      </c>
      <c r="D1596" t="inlineStr">
        <is>
          <t>ÖREBRO LÄN</t>
        </is>
      </c>
      <c r="E1596" t="inlineStr">
        <is>
          <t>ÖREBRO</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26874-2020</t>
        </is>
      </c>
      <c r="B1597" s="1" t="n">
        <v>43987</v>
      </c>
      <c r="C1597" s="1" t="n">
        <v>45797</v>
      </c>
      <c r="D1597" t="inlineStr">
        <is>
          <t>ÖREBRO LÄN</t>
        </is>
      </c>
      <c r="E1597" t="inlineStr">
        <is>
          <t>ASKERSUND</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26549-2020</t>
        </is>
      </c>
      <c r="B1598" s="1" t="n">
        <v>43987</v>
      </c>
      <c r="C1598" s="1" t="n">
        <v>45797</v>
      </c>
      <c r="D1598" t="inlineStr">
        <is>
          <t>ÖREBRO LÄN</t>
        </is>
      </c>
      <c r="E1598" t="inlineStr">
        <is>
          <t>LAXÅ</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26862-2020</t>
        </is>
      </c>
      <c r="B1599" s="1" t="n">
        <v>43990</v>
      </c>
      <c r="C1599" s="1" t="n">
        <v>45797</v>
      </c>
      <c r="D1599" t="inlineStr">
        <is>
          <t>ÖREBRO LÄN</t>
        </is>
      </c>
      <c r="E1599" t="inlineStr">
        <is>
          <t>ÖREBRO</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27171-2020</t>
        </is>
      </c>
      <c r="B1600" s="1" t="n">
        <v>43991</v>
      </c>
      <c r="C1600" s="1" t="n">
        <v>45797</v>
      </c>
      <c r="D1600" t="inlineStr">
        <is>
          <t>ÖREBRO LÄN</t>
        </is>
      </c>
      <c r="E1600" t="inlineStr">
        <is>
          <t>HÄLLEFORS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27173-2020</t>
        </is>
      </c>
      <c r="B1601" s="1" t="n">
        <v>43991</v>
      </c>
      <c r="C1601" s="1" t="n">
        <v>45797</v>
      </c>
      <c r="D1601" t="inlineStr">
        <is>
          <t>ÖREBRO LÄN</t>
        </is>
      </c>
      <c r="E1601" t="inlineStr">
        <is>
          <t>HÄLLEFORS</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27293-2020</t>
        </is>
      </c>
      <c r="B1602" s="1" t="n">
        <v>43992</v>
      </c>
      <c r="C1602" s="1" t="n">
        <v>45797</v>
      </c>
      <c r="D1602" t="inlineStr">
        <is>
          <t>ÖREBRO LÄN</t>
        </is>
      </c>
      <c r="E1602" t="inlineStr">
        <is>
          <t>KARLSKOGA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27378-2020</t>
        </is>
      </c>
      <c r="B1603" s="1" t="n">
        <v>43992</v>
      </c>
      <c r="C1603" s="1" t="n">
        <v>45797</v>
      </c>
      <c r="D1603" t="inlineStr">
        <is>
          <t>ÖREBRO LÄN</t>
        </is>
      </c>
      <c r="E1603" t="inlineStr">
        <is>
          <t>ASKERSUND</t>
        </is>
      </c>
      <c r="G1603" t="n">
        <v>38.3</v>
      </c>
      <c r="H1603" t="n">
        <v>0</v>
      </c>
      <c r="I1603" t="n">
        <v>0</v>
      </c>
      <c r="J1603" t="n">
        <v>0</v>
      </c>
      <c r="K1603" t="n">
        <v>0</v>
      </c>
      <c r="L1603" t="n">
        <v>0</v>
      </c>
      <c r="M1603" t="n">
        <v>0</v>
      </c>
      <c r="N1603" t="n">
        <v>0</v>
      </c>
      <c r="O1603" t="n">
        <v>0</v>
      </c>
      <c r="P1603" t="n">
        <v>0</v>
      </c>
      <c r="Q1603" t="n">
        <v>0</v>
      </c>
      <c r="R1603" s="2" t="inlineStr"/>
    </row>
    <row r="1604" ht="15" customHeight="1">
      <c r="A1604" t="inlineStr">
        <is>
          <t>A 27460-2020</t>
        </is>
      </c>
      <c r="B1604" s="1" t="n">
        <v>43993</v>
      </c>
      <c r="C1604" s="1" t="n">
        <v>45797</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27586-2020</t>
        </is>
      </c>
      <c r="B1605" s="1" t="n">
        <v>43993</v>
      </c>
      <c r="C1605" s="1" t="n">
        <v>45797</v>
      </c>
      <c r="D1605" t="inlineStr">
        <is>
          <t>ÖREBRO LÄN</t>
        </is>
      </c>
      <c r="E1605" t="inlineStr">
        <is>
          <t>NORA</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27587-2020</t>
        </is>
      </c>
      <c r="B1606" s="1" t="n">
        <v>43993</v>
      </c>
      <c r="C1606" s="1" t="n">
        <v>45797</v>
      </c>
      <c r="D1606" t="inlineStr">
        <is>
          <t>ÖREBRO LÄN</t>
        </is>
      </c>
      <c r="E1606" t="inlineStr">
        <is>
          <t>NORA</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27734-2020</t>
        </is>
      </c>
      <c r="B1607" s="1" t="n">
        <v>43994</v>
      </c>
      <c r="C1607" s="1" t="n">
        <v>45797</v>
      </c>
      <c r="D1607" t="inlineStr">
        <is>
          <t>ÖREBRO LÄN</t>
        </is>
      </c>
      <c r="E1607" t="inlineStr">
        <is>
          <t>ÖREBRO</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27744-2020</t>
        </is>
      </c>
      <c r="B1608" s="1" t="n">
        <v>43994</v>
      </c>
      <c r="C1608" s="1" t="n">
        <v>45797</v>
      </c>
      <c r="D1608" t="inlineStr">
        <is>
          <t>ÖREBRO LÄN</t>
        </is>
      </c>
      <c r="E1608" t="inlineStr">
        <is>
          <t>ÖREBRO</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28036-2020</t>
        </is>
      </c>
      <c r="B1609" s="1" t="n">
        <v>43997</v>
      </c>
      <c r="C1609" s="1" t="n">
        <v>45797</v>
      </c>
      <c r="D1609" t="inlineStr">
        <is>
          <t>ÖREBRO LÄN</t>
        </is>
      </c>
      <c r="E1609" t="inlineStr">
        <is>
          <t>ÖREBRO</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28092-2020</t>
        </is>
      </c>
      <c r="B1610" s="1" t="n">
        <v>43997</v>
      </c>
      <c r="C1610" s="1" t="n">
        <v>45797</v>
      </c>
      <c r="D1610" t="inlineStr">
        <is>
          <t>ÖREBRO LÄN</t>
        </is>
      </c>
      <c r="E1610" t="inlineStr">
        <is>
          <t>ÖREBRO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28102-2020</t>
        </is>
      </c>
      <c r="B1611" s="1" t="n">
        <v>43997</v>
      </c>
      <c r="C1611" s="1" t="n">
        <v>45797</v>
      </c>
      <c r="D1611" t="inlineStr">
        <is>
          <t>ÖREBRO LÄN</t>
        </is>
      </c>
      <c r="E1611" t="inlineStr">
        <is>
          <t>ÖREBRO</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28193-2020</t>
        </is>
      </c>
      <c r="B1612" s="1" t="n">
        <v>43997</v>
      </c>
      <c r="C1612" s="1" t="n">
        <v>45797</v>
      </c>
      <c r="D1612" t="inlineStr">
        <is>
          <t>ÖREBRO LÄN</t>
        </is>
      </c>
      <c r="E1612" t="inlineStr">
        <is>
          <t>HALLSBERG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28145-2020</t>
        </is>
      </c>
      <c r="B1613" s="1" t="n">
        <v>43997</v>
      </c>
      <c r="C1613" s="1" t="n">
        <v>45797</v>
      </c>
      <c r="D1613" t="inlineStr">
        <is>
          <t>ÖREBRO LÄN</t>
        </is>
      </c>
      <c r="E1613" t="inlineStr">
        <is>
          <t>ASKERSUND</t>
        </is>
      </c>
      <c r="G1613" t="n">
        <v>1.7</v>
      </c>
      <c r="H1613" t="n">
        <v>0</v>
      </c>
      <c r="I1613" t="n">
        <v>0</v>
      </c>
      <c r="J1613" t="n">
        <v>0</v>
      </c>
      <c r="K1613" t="n">
        <v>0</v>
      </c>
      <c r="L1613" t="n">
        <v>0</v>
      </c>
      <c r="M1613" t="n">
        <v>0</v>
      </c>
      <c r="N1613" t="n">
        <v>0</v>
      </c>
      <c r="O1613" t="n">
        <v>0</v>
      </c>
      <c r="P1613" t="n">
        <v>0</v>
      </c>
      <c r="Q1613" t="n">
        <v>0</v>
      </c>
      <c r="R1613" s="2" t="inlineStr"/>
      <c r="U1613">
        <f>HYPERLINK("https://klasma.github.io/Logging_1882/knärot/A 28145-2020 karta knärot.png", "A 28145-2020")</f>
        <v/>
      </c>
      <c r="V1613">
        <f>HYPERLINK("https://klasma.github.io/Logging_1882/klagomål/A 28145-2020 FSC-klagomål.docx", "A 28145-2020")</f>
        <v/>
      </c>
      <c r="W1613">
        <f>HYPERLINK("https://klasma.github.io/Logging_1882/klagomålsmail/A 28145-2020 FSC-klagomål mail.docx", "A 28145-2020")</f>
        <v/>
      </c>
      <c r="X1613">
        <f>HYPERLINK("https://klasma.github.io/Logging_1882/tillsyn/A 28145-2020 tillsynsbegäran.docx", "A 28145-2020")</f>
        <v/>
      </c>
      <c r="Y1613">
        <f>HYPERLINK("https://klasma.github.io/Logging_1882/tillsynsmail/A 28145-2020 tillsynsbegäran mail.docx", "A 28145-2020")</f>
        <v/>
      </c>
    </row>
    <row r="1614" ht="15" customHeight="1">
      <c r="A1614" t="inlineStr">
        <is>
          <t>A 28410-2020</t>
        </is>
      </c>
      <c r="B1614" s="1" t="n">
        <v>43998</v>
      </c>
      <c r="C1614" s="1" t="n">
        <v>45797</v>
      </c>
      <c r="D1614" t="inlineStr">
        <is>
          <t>ÖREBRO LÄN</t>
        </is>
      </c>
      <c r="E1614" t="inlineStr">
        <is>
          <t>ÖREBRO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28286-2020</t>
        </is>
      </c>
      <c r="B1615" s="1" t="n">
        <v>43998</v>
      </c>
      <c r="C1615" s="1" t="n">
        <v>45797</v>
      </c>
      <c r="D1615" t="inlineStr">
        <is>
          <t>ÖREBRO LÄN</t>
        </is>
      </c>
      <c r="E1615" t="inlineStr">
        <is>
          <t>HALLSBERG</t>
        </is>
      </c>
      <c r="F1615" t="inlineStr">
        <is>
          <t>Allmännings- och besparingsskogar</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28316-2020</t>
        </is>
      </c>
      <c r="B1616" s="1" t="n">
        <v>43998</v>
      </c>
      <c r="C1616" s="1" t="n">
        <v>45797</v>
      </c>
      <c r="D1616" t="inlineStr">
        <is>
          <t>ÖREBRO LÄN</t>
        </is>
      </c>
      <c r="E1616" t="inlineStr">
        <is>
          <t>HALLSBERG</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28456-2020</t>
        </is>
      </c>
      <c r="B1617" s="1" t="n">
        <v>43998</v>
      </c>
      <c r="C1617" s="1" t="n">
        <v>45797</v>
      </c>
      <c r="D1617" t="inlineStr">
        <is>
          <t>ÖREBRO LÄN</t>
        </is>
      </c>
      <c r="E1617" t="inlineStr">
        <is>
          <t>ÖREBRO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28373-2020</t>
        </is>
      </c>
      <c r="B1618" s="1" t="n">
        <v>43998</v>
      </c>
      <c r="C1618" s="1" t="n">
        <v>45797</v>
      </c>
      <c r="D1618" t="inlineStr">
        <is>
          <t>ÖREBRO LÄN</t>
        </is>
      </c>
      <c r="E1618" t="inlineStr">
        <is>
          <t>HÄLLEFORS</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29162-2020</t>
        </is>
      </c>
      <c r="B1619" s="1" t="n">
        <v>43999</v>
      </c>
      <c r="C1619" s="1" t="n">
        <v>45797</v>
      </c>
      <c r="D1619" t="inlineStr">
        <is>
          <t>ÖREBRO LÄN</t>
        </is>
      </c>
      <c r="E1619" t="inlineStr">
        <is>
          <t>LINDESBERG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29156-2020</t>
        </is>
      </c>
      <c r="B1620" s="1" t="n">
        <v>43999</v>
      </c>
      <c r="C1620" s="1" t="n">
        <v>45797</v>
      </c>
      <c r="D1620" t="inlineStr">
        <is>
          <t>ÖREBRO LÄN</t>
        </is>
      </c>
      <c r="E1620" t="inlineStr">
        <is>
          <t>HALLSBERG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29030-2020</t>
        </is>
      </c>
      <c r="B1621" s="1" t="n">
        <v>44000</v>
      </c>
      <c r="C1621" s="1" t="n">
        <v>45797</v>
      </c>
      <c r="D1621" t="inlineStr">
        <is>
          <t>ÖREBRO LÄN</t>
        </is>
      </c>
      <c r="E1621" t="inlineStr">
        <is>
          <t>LINDESBERG</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29025-2020</t>
        </is>
      </c>
      <c r="B1622" s="1" t="n">
        <v>44000</v>
      </c>
      <c r="C1622" s="1" t="n">
        <v>45797</v>
      </c>
      <c r="D1622" t="inlineStr">
        <is>
          <t>ÖREBRO LÄN</t>
        </is>
      </c>
      <c r="E1622" t="inlineStr">
        <is>
          <t>LINDESBERG</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29038-2020</t>
        </is>
      </c>
      <c r="B1623" s="1" t="n">
        <v>44000</v>
      </c>
      <c r="C1623" s="1" t="n">
        <v>45797</v>
      </c>
      <c r="D1623" t="inlineStr">
        <is>
          <t>ÖREBRO LÄN</t>
        </is>
      </c>
      <c r="E1623" t="inlineStr">
        <is>
          <t>LINDESBERG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29001-2020</t>
        </is>
      </c>
      <c r="B1624" s="1" t="n">
        <v>44000</v>
      </c>
      <c r="C1624" s="1" t="n">
        <v>45797</v>
      </c>
      <c r="D1624" t="inlineStr">
        <is>
          <t>ÖREBRO LÄN</t>
        </is>
      </c>
      <c r="E1624" t="inlineStr">
        <is>
          <t>LINDESBERG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29242-2020</t>
        </is>
      </c>
      <c r="B1625" s="1" t="n">
        <v>44004</v>
      </c>
      <c r="C1625" s="1" t="n">
        <v>45797</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29453-2020</t>
        </is>
      </c>
      <c r="B1626" s="1" t="n">
        <v>44004</v>
      </c>
      <c r="C1626" s="1" t="n">
        <v>45797</v>
      </c>
      <c r="D1626" t="inlineStr">
        <is>
          <t>ÖREBRO LÄN</t>
        </is>
      </c>
      <c r="E1626" t="inlineStr">
        <is>
          <t>ÖREBRO</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29546-2020</t>
        </is>
      </c>
      <c r="B1627" s="1" t="n">
        <v>44004</v>
      </c>
      <c r="C1627" s="1" t="n">
        <v>45797</v>
      </c>
      <c r="D1627" t="inlineStr">
        <is>
          <t>ÖREBRO LÄN</t>
        </is>
      </c>
      <c r="E1627" t="inlineStr">
        <is>
          <t>ASKERSUND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29625-2020</t>
        </is>
      </c>
      <c r="B1628" s="1" t="n">
        <v>44005</v>
      </c>
      <c r="C1628" s="1" t="n">
        <v>45797</v>
      </c>
      <c r="D1628" t="inlineStr">
        <is>
          <t>ÖREBRO LÄN</t>
        </is>
      </c>
      <c r="E1628" t="inlineStr">
        <is>
          <t>LINDESBERG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29650-2020</t>
        </is>
      </c>
      <c r="B1629" s="1" t="n">
        <v>44005</v>
      </c>
      <c r="C1629" s="1" t="n">
        <v>45797</v>
      </c>
      <c r="D1629" t="inlineStr">
        <is>
          <t>ÖREBRO LÄN</t>
        </is>
      </c>
      <c r="E1629" t="inlineStr">
        <is>
          <t>LINDESBERG</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29733-2020</t>
        </is>
      </c>
      <c r="B1630" s="1" t="n">
        <v>44005</v>
      </c>
      <c r="C1630" s="1" t="n">
        <v>45797</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29682-2020</t>
        </is>
      </c>
      <c r="B1631" s="1" t="n">
        <v>44005</v>
      </c>
      <c r="C1631" s="1" t="n">
        <v>45797</v>
      </c>
      <c r="D1631" t="inlineStr">
        <is>
          <t>ÖREBRO LÄN</t>
        </is>
      </c>
      <c r="E1631" t="inlineStr">
        <is>
          <t>NORA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29731-2020</t>
        </is>
      </c>
      <c r="B1632" s="1" t="n">
        <v>44005</v>
      </c>
      <c r="C1632" s="1" t="n">
        <v>45797</v>
      </c>
      <c r="D1632" t="inlineStr">
        <is>
          <t>ÖREBRO LÄN</t>
        </is>
      </c>
      <c r="E1632" t="inlineStr">
        <is>
          <t>ASKERSUND</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29746-2020</t>
        </is>
      </c>
      <c r="B1633" s="1" t="n">
        <v>44005</v>
      </c>
      <c r="C1633" s="1" t="n">
        <v>45797</v>
      </c>
      <c r="D1633" t="inlineStr">
        <is>
          <t>ÖREBRO LÄN</t>
        </is>
      </c>
      <c r="E1633" t="inlineStr">
        <is>
          <t>NORA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29724-2020</t>
        </is>
      </c>
      <c r="B1634" s="1" t="n">
        <v>44005</v>
      </c>
      <c r="C1634" s="1" t="n">
        <v>45797</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29888-2020</t>
        </is>
      </c>
      <c r="B1635" s="1" t="n">
        <v>44006</v>
      </c>
      <c r="C1635" s="1" t="n">
        <v>45797</v>
      </c>
      <c r="D1635" t="inlineStr">
        <is>
          <t>ÖREBRO LÄN</t>
        </is>
      </c>
      <c r="E1635" t="inlineStr">
        <is>
          <t>LINDESBERG</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29804-2020</t>
        </is>
      </c>
      <c r="B1636" s="1" t="n">
        <v>44006</v>
      </c>
      <c r="C1636" s="1" t="n">
        <v>45797</v>
      </c>
      <c r="D1636" t="inlineStr">
        <is>
          <t>ÖREBRO LÄN</t>
        </is>
      </c>
      <c r="E1636" t="inlineStr">
        <is>
          <t>HALLSBERG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29879-2020</t>
        </is>
      </c>
      <c r="B1637" s="1" t="n">
        <v>44006</v>
      </c>
      <c r="C1637" s="1" t="n">
        <v>45797</v>
      </c>
      <c r="D1637" t="inlineStr">
        <is>
          <t>ÖREBRO LÄN</t>
        </is>
      </c>
      <c r="E1637" t="inlineStr">
        <is>
          <t>LINDESBERG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30072-2020</t>
        </is>
      </c>
      <c r="B1638" s="1" t="n">
        <v>44006</v>
      </c>
      <c r="C1638" s="1" t="n">
        <v>45797</v>
      </c>
      <c r="D1638" t="inlineStr">
        <is>
          <t>ÖREBRO LÄN</t>
        </is>
      </c>
      <c r="E1638" t="inlineStr">
        <is>
          <t>LINDESBERG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30073-2020</t>
        </is>
      </c>
      <c r="B1639" s="1" t="n">
        <v>44006</v>
      </c>
      <c r="C1639" s="1" t="n">
        <v>45797</v>
      </c>
      <c r="D1639" t="inlineStr">
        <is>
          <t>ÖREBRO LÄN</t>
        </is>
      </c>
      <c r="E1639" t="inlineStr">
        <is>
          <t>LINDESBERG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30189-2020</t>
        </is>
      </c>
      <c r="B1640" s="1" t="n">
        <v>44007</v>
      </c>
      <c r="C1640" s="1" t="n">
        <v>45797</v>
      </c>
      <c r="D1640" t="inlineStr">
        <is>
          <t>ÖREBRO LÄN</t>
        </is>
      </c>
      <c r="E1640" t="inlineStr">
        <is>
          <t>LINDESBERG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30381-2020</t>
        </is>
      </c>
      <c r="B1641" s="1" t="n">
        <v>44007</v>
      </c>
      <c r="C1641" s="1" t="n">
        <v>45797</v>
      </c>
      <c r="D1641" t="inlineStr">
        <is>
          <t>ÖREBRO LÄN</t>
        </is>
      </c>
      <c r="E1641" t="inlineStr">
        <is>
          <t>LINDESBERG</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30610-2020</t>
        </is>
      </c>
      <c r="B1642" s="1" t="n">
        <v>44008</v>
      </c>
      <c r="C1642" s="1" t="n">
        <v>45797</v>
      </c>
      <c r="D1642" t="inlineStr">
        <is>
          <t>ÖREBRO LÄN</t>
        </is>
      </c>
      <c r="E1642" t="inlineStr">
        <is>
          <t>LEKEBERG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30514-2020</t>
        </is>
      </c>
      <c r="B1643" s="1" t="n">
        <v>44008</v>
      </c>
      <c r="C1643" s="1" t="n">
        <v>45797</v>
      </c>
      <c r="D1643" t="inlineStr">
        <is>
          <t>ÖREBRO LÄN</t>
        </is>
      </c>
      <c r="E1643" t="inlineStr">
        <is>
          <t>ASKERSUND</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30779-2020</t>
        </is>
      </c>
      <c r="B1644" s="1" t="n">
        <v>44009</v>
      </c>
      <c r="C1644" s="1" t="n">
        <v>45797</v>
      </c>
      <c r="D1644" t="inlineStr">
        <is>
          <t>ÖREBRO LÄN</t>
        </is>
      </c>
      <c r="E1644" t="inlineStr">
        <is>
          <t>LAXÅ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31167-2020</t>
        </is>
      </c>
      <c r="B1645" s="1" t="n">
        <v>44012</v>
      </c>
      <c r="C1645" s="1" t="n">
        <v>45797</v>
      </c>
      <c r="D1645" t="inlineStr">
        <is>
          <t>ÖREBRO LÄN</t>
        </is>
      </c>
      <c r="E1645" t="inlineStr">
        <is>
          <t>KARLSKOGA</t>
        </is>
      </c>
      <c r="F1645" t="inlineStr">
        <is>
          <t>Sveaskog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31120-2020</t>
        </is>
      </c>
      <c r="B1646" s="1" t="n">
        <v>44012</v>
      </c>
      <c r="C1646" s="1" t="n">
        <v>45797</v>
      </c>
      <c r="D1646" t="inlineStr">
        <is>
          <t>ÖREBRO LÄN</t>
        </is>
      </c>
      <c r="E1646" t="inlineStr">
        <is>
          <t>ÖREBRO</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31149-2020</t>
        </is>
      </c>
      <c r="B1647" s="1" t="n">
        <v>44012</v>
      </c>
      <c r="C1647" s="1" t="n">
        <v>45797</v>
      </c>
      <c r="D1647" t="inlineStr">
        <is>
          <t>ÖREBRO LÄN</t>
        </is>
      </c>
      <c r="E1647" t="inlineStr">
        <is>
          <t>ÖREBRO</t>
        </is>
      </c>
      <c r="F1647" t="inlineStr">
        <is>
          <t>Sveaskog</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31184-2020</t>
        </is>
      </c>
      <c r="B1648" s="1" t="n">
        <v>44012</v>
      </c>
      <c r="C1648" s="1" t="n">
        <v>45797</v>
      </c>
      <c r="D1648" t="inlineStr">
        <is>
          <t>ÖREBRO LÄN</t>
        </is>
      </c>
      <c r="E1648" t="inlineStr">
        <is>
          <t>NORA</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31397-2020</t>
        </is>
      </c>
      <c r="B1649" s="1" t="n">
        <v>44012</v>
      </c>
      <c r="C1649" s="1" t="n">
        <v>45797</v>
      </c>
      <c r="D1649" t="inlineStr">
        <is>
          <t>ÖREBRO LÄN</t>
        </is>
      </c>
      <c r="E1649" t="inlineStr">
        <is>
          <t>ÖREBRO</t>
        </is>
      </c>
      <c r="F1649" t="inlineStr">
        <is>
          <t>Kommuner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31156-2020</t>
        </is>
      </c>
      <c r="B1650" s="1" t="n">
        <v>44012</v>
      </c>
      <c r="C1650" s="1" t="n">
        <v>45797</v>
      </c>
      <c r="D1650" t="inlineStr">
        <is>
          <t>ÖREBRO LÄN</t>
        </is>
      </c>
      <c r="E1650" t="inlineStr">
        <is>
          <t>KARLSKOGA</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31435-2020</t>
        </is>
      </c>
      <c r="B1651" s="1" t="n">
        <v>44013</v>
      </c>
      <c r="C1651" s="1" t="n">
        <v>45797</v>
      </c>
      <c r="D1651" t="inlineStr">
        <is>
          <t>ÖREBRO LÄN</t>
        </is>
      </c>
      <c r="E1651" t="inlineStr">
        <is>
          <t>DEGERFORS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31440-2020</t>
        </is>
      </c>
      <c r="B1652" s="1" t="n">
        <v>44013</v>
      </c>
      <c r="C1652" s="1" t="n">
        <v>45797</v>
      </c>
      <c r="D1652" t="inlineStr">
        <is>
          <t>ÖREBRO LÄN</t>
        </is>
      </c>
      <c r="E1652" t="inlineStr">
        <is>
          <t>DEGERFORS</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31450-2020</t>
        </is>
      </c>
      <c r="B1653" s="1" t="n">
        <v>44013</v>
      </c>
      <c r="C1653" s="1" t="n">
        <v>45797</v>
      </c>
      <c r="D1653" t="inlineStr">
        <is>
          <t>ÖREBRO LÄN</t>
        </is>
      </c>
      <c r="E1653" t="inlineStr">
        <is>
          <t>DEGERFORS</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31511-2020</t>
        </is>
      </c>
      <c r="B1654" s="1" t="n">
        <v>44013</v>
      </c>
      <c r="C1654" s="1" t="n">
        <v>45797</v>
      </c>
      <c r="D1654" t="inlineStr">
        <is>
          <t>ÖREBRO LÄN</t>
        </is>
      </c>
      <c r="E1654" t="inlineStr">
        <is>
          <t>LJUSNARSBERG</t>
        </is>
      </c>
      <c r="F1654" t="inlineStr">
        <is>
          <t>Bergvik skog väst AB</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31607-2020</t>
        </is>
      </c>
      <c r="B1655" s="1" t="n">
        <v>44013</v>
      </c>
      <c r="C1655" s="1" t="n">
        <v>45797</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31446-2020</t>
        </is>
      </c>
      <c r="B1656" s="1" t="n">
        <v>44013</v>
      </c>
      <c r="C1656" s="1" t="n">
        <v>45797</v>
      </c>
      <c r="D1656" t="inlineStr">
        <is>
          <t>ÖREBRO LÄN</t>
        </is>
      </c>
      <c r="E1656" t="inlineStr">
        <is>
          <t>DEGERFORS</t>
        </is>
      </c>
      <c r="G1656" t="n">
        <v>13.9</v>
      </c>
      <c r="H1656" t="n">
        <v>0</v>
      </c>
      <c r="I1656" t="n">
        <v>0</v>
      </c>
      <c r="J1656" t="n">
        <v>0</v>
      </c>
      <c r="K1656" t="n">
        <v>0</v>
      </c>
      <c r="L1656" t="n">
        <v>0</v>
      </c>
      <c r="M1656" t="n">
        <v>0</v>
      </c>
      <c r="N1656" t="n">
        <v>0</v>
      </c>
      <c r="O1656" t="n">
        <v>0</v>
      </c>
      <c r="P1656" t="n">
        <v>0</v>
      </c>
      <c r="Q1656" t="n">
        <v>0</v>
      </c>
      <c r="R1656" s="2" t="inlineStr"/>
    </row>
    <row r="1657" ht="15" customHeight="1">
      <c r="A1657" t="inlineStr">
        <is>
          <t>A 31707-2020</t>
        </is>
      </c>
      <c r="B1657" s="1" t="n">
        <v>44014</v>
      </c>
      <c r="C1657" s="1" t="n">
        <v>45797</v>
      </c>
      <c r="D1657" t="inlineStr">
        <is>
          <t>ÖREBRO LÄN</t>
        </is>
      </c>
      <c r="E1657" t="inlineStr">
        <is>
          <t>ASKERSUND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31933-2020</t>
        </is>
      </c>
      <c r="B1658" s="1" t="n">
        <v>44014</v>
      </c>
      <c r="C1658" s="1" t="n">
        <v>45797</v>
      </c>
      <c r="D1658" t="inlineStr">
        <is>
          <t>ÖREBRO LÄN</t>
        </is>
      </c>
      <c r="E1658" t="inlineStr">
        <is>
          <t>ÖREBRO</t>
        </is>
      </c>
      <c r="F1658" t="inlineStr">
        <is>
          <t>Kommuner</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31960-2020</t>
        </is>
      </c>
      <c r="B1659" s="1" t="n">
        <v>44014</v>
      </c>
      <c r="C1659" s="1" t="n">
        <v>45797</v>
      </c>
      <c r="D1659" t="inlineStr">
        <is>
          <t>ÖREBRO LÄN</t>
        </is>
      </c>
      <c r="E1659" t="inlineStr">
        <is>
          <t>KUMLA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32338-2020</t>
        </is>
      </c>
      <c r="B1660" s="1" t="n">
        <v>44016</v>
      </c>
      <c r="C1660" s="1" t="n">
        <v>45797</v>
      </c>
      <c r="D1660" t="inlineStr">
        <is>
          <t>ÖREBRO LÄN</t>
        </is>
      </c>
      <c r="E1660" t="inlineStr">
        <is>
          <t>LINDESBERG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32336-2020</t>
        </is>
      </c>
      <c r="B1661" s="1" t="n">
        <v>44016</v>
      </c>
      <c r="C1661" s="1" t="n">
        <v>45797</v>
      </c>
      <c r="D1661" t="inlineStr">
        <is>
          <t>ÖREBRO LÄN</t>
        </is>
      </c>
      <c r="E1661" t="inlineStr">
        <is>
          <t>LINDESBERG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32409-2020</t>
        </is>
      </c>
      <c r="B1662" s="1" t="n">
        <v>44018</v>
      </c>
      <c r="C1662" s="1" t="n">
        <v>45797</v>
      </c>
      <c r="D1662" t="inlineStr">
        <is>
          <t>ÖREBRO LÄN</t>
        </is>
      </c>
      <c r="E1662" t="inlineStr">
        <is>
          <t>ASKERSUND</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32498-2020</t>
        </is>
      </c>
      <c r="B1663" s="1" t="n">
        <v>44018</v>
      </c>
      <c r="C1663" s="1" t="n">
        <v>45797</v>
      </c>
      <c r="D1663" t="inlineStr">
        <is>
          <t>ÖREBRO LÄN</t>
        </is>
      </c>
      <c r="E1663" t="inlineStr">
        <is>
          <t>LINDESBERG</t>
        </is>
      </c>
      <c r="F1663" t="inlineStr">
        <is>
          <t>Sveaskog</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32406-2020</t>
        </is>
      </c>
      <c r="B1664" s="1" t="n">
        <v>44018</v>
      </c>
      <c r="C1664" s="1" t="n">
        <v>45797</v>
      </c>
      <c r="D1664" t="inlineStr">
        <is>
          <t>ÖREBRO LÄN</t>
        </is>
      </c>
      <c r="E1664" t="inlineStr">
        <is>
          <t>ASKERSUND</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32469-2020</t>
        </is>
      </c>
      <c r="B1665" s="1" t="n">
        <v>44018</v>
      </c>
      <c r="C1665" s="1" t="n">
        <v>45797</v>
      </c>
      <c r="D1665" t="inlineStr">
        <is>
          <t>ÖREBRO LÄN</t>
        </is>
      </c>
      <c r="E1665" t="inlineStr">
        <is>
          <t>LEKEBERG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32481-2020</t>
        </is>
      </c>
      <c r="B1666" s="1" t="n">
        <v>44018</v>
      </c>
      <c r="C1666" s="1" t="n">
        <v>45797</v>
      </c>
      <c r="D1666" t="inlineStr">
        <is>
          <t>ÖREBRO LÄN</t>
        </is>
      </c>
      <c r="E1666" t="inlineStr">
        <is>
          <t>LINDESBERG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32495-2020</t>
        </is>
      </c>
      <c r="B1667" s="1" t="n">
        <v>44018</v>
      </c>
      <c r="C1667" s="1" t="n">
        <v>45797</v>
      </c>
      <c r="D1667" t="inlineStr">
        <is>
          <t>ÖREBRO LÄN</t>
        </is>
      </c>
      <c r="E1667" t="inlineStr">
        <is>
          <t>LINDESBERG</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32513-2020</t>
        </is>
      </c>
      <c r="B1668" s="1" t="n">
        <v>44018</v>
      </c>
      <c r="C1668" s="1" t="n">
        <v>45797</v>
      </c>
      <c r="D1668" t="inlineStr">
        <is>
          <t>ÖREBRO LÄN</t>
        </is>
      </c>
      <c r="E1668" t="inlineStr">
        <is>
          <t>LINDESBERG</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32515-2020</t>
        </is>
      </c>
      <c r="B1669" s="1" t="n">
        <v>44018</v>
      </c>
      <c r="C1669" s="1" t="n">
        <v>45797</v>
      </c>
      <c r="D1669" t="inlineStr">
        <is>
          <t>ÖREBRO LÄN</t>
        </is>
      </c>
      <c r="E1669" t="inlineStr">
        <is>
          <t>LINDESBERG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32649-2020</t>
        </is>
      </c>
      <c r="B1670" s="1" t="n">
        <v>44018</v>
      </c>
      <c r="C1670" s="1" t="n">
        <v>45797</v>
      </c>
      <c r="D1670" t="inlineStr">
        <is>
          <t>ÖREBRO LÄN</t>
        </is>
      </c>
      <c r="E1670" t="inlineStr">
        <is>
          <t>HÄLLEFORS</t>
        </is>
      </c>
      <c r="F1670" t="inlineStr">
        <is>
          <t>Kyrkan</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32514-2020</t>
        </is>
      </c>
      <c r="B1671" s="1" t="n">
        <v>44018</v>
      </c>
      <c r="C1671" s="1" t="n">
        <v>45797</v>
      </c>
      <c r="D1671" t="inlineStr">
        <is>
          <t>ÖREBRO LÄN</t>
        </is>
      </c>
      <c r="E1671" t="inlineStr">
        <is>
          <t>LINDESBERG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32887-2020</t>
        </is>
      </c>
      <c r="B1672" s="1" t="n">
        <v>44018</v>
      </c>
      <c r="C1672" s="1" t="n">
        <v>45797</v>
      </c>
      <c r="D1672" t="inlineStr">
        <is>
          <t>ÖREBRO LÄN</t>
        </is>
      </c>
      <c r="E1672" t="inlineStr">
        <is>
          <t>HALLSBERG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32894-2020</t>
        </is>
      </c>
      <c r="B1673" s="1" t="n">
        <v>44018</v>
      </c>
      <c r="C1673" s="1" t="n">
        <v>45797</v>
      </c>
      <c r="D1673" t="inlineStr">
        <is>
          <t>ÖREBRO LÄN</t>
        </is>
      </c>
      <c r="E1673" t="inlineStr">
        <is>
          <t>HALLSBERG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32823-2020</t>
        </is>
      </c>
      <c r="B1674" s="1" t="n">
        <v>44020</v>
      </c>
      <c r="C1674" s="1" t="n">
        <v>45797</v>
      </c>
      <c r="D1674" t="inlineStr">
        <is>
          <t>ÖREBRO LÄN</t>
        </is>
      </c>
      <c r="E1674" t="inlineStr">
        <is>
          <t>ASKERSUND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32899-2020</t>
        </is>
      </c>
      <c r="B1675" s="1" t="n">
        <v>44020</v>
      </c>
      <c r="C1675" s="1" t="n">
        <v>45797</v>
      </c>
      <c r="D1675" t="inlineStr">
        <is>
          <t>ÖREBRO LÄN</t>
        </is>
      </c>
      <c r="E1675" t="inlineStr">
        <is>
          <t>DEGERFORS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32984-2020</t>
        </is>
      </c>
      <c r="B1676" s="1" t="n">
        <v>44020</v>
      </c>
      <c r="C1676" s="1" t="n">
        <v>45797</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33125-2020</t>
        </is>
      </c>
      <c r="B1677" s="1" t="n">
        <v>44020</v>
      </c>
      <c r="C1677" s="1" t="n">
        <v>45797</v>
      </c>
      <c r="D1677" t="inlineStr">
        <is>
          <t>ÖREBRO LÄN</t>
        </is>
      </c>
      <c r="E1677" t="inlineStr">
        <is>
          <t>ÖREBRO</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33092-2020</t>
        </is>
      </c>
      <c r="B1678" s="1" t="n">
        <v>44020</v>
      </c>
      <c r="C1678" s="1" t="n">
        <v>45797</v>
      </c>
      <c r="D1678" t="inlineStr">
        <is>
          <t>ÖREBRO LÄN</t>
        </is>
      </c>
      <c r="E1678" t="inlineStr">
        <is>
          <t>ÖREBRO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33120-2020</t>
        </is>
      </c>
      <c r="B1679" s="1" t="n">
        <v>44020</v>
      </c>
      <c r="C1679" s="1" t="n">
        <v>45797</v>
      </c>
      <c r="D1679" t="inlineStr">
        <is>
          <t>ÖREBRO LÄN</t>
        </is>
      </c>
      <c r="E1679" t="inlineStr">
        <is>
          <t>ÖREBRO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33117-2020</t>
        </is>
      </c>
      <c r="B1680" s="1" t="n">
        <v>44020</v>
      </c>
      <c r="C1680" s="1" t="n">
        <v>45797</v>
      </c>
      <c r="D1680" t="inlineStr">
        <is>
          <t>ÖREBRO LÄN</t>
        </is>
      </c>
      <c r="E1680" t="inlineStr">
        <is>
          <t>ÖREBRO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33049-2020</t>
        </is>
      </c>
      <c r="B1681" s="1" t="n">
        <v>44021</v>
      </c>
      <c r="C1681" s="1" t="n">
        <v>45797</v>
      </c>
      <c r="D1681" t="inlineStr">
        <is>
          <t>ÖREBRO LÄN</t>
        </is>
      </c>
      <c r="E1681" t="inlineStr">
        <is>
          <t>HALLSBERG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33422-2020</t>
        </is>
      </c>
      <c r="B1682" s="1" t="n">
        <v>44021</v>
      </c>
      <c r="C1682" s="1" t="n">
        <v>45797</v>
      </c>
      <c r="D1682" t="inlineStr">
        <is>
          <t>ÖREBRO LÄN</t>
        </is>
      </c>
      <c r="E1682" t="inlineStr">
        <is>
          <t>LAXÅ</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33855-2020</t>
        </is>
      </c>
      <c r="B1683" s="1" t="n">
        <v>44025</v>
      </c>
      <c r="C1683" s="1" t="n">
        <v>45797</v>
      </c>
      <c r="D1683" t="inlineStr">
        <is>
          <t>ÖREBRO LÄN</t>
        </is>
      </c>
      <c r="E1683" t="inlineStr">
        <is>
          <t>LEKEBERG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34357-2020</t>
        </is>
      </c>
      <c r="B1684" s="1" t="n">
        <v>44032</v>
      </c>
      <c r="C1684" s="1" t="n">
        <v>45797</v>
      </c>
      <c r="D1684" t="inlineStr">
        <is>
          <t>ÖREBRO LÄN</t>
        </is>
      </c>
      <c r="E1684" t="inlineStr">
        <is>
          <t>KUMLA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34415-2020</t>
        </is>
      </c>
      <c r="B1685" s="1" t="n">
        <v>44032</v>
      </c>
      <c r="C1685" s="1" t="n">
        <v>45797</v>
      </c>
      <c r="D1685" t="inlineStr">
        <is>
          <t>ÖREBRO LÄN</t>
        </is>
      </c>
      <c r="E1685" t="inlineStr">
        <is>
          <t>HÄLLEFORS</t>
        </is>
      </c>
      <c r="F1685" t="inlineStr">
        <is>
          <t>Bergvik skog väst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34553-2020</t>
        </is>
      </c>
      <c r="B1686" s="1" t="n">
        <v>44032</v>
      </c>
      <c r="C1686" s="1" t="n">
        <v>45797</v>
      </c>
      <c r="D1686" t="inlineStr">
        <is>
          <t>ÖREBRO LÄN</t>
        </is>
      </c>
      <c r="E1686" t="inlineStr">
        <is>
          <t>NORA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34359-2020</t>
        </is>
      </c>
      <c r="B1687" s="1" t="n">
        <v>44032</v>
      </c>
      <c r="C1687" s="1" t="n">
        <v>45797</v>
      </c>
      <c r="D1687" t="inlineStr">
        <is>
          <t>ÖREBRO LÄN</t>
        </is>
      </c>
      <c r="E1687" t="inlineStr">
        <is>
          <t>ASKERSUND</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34382-2020</t>
        </is>
      </c>
      <c r="B1688" s="1" t="n">
        <v>44032</v>
      </c>
      <c r="C1688" s="1" t="n">
        <v>45797</v>
      </c>
      <c r="D1688" t="inlineStr">
        <is>
          <t>ÖREBRO LÄN</t>
        </is>
      </c>
      <c r="E1688" t="inlineStr">
        <is>
          <t>LAXÅ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34982-2020</t>
        </is>
      </c>
      <c r="B1689" s="1" t="n">
        <v>44039</v>
      </c>
      <c r="C1689" s="1" t="n">
        <v>45797</v>
      </c>
      <c r="D1689" t="inlineStr">
        <is>
          <t>ÖREBRO LÄN</t>
        </is>
      </c>
      <c r="E1689" t="inlineStr">
        <is>
          <t>LAXÅ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34997-2020</t>
        </is>
      </c>
      <c r="B1690" s="1" t="n">
        <v>44039</v>
      </c>
      <c r="C1690" s="1" t="n">
        <v>45797</v>
      </c>
      <c r="D1690" t="inlineStr">
        <is>
          <t>ÖREBRO LÄN</t>
        </is>
      </c>
      <c r="E1690" t="inlineStr">
        <is>
          <t>ASKERSUND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35009-2020</t>
        </is>
      </c>
      <c r="B1691" s="1" t="n">
        <v>44039</v>
      </c>
      <c r="C1691" s="1" t="n">
        <v>45797</v>
      </c>
      <c r="D1691" t="inlineStr">
        <is>
          <t>ÖREBRO LÄN</t>
        </is>
      </c>
      <c r="E1691" t="inlineStr">
        <is>
          <t>ASKERSUND</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35077-2020</t>
        </is>
      </c>
      <c r="B1692" s="1" t="n">
        <v>44039</v>
      </c>
      <c r="C1692" s="1" t="n">
        <v>45797</v>
      </c>
      <c r="D1692" t="inlineStr">
        <is>
          <t>ÖREBRO LÄN</t>
        </is>
      </c>
      <c r="E1692" t="inlineStr">
        <is>
          <t>LAXÅ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35078-2020</t>
        </is>
      </c>
      <c r="B1693" s="1" t="n">
        <v>44039</v>
      </c>
      <c r="C1693" s="1" t="n">
        <v>45797</v>
      </c>
      <c r="D1693" t="inlineStr">
        <is>
          <t>ÖREBRO LÄN</t>
        </is>
      </c>
      <c r="E1693" t="inlineStr">
        <is>
          <t>LAXÅ</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35315-2020</t>
        </is>
      </c>
      <c r="B1694" s="1" t="n">
        <v>44041</v>
      </c>
      <c r="C1694" s="1" t="n">
        <v>45797</v>
      </c>
      <c r="D1694" t="inlineStr">
        <is>
          <t>ÖREBRO LÄN</t>
        </is>
      </c>
      <c r="E1694" t="inlineStr">
        <is>
          <t>LEKEBERG</t>
        </is>
      </c>
      <c r="F1694" t="inlineStr">
        <is>
          <t>Allmännings- och besparingsskogar</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35328-2020</t>
        </is>
      </c>
      <c r="B1695" s="1" t="n">
        <v>44041</v>
      </c>
      <c r="C1695" s="1" t="n">
        <v>45797</v>
      </c>
      <c r="D1695" t="inlineStr">
        <is>
          <t>ÖREBRO LÄN</t>
        </is>
      </c>
      <c r="E1695" t="inlineStr">
        <is>
          <t>LEKEBERG</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35522-2020</t>
        </is>
      </c>
      <c r="B1696" s="1" t="n">
        <v>44043</v>
      </c>
      <c r="C1696" s="1" t="n">
        <v>45797</v>
      </c>
      <c r="D1696" t="inlineStr">
        <is>
          <t>ÖREBRO LÄN</t>
        </is>
      </c>
      <c r="E1696" t="inlineStr">
        <is>
          <t>ÖREBRO</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35659-2020</t>
        </is>
      </c>
      <c r="B1697" s="1" t="n">
        <v>44046</v>
      </c>
      <c r="C1697" s="1" t="n">
        <v>45797</v>
      </c>
      <c r="D1697" t="inlineStr">
        <is>
          <t>ÖREBRO LÄN</t>
        </is>
      </c>
      <c r="E1697" t="inlineStr">
        <is>
          <t>LINDESBERG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35770-2020</t>
        </is>
      </c>
      <c r="B1698" s="1" t="n">
        <v>44046</v>
      </c>
      <c r="C1698" s="1" t="n">
        <v>45797</v>
      </c>
      <c r="D1698" t="inlineStr">
        <is>
          <t>ÖREBRO LÄN</t>
        </is>
      </c>
      <c r="E1698" t="inlineStr">
        <is>
          <t>ASKERSUND</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35877-2020</t>
        </is>
      </c>
      <c r="B1699" s="1" t="n">
        <v>44047</v>
      </c>
      <c r="C1699" s="1" t="n">
        <v>45797</v>
      </c>
      <c r="D1699" t="inlineStr">
        <is>
          <t>ÖREBRO LÄN</t>
        </is>
      </c>
      <c r="E1699" t="inlineStr">
        <is>
          <t>LINDESBERG</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35874-2020</t>
        </is>
      </c>
      <c r="B1700" s="1" t="n">
        <v>44047</v>
      </c>
      <c r="C1700" s="1" t="n">
        <v>45797</v>
      </c>
      <c r="D1700" t="inlineStr">
        <is>
          <t>ÖREBRO LÄN</t>
        </is>
      </c>
      <c r="E1700" t="inlineStr">
        <is>
          <t>LJUSNARSBERG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35913-2020</t>
        </is>
      </c>
      <c r="B1701" s="1" t="n">
        <v>44047</v>
      </c>
      <c r="C1701" s="1" t="n">
        <v>45797</v>
      </c>
      <c r="D1701" t="inlineStr">
        <is>
          <t>ÖREBRO LÄN</t>
        </is>
      </c>
      <c r="E1701" t="inlineStr">
        <is>
          <t>LJUSNARSBERG</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35825-2020</t>
        </is>
      </c>
      <c r="B1702" s="1" t="n">
        <v>44047</v>
      </c>
      <c r="C1702" s="1" t="n">
        <v>45797</v>
      </c>
      <c r="D1702" t="inlineStr">
        <is>
          <t>ÖREBRO LÄN</t>
        </is>
      </c>
      <c r="E1702" t="inlineStr">
        <is>
          <t>HÄLLEFORS</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35960-2020</t>
        </is>
      </c>
      <c r="B1703" s="1" t="n">
        <v>44047</v>
      </c>
      <c r="C1703" s="1" t="n">
        <v>45797</v>
      </c>
      <c r="D1703" t="inlineStr">
        <is>
          <t>ÖREBRO LÄN</t>
        </is>
      </c>
      <c r="E1703" t="inlineStr">
        <is>
          <t>LJUSNARSBERG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36310-2020</t>
        </is>
      </c>
      <c r="B1704" s="1" t="n">
        <v>44049</v>
      </c>
      <c r="C1704" s="1" t="n">
        <v>45797</v>
      </c>
      <c r="D1704" t="inlineStr">
        <is>
          <t>ÖREBRO LÄN</t>
        </is>
      </c>
      <c r="E1704" t="inlineStr">
        <is>
          <t>LINDESBERG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36601-2020</t>
        </is>
      </c>
      <c r="B1705" s="1" t="n">
        <v>44050</v>
      </c>
      <c r="C1705" s="1" t="n">
        <v>45797</v>
      </c>
      <c r="D1705" t="inlineStr">
        <is>
          <t>ÖREBRO LÄN</t>
        </is>
      </c>
      <c r="E1705" t="inlineStr">
        <is>
          <t>LJUSNARSBERG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36493-2020</t>
        </is>
      </c>
      <c r="B1706" s="1" t="n">
        <v>44050</v>
      </c>
      <c r="C1706" s="1" t="n">
        <v>45797</v>
      </c>
      <c r="D1706" t="inlineStr">
        <is>
          <t>ÖREBRO LÄN</t>
        </is>
      </c>
      <c r="E1706" t="inlineStr">
        <is>
          <t>LAXÅ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36782-2020</t>
        </is>
      </c>
      <c r="B1707" s="1" t="n">
        <v>44053</v>
      </c>
      <c r="C1707" s="1" t="n">
        <v>45797</v>
      </c>
      <c r="D1707" t="inlineStr">
        <is>
          <t>ÖREBRO LÄN</t>
        </is>
      </c>
      <c r="E1707" t="inlineStr">
        <is>
          <t>LINDESBERG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36778-2020</t>
        </is>
      </c>
      <c r="B1708" s="1" t="n">
        <v>44053</v>
      </c>
      <c r="C1708" s="1" t="n">
        <v>45797</v>
      </c>
      <c r="D1708" t="inlineStr">
        <is>
          <t>ÖREBRO LÄN</t>
        </is>
      </c>
      <c r="E1708" t="inlineStr">
        <is>
          <t>ÖREBRO</t>
        </is>
      </c>
      <c r="F1708" t="inlineStr">
        <is>
          <t>Allmännings- och besparingsskogar</t>
        </is>
      </c>
      <c r="G1708" t="n">
        <v>26.4</v>
      </c>
      <c r="H1708" t="n">
        <v>0</v>
      </c>
      <c r="I1708" t="n">
        <v>0</v>
      </c>
      <c r="J1708" t="n">
        <v>0</v>
      </c>
      <c r="K1708" t="n">
        <v>0</v>
      </c>
      <c r="L1708" t="n">
        <v>0</v>
      </c>
      <c r="M1708" t="n">
        <v>0</v>
      </c>
      <c r="N1708" t="n">
        <v>0</v>
      </c>
      <c r="O1708" t="n">
        <v>0</v>
      </c>
      <c r="P1708" t="n">
        <v>0</v>
      </c>
      <c r="Q1708" t="n">
        <v>0</v>
      </c>
      <c r="R1708" s="2" t="inlineStr"/>
    </row>
    <row r="1709" ht="15" customHeight="1">
      <c r="A1709" t="inlineStr">
        <is>
          <t>A 36858-2020</t>
        </is>
      </c>
      <c r="B1709" s="1" t="n">
        <v>44053</v>
      </c>
      <c r="C1709" s="1" t="n">
        <v>45797</v>
      </c>
      <c r="D1709" t="inlineStr">
        <is>
          <t>ÖREBRO LÄN</t>
        </is>
      </c>
      <c r="E1709" t="inlineStr">
        <is>
          <t>LEKEBERG</t>
        </is>
      </c>
      <c r="F1709" t="inlineStr">
        <is>
          <t>Allmännings- och besparingsskogar</t>
        </is>
      </c>
      <c r="G1709" t="n">
        <v>41.5</v>
      </c>
      <c r="H1709" t="n">
        <v>0</v>
      </c>
      <c r="I1709" t="n">
        <v>0</v>
      </c>
      <c r="J1709" t="n">
        <v>0</v>
      </c>
      <c r="K1709" t="n">
        <v>0</v>
      </c>
      <c r="L1709" t="n">
        <v>0</v>
      </c>
      <c r="M1709" t="n">
        <v>0</v>
      </c>
      <c r="N1709" t="n">
        <v>0</v>
      </c>
      <c r="O1709" t="n">
        <v>0</v>
      </c>
      <c r="P1709" t="n">
        <v>0</v>
      </c>
      <c r="Q1709" t="n">
        <v>0</v>
      </c>
      <c r="R1709" s="2" t="inlineStr"/>
    </row>
    <row r="1710" ht="15" customHeight="1">
      <c r="A1710" t="inlineStr">
        <is>
          <t>A 36770-2020</t>
        </is>
      </c>
      <c r="B1710" s="1" t="n">
        <v>44053</v>
      </c>
      <c r="C1710" s="1" t="n">
        <v>45797</v>
      </c>
      <c r="D1710" t="inlineStr">
        <is>
          <t>ÖREBRO LÄN</t>
        </is>
      </c>
      <c r="E1710" t="inlineStr">
        <is>
          <t>LINDESBERG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36762-2020</t>
        </is>
      </c>
      <c r="B1711" s="1" t="n">
        <v>44053</v>
      </c>
      <c r="C1711" s="1" t="n">
        <v>45797</v>
      </c>
      <c r="D1711" t="inlineStr">
        <is>
          <t>ÖREBRO LÄN</t>
        </is>
      </c>
      <c r="E1711" t="inlineStr">
        <is>
          <t>ÖREBRO</t>
        </is>
      </c>
      <c r="F1711" t="inlineStr">
        <is>
          <t>Allmännings- och besparingsskogar</t>
        </is>
      </c>
      <c r="G1711" t="n">
        <v>12.3</v>
      </c>
      <c r="H1711" t="n">
        <v>0</v>
      </c>
      <c r="I1711" t="n">
        <v>0</v>
      </c>
      <c r="J1711" t="n">
        <v>0</v>
      </c>
      <c r="K1711" t="n">
        <v>0</v>
      </c>
      <c r="L1711" t="n">
        <v>0</v>
      </c>
      <c r="M1711" t="n">
        <v>0</v>
      </c>
      <c r="N1711" t="n">
        <v>0</v>
      </c>
      <c r="O1711" t="n">
        <v>0</v>
      </c>
      <c r="P1711" t="n">
        <v>0</v>
      </c>
      <c r="Q1711" t="n">
        <v>0</v>
      </c>
      <c r="R1711" s="2" t="inlineStr"/>
    </row>
    <row r="1712" ht="15" customHeight="1">
      <c r="A1712" t="inlineStr">
        <is>
          <t>A 36797-2020</t>
        </is>
      </c>
      <c r="B1712" s="1" t="n">
        <v>44053</v>
      </c>
      <c r="C1712" s="1" t="n">
        <v>45797</v>
      </c>
      <c r="D1712" t="inlineStr">
        <is>
          <t>ÖREBRO LÄN</t>
        </is>
      </c>
      <c r="E1712" t="inlineStr">
        <is>
          <t>NORA</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37062-2020</t>
        </is>
      </c>
      <c r="B1713" s="1" t="n">
        <v>44054</v>
      </c>
      <c r="C1713" s="1" t="n">
        <v>45797</v>
      </c>
      <c r="D1713" t="inlineStr">
        <is>
          <t>ÖREBRO LÄN</t>
        </is>
      </c>
      <c r="E1713" t="inlineStr">
        <is>
          <t>KUMLA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37293-2020</t>
        </is>
      </c>
      <c r="B1714" s="1" t="n">
        <v>44055</v>
      </c>
      <c r="C1714" s="1" t="n">
        <v>45797</v>
      </c>
      <c r="D1714" t="inlineStr">
        <is>
          <t>ÖREBRO LÄN</t>
        </is>
      </c>
      <c r="E1714" t="inlineStr">
        <is>
          <t>LINDESBERG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37612-2020</t>
        </is>
      </c>
      <c r="B1715" s="1" t="n">
        <v>44056</v>
      </c>
      <c r="C1715" s="1" t="n">
        <v>45797</v>
      </c>
      <c r="D1715" t="inlineStr">
        <is>
          <t>ÖREBRO LÄN</t>
        </is>
      </c>
      <c r="E1715" t="inlineStr">
        <is>
          <t>LEKEBERG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37654-2020</t>
        </is>
      </c>
      <c r="B1716" s="1" t="n">
        <v>44056</v>
      </c>
      <c r="C1716" s="1" t="n">
        <v>45797</v>
      </c>
      <c r="D1716" t="inlineStr">
        <is>
          <t>ÖREBRO LÄN</t>
        </is>
      </c>
      <c r="E1716" t="inlineStr">
        <is>
          <t>ÖREBRO</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37675-2020</t>
        </is>
      </c>
      <c r="B1717" s="1" t="n">
        <v>44056</v>
      </c>
      <c r="C1717" s="1" t="n">
        <v>45797</v>
      </c>
      <c r="D1717" t="inlineStr">
        <is>
          <t>ÖREBRO LÄN</t>
        </is>
      </c>
      <c r="E1717" t="inlineStr">
        <is>
          <t>NORA</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37900-2020</t>
        </is>
      </c>
      <c r="B1718" s="1" t="n">
        <v>44057</v>
      </c>
      <c r="C1718" s="1" t="n">
        <v>45797</v>
      </c>
      <c r="D1718" t="inlineStr">
        <is>
          <t>ÖREBRO LÄN</t>
        </is>
      </c>
      <c r="E1718" t="inlineStr">
        <is>
          <t>HALLSBERG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37846-2020</t>
        </is>
      </c>
      <c r="B1719" s="1" t="n">
        <v>44057</v>
      </c>
      <c r="C1719" s="1" t="n">
        <v>45797</v>
      </c>
      <c r="D1719" t="inlineStr">
        <is>
          <t>ÖREBRO LÄN</t>
        </is>
      </c>
      <c r="E1719" t="inlineStr">
        <is>
          <t>ASKERSUND</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37890-2020</t>
        </is>
      </c>
      <c r="B1720" s="1" t="n">
        <v>44057</v>
      </c>
      <c r="C1720" s="1" t="n">
        <v>45797</v>
      </c>
      <c r="D1720" t="inlineStr">
        <is>
          <t>ÖREBRO LÄN</t>
        </is>
      </c>
      <c r="E1720" t="inlineStr">
        <is>
          <t>ASKERSUND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37921-2020</t>
        </is>
      </c>
      <c r="B1721" s="1" t="n">
        <v>44057</v>
      </c>
      <c r="C1721" s="1" t="n">
        <v>45797</v>
      </c>
      <c r="D1721" t="inlineStr">
        <is>
          <t>ÖREBRO LÄN</t>
        </is>
      </c>
      <c r="E1721" t="inlineStr">
        <is>
          <t>HALLSBERG</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37944-2020</t>
        </is>
      </c>
      <c r="B1722" s="1" t="n">
        <v>44057</v>
      </c>
      <c r="C1722" s="1" t="n">
        <v>45797</v>
      </c>
      <c r="D1722" t="inlineStr">
        <is>
          <t>ÖREBRO LÄN</t>
        </is>
      </c>
      <c r="E1722" t="inlineStr">
        <is>
          <t>HALLSBERG</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38109-2020</t>
        </is>
      </c>
      <c r="B1723" s="1" t="n">
        <v>44058</v>
      </c>
      <c r="C1723" s="1" t="n">
        <v>45797</v>
      </c>
      <c r="D1723" t="inlineStr">
        <is>
          <t>ÖREBRO LÄN</t>
        </is>
      </c>
      <c r="E1723" t="inlineStr">
        <is>
          <t>ASKERSUND</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38176-2020</t>
        </is>
      </c>
      <c r="B1724" s="1" t="n">
        <v>44060</v>
      </c>
      <c r="C1724" s="1" t="n">
        <v>45797</v>
      </c>
      <c r="D1724" t="inlineStr">
        <is>
          <t>ÖREBRO LÄN</t>
        </is>
      </c>
      <c r="E1724" t="inlineStr">
        <is>
          <t>ASKERSUND</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38184-2020</t>
        </is>
      </c>
      <c r="B1725" s="1" t="n">
        <v>44060</v>
      </c>
      <c r="C1725" s="1" t="n">
        <v>45797</v>
      </c>
      <c r="D1725" t="inlineStr">
        <is>
          <t>ÖREBRO LÄN</t>
        </is>
      </c>
      <c r="E1725" t="inlineStr">
        <is>
          <t>ASKERSUND</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38251-2020</t>
        </is>
      </c>
      <c r="B1726" s="1" t="n">
        <v>44060</v>
      </c>
      <c r="C1726" s="1" t="n">
        <v>45797</v>
      </c>
      <c r="D1726" t="inlineStr">
        <is>
          <t>ÖREBRO LÄN</t>
        </is>
      </c>
      <c r="E1726" t="inlineStr">
        <is>
          <t>ASKERSUND</t>
        </is>
      </c>
      <c r="F1726" t="inlineStr">
        <is>
          <t>Kyrkan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38303-2020</t>
        </is>
      </c>
      <c r="B1727" s="1" t="n">
        <v>44060</v>
      </c>
      <c r="C1727" s="1" t="n">
        <v>45797</v>
      </c>
      <c r="D1727" t="inlineStr">
        <is>
          <t>ÖREBRO LÄN</t>
        </is>
      </c>
      <c r="E1727" t="inlineStr">
        <is>
          <t>NORA</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38247-2020</t>
        </is>
      </c>
      <c r="B1728" s="1" t="n">
        <v>44060</v>
      </c>
      <c r="C1728" s="1" t="n">
        <v>45797</v>
      </c>
      <c r="D1728" t="inlineStr">
        <is>
          <t>ÖREBRO LÄN</t>
        </is>
      </c>
      <c r="E1728" t="inlineStr">
        <is>
          <t>ASKERSUND</t>
        </is>
      </c>
      <c r="F1728" t="inlineStr">
        <is>
          <t>Kyrkan</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38284-2020</t>
        </is>
      </c>
      <c r="B1729" s="1" t="n">
        <v>44060</v>
      </c>
      <c r="C1729" s="1" t="n">
        <v>45797</v>
      </c>
      <c r="D1729" t="inlineStr">
        <is>
          <t>ÖREBRO LÄN</t>
        </is>
      </c>
      <c r="E1729" t="inlineStr">
        <is>
          <t>NORA</t>
        </is>
      </c>
      <c r="F1729" t="inlineStr">
        <is>
          <t>Övriga Aktiebolag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38532-2020</t>
        </is>
      </c>
      <c r="B1730" s="1" t="n">
        <v>44061</v>
      </c>
      <c r="C1730" s="1" t="n">
        <v>45797</v>
      </c>
      <c r="D1730" t="inlineStr">
        <is>
          <t>ÖREBRO LÄN</t>
        </is>
      </c>
      <c r="E1730" t="inlineStr">
        <is>
          <t>ÖREBRO</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38708-2020</t>
        </is>
      </c>
      <c r="B1731" s="1" t="n">
        <v>44061</v>
      </c>
      <c r="C1731" s="1" t="n">
        <v>45797</v>
      </c>
      <c r="D1731" t="inlineStr">
        <is>
          <t>ÖREBRO LÄN</t>
        </is>
      </c>
      <c r="E1731" t="inlineStr">
        <is>
          <t>LINDESBERG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38707-2020</t>
        </is>
      </c>
      <c r="B1732" s="1" t="n">
        <v>44061</v>
      </c>
      <c r="C1732" s="1" t="n">
        <v>45797</v>
      </c>
      <c r="D1732" t="inlineStr">
        <is>
          <t>ÖREBRO LÄN</t>
        </is>
      </c>
      <c r="E1732" t="inlineStr">
        <is>
          <t>NORA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38691-2020</t>
        </is>
      </c>
      <c r="B1733" s="1" t="n">
        <v>44061</v>
      </c>
      <c r="C1733" s="1" t="n">
        <v>45797</v>
      </c>
      <c r="D1733" t="inlineStr">
        <is>
          <t>ÖREBRO LÄN</t>
        </is>
      </c>
      <c r="E1733" t="inlineStr">
        <is>
          <t>ÖREBRO</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38911-2020</t>
        </is>
      </c>
      <c r="B1734" s="1" t="n">
        <v>44062</v>
      </c>
      <c r="C1734" s="1" t="n">
        <v>45797</v>
      </c>
      <c r="D1734" t="inlineStr">
        <is>
          <t>ÖREBRO LÄN</t>
        </is>
      </c>
      <c r="E1734" t="inlineStr">
        <is>
          <t>LJUSNARSBERG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38960-2020</t>
        </is>
      </c>
      <c r="B1735" s="1" t="n">
        <v>44062</v>
      </c>
      <c r="C1735" s="1" t="n">
        <v>45797</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38922-2020</t>
        </is>
      </c>
      <c r="B1736" s="1" t="n">
        <v>44062</v>
      </c>
      <c r="C1736" s="1" t="n">
        <v>45797</v>
      </c>
      <c r="D1736" t="inlineStr">
        <is>
          <t>ÖREBRO LÄN</t>
        </is>
      </c>
      <c r="E1736" t="inlineStr">
        <is>
          <t>ASKERSUND</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39227-2020</t>
        </is>
      </c>
      <c r="B1737" s="1" t="n">
        <v>44063</v>
      </c>
      <c r="C1737" s="1" t="n">
        <v>45797</v>
      </c>
      <c r="D1737" t="inlineStr">
        <is>
          <t>ÖREBRO LÄN</t>
        </is>
      </c>
      <c r="E1737" t="inlineStr">
        <is>
          <t>LINDESBERG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39252-2020</t>
        </is>
      </c>
      <c r="B1738" s="1" t="n">
        <v>44063</v>
      </c>
      <c r="C1738" s="1" t="n">
        <v>45797</v>
      </c>
      <c r="D1738" t="inlineStr">
        <is>
          <t>ÖREBRO LÄN</t>
        </is>
      </c>
      <c r="E1738" t="inlineStr">
        <is>
          <t>HALLSBERG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39307-2020</t>
        </is>
      </c>
      <c r="B1739" s="1" t="n">
        <v>44063</v>
      </c>
      <c r="C1739" s="1" t="n">
        <v>45797</v>
      </c>
      <c r="D1739" t="inlineStr">
        <is>
          <t>ÖREBRO LÄN</t>
        </is>
      </c>
      <c r="E1739" t="inlineStr">
        <is>
          <t>ÖREBRO</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39305-2020</t>
        </is>
      </c>
      <c r="B1740" s="1" t="n">
        <v>44063</v>
      </c>
      <c r="C1740" s="1" t="n">
        <v>45797</v>
      </c>
      <c r="D1740" t="inlineStr">
        <is>
          <t>ÖREBRO LÄN</t>
        </is>
      </c>
      <c r="E1740" t="inlineStr">
        <is>
          <t>LINDESBERG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39505-2020</t>
        </is>
      </c>
      <c r="B1741" s="1" t="n">
        <v>44064</v>
      </c>
      <c r="C1741" s="1" t="n">
        <v>45797</v>
      </c>
      <c r="D1741" t="inlineStr">
        <is>
          <t>ÖREBRO LÄN</t>
        </is>
      </c>
      <c r="E1741" t="inlineStr">
        <is>
          <t>HÄLLEFORS</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39512-2020</t>
        </is>
      </c>
      <c r="B1742" s="1" t="n">
        <v>44064</v>
      </c>
      <c r="C1742" s="1" t="n">
        <v>45797</v>
      </c>
      <c r="D1742" t="inlineStr">
        <is>
          <t>ÖREBRO LÄN</t>
        </is>
      </c>
      <c r="E1742" t="inlineStr">
        <is>
          <t>HÄLLEFORS</t>
        </is>
      </c>
      <c r="F1742" t="inlineStr">
        <is>
          <t>Bergvik skog väst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39557-2020</t>
        </is>
      </c>
      <c r="B1743" s="1" t="n">
        <v>44064</v>
      </c>
      <c r="C1743" s="1" t="n">
        <v>45797</v>
      </c>
      <c r="D1743" t="inlineStr">
        <is>
          <t>ÖREBRO LÄN</t>
        </is>
      </c>
      <c r="E1743" t="inlineStr">
        <is>
          <t>HÄLLEFORS</t>
        </is>
      </c>
      <c r="F1743" t="inlineStr">
        <is>
          <t>Bergvik skog väst AB</t>
        </is>
      </c>
      <c r="G1743" t="n">
        <v>18.1</v>
      </c>
      <c r="H1743" t="n">
        <v>0</v>
      </c>
      <c r="I1743" t="n">
        <v>0</v>
      </c>
      <c r="J1743" t="n">
        <v>0</v>
      </c>
      <c r="K1743" t="n">
        <v>0</v>
      </c>
      <c r="L1743" t="n">
        <v>0</v>
      </c>
      <c r="M1743" t="n">
        <v>0</v>
      </c>
      <c r="N1743" t="n">
        <v>0</v>
      </c>
      <c r="O1743" t="n">
        <v>0</v>
      </c>
      <c r="P1743" t="n">
        <v>0</v>
      </c>
      <c r="Q1743" t="n">
        <v>0</v>
      </c>
      <c r="R1743" s="2" t="inlineStr"/>
    </row>
    <row r="1744" ht="15" customHeight="1">
      <c r="A1744" t="inlineStr">
        <is>
          <t>A 39484-2020</t>
        </is>
      </c>
      <c r="B1744" s="1" t="n">
        <v>44064</v>
      </c>
      <c r="C1744" s="1" t="n">
        <v>45797</v>
      </c>
      <c r="D1744" t="inlineStr">
        <is>
          <t>ÖREBRO LÄN</t>
        </is>
      </c>
      <c r="E1744" t="inlineStr">
        <is>
          <t>HÄLLEFORS</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39382-2020</t>
        </is>
      </c>
      <c r="B1745" s="1" t="n">
        <v>44064</v>
      </c>
      <c r="C1745" s="1" t="n">
        <v>45797</v>
      </c>
      <c r="D1745" t="inlineStr">
        <is>
          <t>ÖREBRO LÄN</t>
        </is>
      </c>
      <c r="E1745" t="inlineStr">
        <is>
          <t>LINDESBERG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39499-2020</t>
        </is>
      </c>
      <c r="B1746" s="1" t="n">
        <v>44064</v>
      </c>
      <c r="C1746" s="1" t="n">
        <v>45797</v>
      </c>
      <c r="D1746" t="inlineStr">
        <is>
          <t>ÖREBRO LÄN</t>
        </is>
      </c>
      <c r="E1746" t="inlineStr">
        <is>
          <t>HÄLLEFORS</t>
        </is>
      </c>
      <c r="F1746" t="inlineStr">
        <is>
          <t>Bergvik skog väst AB</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39514-2020</t>
        </is>
      </c>
      <c r="B1747" s="1" t="n">
        <v>44064</v>
      </c>
      <c r="C1747" s="1" t="n">
        <v>45797</v>
      </c>
      <c r="D1747" t="inlineStr">
        <is>
          <t>ÖREBRO LÄN</t>
        </is>
      </c>
      <c r="E1747" t="inlineStr">
        <is>
          <t>ÖREBRO</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39607-2020</t>
        </is>
      </c>
      <c r="B1748" s="1" t="n">
        <v>44064</v>
      </c>
      <c r="C1748" s="1" t="n">
        <v>45797</v>
      </c>
      <c r="D1748" t="inlineStr">
        <is>
          <t>ÖREBRO LÄN</t>
        </is>
      </c>
      <c r="E1748" t="inlineStr">
        <is>
          <t>HÄLLEFORS</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39572-2020</t>
        </is>
      </c>
      <c r="B1749" s="1" t="n">
        <v>44064</v>
      </c>
      <c r="C1749" s="1" t="n">
        <v>45797</v>
      </c>
      <c r="D1749" t="inlineStr">
        <is>
          <t>ÖREBRO LÄN</t>
        </is>
      </c>
      <c r="E1749" t="inlineStr">
        <is>
          <t>HÄLLEFORS</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39603-2020</t>
        </is>
      </c>
      <c r="B1750" s="1" t="n">
        <v>44064</v>
      </c>
      <c r="C1750" s="1" t="n">
        <v>45797</v>
      </c>
      <c r="D1750" t="inlineStr">
        <is>
          <t>ÖREBRO LÄN</t>
        </is>
      </c>
      <c r="E1750" t="inlineStr">
        <is>
          <t>HÄLLEFORS</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39613-2020</t>
        </is>
      </c>
      <c r="B1751" s="1" t="n">
        <v>44064</v>
      </c>
      <c r="C1751" s="1" t="n">
        <v>45797</v>
      </c>
      <c r="D1751" t="inlineStr">
        <is>
          <t>ÖREBRO LÄN</t>
        </is>
      </c>
      <c r="E1751" t="inlineStr">
        <is>
          <t>HÄLLEFORS</t>
        </is>
      </c>
      <c r="F1751" t="inlineStr">
        <is>
          <t>Bergvik skog väst AB</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39642-2020</t>
        </is>
      </c>
      <c r="B1752" s="1" t="n">
        <v>44064</v>
      </c>
      <c r="C1752" s="1" t="n">
        <v>45797</v>
      </c>
      <c r="D1752" t="inlineStr">
        <is>
          <t>ÖREBRO LÄN</t>
        </is>
      </c>
      <c r="E1752" t="inlineStr">
        <is>
          <t>ÖREBRO</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39995-2020</t>
        </is>
      </c>
      <c r="B1753" s="1" t="n">
        <v>44064</v>
      </c>
      <c r="C1753" s="1" t="n">
        <v>45797</v>
      </c>
      <c r="D1753" t="inlineStr">
        <is>
          <t>ÖREBRO LÄN</t>
        </is>
      </c>
      <c r="E1753" t="inlineStr">
        <is>
          <t>HALLSBERG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39564-2020</t>
        </is>
      </c>
      <c r="B1754" s="1" t="n">
        <v>44064</v>
      </c>
      <c r="C1754" s="1" t="n">
        <v>45797</v>
      </c>
      <c r="D1754" t="inlineStr">
        <is>
          <t>ÖREBRO LÄN</t>
        </is>
      </c>
      <c r="E1754" t="inlineStr">
        <is>
          <t>HÄLLEFORS</t>
        </is>
      </c>
      <c r="F1754" t="inlineStr">
        <is>
          <t>Bergvik skog väst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39926-2020</t>
        </is>
      </c>
      <c r="B1755" s="1" t="n">
        <v>44064</v>
      </c>
      <c r="C1755" s="1" t="n">
        <v>45797</v>
      </c>
      <c r="D1755" t="inlineStr">
        <is>
          <t>ÖREBRO LÄN</t>
        </is>
      </c>
      <c r="E1755" t="inlineStr">
        <is>
          <t>ASKERSUND</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39914-2020</t>
        </is>
      </c>
      <c r="B1756" s="1" t="n">
        <v>44067</v>
      </c>
      <c r="C1756" s="1" t="n">
        <v>45797</v>
      </c>
      <c r="D1756" t="inlineStr">
        <is>
          <t>ÖREBRO LÄN</t>
        </is>
      </c>
      <c r="E1756" t="inlineStr">
        <is>
          <t>HÄLLEFORS</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39978-2020</t>
        </is>
      </c>
      <c r="B1757" s="1" t="n">
        <v>44067</v>
      </c>
      <c r="C1757" s="1" t="n">
        <v>45797</v>
      </c>
      <c r="D1757" t="inlineStr">
        <is>
          <t>ÖREBRO LÄN</t>
        </is>
      </c>
      <c r="E1757" t="inlineStr">
        <is>
          <t>LINDESBERG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39853-2020</t>
        </is>
      </c>
      <c r="B1758" s="1" t="n">
        <v>44067</v>
      </c>
      <c r="C1758" s="1" t="n">
        <v>45797</v>
      </c>
      <c r="D1758" t="inlineStr">
        <is>
          <t>ÖREBRO LÄN</t>
        </is>
      </c>
      <c r="E1758" t="inlineStr">
        <is>
          <t>LEKEBERG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39921-2020</t>
        </is>
      </c>
      <c r="B1759" s="1" t="n">
        <v>44067</v>
      </c>
      <c r="C1759" s="1" t="n">
        <v>45797</v>
      </c>
      <c r="D1759" t="inlineStr">
        <is>
          <t>ÖREBRO LÄN</t>
        </is>
      </c>
      <c r="E1759" t="inlineStr">
        <is>
          <t>HÄLLEFORS</t>
        </is>
      </c>
      <c r="F1759" t="inlineStr">
        <is>
          <t>Bergvik skog väst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40356-2020</t>
        </is>
      </c>
      <c r="B1760" s="1" t="n">
        <v>44067</v>
      </c>
      <c r="C1760" s="1" t="n">
        <v>45797</v>
      </c>
      <c r="D1760" t="inlineStr">
        <is>
          <t>ÖREBRO LÄN</t>
        </is>
      </c>
      <c r="E1760" t="inlineStr">
        <is>
          <t>ÖREBRO</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40251-2020</t>
        </is>
      </c>
      <c r="B1761" s="1" t="n">
        <v>44068</v>
      </c>
      <c r="C1761" s="1" t="n">
        <v>45797</v>
      </c>
      <c r="D1761" t="inlineStr">
        <is>
          <t>ÖREBRO LÄN</t>
        </is>
      </c>
      <c r="E1761" t="inlineStr">
        <is>
          <t>LINDESBERG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40383-2020</t>
        </is>
      </c>
      <c r="B1762" s="1" t="n">
        <v>44068</v>
      </c>
      <c r="C1762" s="1" t="n">
        <v>45797</v>
      </c>
      <c r="D1762" t="inlineStr">
        <is>
          <t>ÖREBRO LÄN</t>
        </is>
      </c>
      <c r="E1762" t="inlineStr">
        <is>
          <t>DEGERFORS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40442-2020</t>
        </is>
      </c>
      <c r="B1763" s="1" t="n">
        <v>44069</v>
      </c>
      <c r="C1763" s="1" t="n">
        <v>45797</v>
      </c>
      <c r="D1763" t="inlineStr">
        <is>
          <t>ÖREBRO LÄN</t>
        </is>
      </c>
      <c r="E1763" t="inlineStr">
        <is>
          <t>ÖREBRO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40467-2020</t>
        </is>
      </c>
      <c r="B1764" s="1" t="n">
        <v>44069</v>
      </c>
      <c r="C1764" s="1" t="n">
        <v>45797</v>
      </c>
      <c r="D1764" t="inlineStr">
        <is>
          <t>ÖREBRO LÄN</t>
        </is>
      </c>
      <c r="E1764" t="inlineStr">
        <is>
          <t>HÄLLEFORS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40652-2020</t>
        </is>
      </c>
      <c r="B1765" s="1" t="n">
        <v>44069</v>
      </c>
      <c r="C1765" s="1" t="n">
        <v>45797</v>
      </c>
      <c r="D1765" t="inlineStr">
        <is>
          <t>ÖREBRO LÄN</t>
        </is>
      </c>
      <c r="E1765" t="inlineStr">
        <is>
          <t>ÖREBRO</t>
        </is>
      </c>
      <c r="F1765" t="inlineStr">
        <is>
          <t>Övriga Aktiebolag</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40586-2020</t>
        </is>
      </c>
      <c r="B1766" s="1" t="n">
        <v>44069</v>
      </c>
      <c r="C1766" s="1" t="n">
        <v>45797</v>
      </c>
      <c r="D1766" t="inlineStr">
        <is>
          <t>ÖREBRO LÄN</t>
        </is>
      </c>
      <c r="E1766" t="inlineStr">
        <is>
          <t>LINDESBERG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40655-2020</t>
        </is>
      </c>
      <c r="B1767" s="1" t="n">
        <v>44069</v>
      </c>
      <c r="C1767" s="1" t="n">
        <v>45797</v>
      </c>
      <c r="D1767" t="inlineStr">
        <is>
          <t>ÖREBRO LÄN</t>
        </is>
      </c>
      <c r="E1767" t="inlineStr">
        <is>
          <t>LINDESBERG</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40658-2020</t>
        </is>
      </c>
      <c r="B1768" s="1" t="n">
        <v>44069</v>
      </c>
      <c r="C1768" s="1" t="n">
        <v>45797</v>
      </c>
      <c r="D1768" t="inlineStr">
        <is>
          <t>ÖREBRO LÄN</t>
        </is>
      </c>
      <c r="E1768" t="inlineStr">
        <is>
          <t>LINDESBERG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41056-2020</t>
        </is>
      </c>
      <c r="B1769" s="1" t="n">
        <v>44069</v>
      </c>
      <c r="C1769" s="1" t="n">
        <v>45797</v>
      </c>
      <c r="D1769" t="inlineStr">
        <is>
          <t>ÖREBRO LÄN</t>
        </is>
      </c>
      <c r="E1769" t="inlineStr">
        <is>
          <t>DEGERFORS</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40654-2020</t>
        </is>
      </c>
      <c r="B1770" s="1" t="n">
        <v>44069</v>
      </c>
      <c r="C1770" s="1" t="n">
        <v>45797</v>
      </c>
      <c r="D1770" t="inlineStr">
        <is>
          <t>ÖREBRO LÄN</t>
        </is>
      </c>
      <c r="E1770" t="inlineStr">
        <is>
          <t>LINDESBERG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40712-2020</t>
        </is>
      </c>
      <c r="B1771" s="1" t="n">
        <v>44069</v>
      </c>
      <c r="C1771" s="1" t="n">
        <v>45797</v>
      </c>
      <c r="D1771" t="inlineStr">
        <is>
          <t>ÖREBRO LÄN</t>
        </is>
      </c>
      <c r="E1771" t="inlineStr">
        <is>
          <t>LINDESBERG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40810-2020</t>
        </is>
      </c>
      <c r="B1772" s="1" t="n">
        <v>44070</v>
      </c>
      <c r="C1772" s="1" t="n">
        <v>45797</v>
      </c>
      <c r="D1772" t="inlineStr">
        <is>
          <t>ÖREBRO LÄN</t>
        </is>
      </c>
      <c r="E1772" t="inlineStr">
        <is>
          <t>DEGERFORS</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40935-2020</t>
        </is>
      </c>
      <c r="B1773" s="1" t="n">
        <v>44070</v>
      </c>
      <c r="C1773" s="1" t="n">
        <v>45797</v>
      </c>
      <c r="D1773" t="inlineStr">
        <is>
          <t>ÖREBRO LÄN</t>
        </is>
      </c>
      <c r="E1773" t="inlineStr">
        <is>
          <t>HÄLLEFORS</t>
        </is>
      </c>
      <c r="F1773" t="inlineStr">
        <is>
          <t>Bergvik skog väst AB</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40883-2020</t>
        </is>
      </c>
      <c r="B1774" s="1" t="n">
        <v>44070</v>
      </c>
      <c r="C1774" s="1" t="n">
        <v>45797</v>
      </c>
      <c r="D1774" t="inlineStr">
        <is>
          <t>ÖREBRO LÄN</t>
        </is>
      </c>
      <c r="E1774" t="inlineStr">
        <is>
          <t>ASKERSUND</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41089-2020</t>
        </is>
      </c>
      <c r="B1775" s="1" t="n">
        <v>44071</v>
      </c>
      <c r="C1775" s="1" t="n">
        <v>45797</v>
      </c>
      <c r="D1775" t="inlineStr">
        <is>
          <t>ÖREBRO LÄN</t>
        </is>
      </c>
      <c r="E1775" t="inlineStr">
        <is>
          <t>NORA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41112-2020</t>
        </is>
      </c>
      <c r="B1776" s="1" t="n">
        <v>44071</v>
      </c>
      <c r="C1776" s="1" t="n">
        <v>45797</v>
      </c>
      <c r="D1776" t="inlineStr">
        <is>
          <t>ÖREBRO LÄN</t>
        </is>
      </c>
      <c r="E1776" t="inlineStr">
        <is>
          <t>LINDESBERG</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41179-2020</t>
        </is>
      </c>
      <c r="B1777" s="1" t="n">
        <v>44071</v>
      </c>
      <c r="C1777" s="1" t="n">
        <v>45797</v>
      </c>
      <c r="D1777" t="inlineStr">
        <is>
          <t>ÖREBRO LÄN</t>
        </is>
      </c>
      <c r="E1777" t="inlineStr">
        <is>
          <t>HALLSBERG</t>
        </is>
      </c>
      <c r="G1777" t="n">
        <v>21.1</v>
      </c>
      <c r="H1777" t="n">
        <v>0</v>
      </c>
      <c r="I1777" t="n">
        <v>0</v>
      </c>
      <c r="J1777" t="n">
        <v>0</v>
      </c>
      <c r="K1777" t="n">
        <v>0</v>
      </c>
      <c r="L1777" t="n">
        <v>0</v>
      </c>
      <c r="M1777" t="n">
        <v>0</v>
      </c>
      <c r="N1777" t="n">
        <v>0</v>
      </c>
      <c r="O1777" t="n">
        <v>0</v>
      </c>
      <c r="P1777" t="n">
        <v>0</v>
      </c>
      <c r="Q1777" t="n">
        <v>0</v>
      </c>
      <c r="R1777" s="2" t="inlineStr"/>
    </row>
    <row r="1778" ht="15" customHeight="1">
      <c r="A1778" t="inlineStr">
        <is>
          <t>A 41248-2020</t>
        </is>
      </c>
      <c r="B1778" s="1" t="n">
        <v>44071</v>
      </c>
      <c r="C1778" s="1" t="n">
        <v>45797</v>
      </c>
      <c r="D1778" t="inlineStr">
        <is>
          <t>ÖREBRO LÄN</t>
        </is>
      </c>
      <c r="E1778" t="inlineStr">
        <is>
          <t>ASKERSUND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41116-2020</t>
        </is>
      </c>
      <c r="B1779" s="1" t="n">
        <v>44071</v>
      </c>
      <c r="C1779" s="1" t="n">
        <v>45797</v>
      </c>
      <c r="D1779" t="inlineStr">
        <is>
          <t>ÖREBRO LÄN</t>
        </is>
      </c>
      <c r="E1779" t="inlineStr">
        <is>
          <t>ÖREBRO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41381-2020</t>
        </is>
      </c>
      <c r="B1780" s="1" t="n">
        <v>44072</v>
      </c>
      <c r="C1780" s="1" t="n">
        <v>45797</v>
      </c>
      <c r="D1780" t="inlineStr">
        <is>
          <t>ÖREBRO LÄN</t>
        </is>
      </c>
      <c r="E1780" t="inlineStr">
        <is>
          <t>LJUSNARSBERG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41396-2020</t>
        </is>
      </c>
      <c r="B1781" s="1" t="n">
        <v>44073</v>
      </c>
      <c r="C1781" s="1" t="n">
        <v>45797</v>
      </c>
      <c r="D1781" t="inlineStr">
        <is>
          <t>ÖREBRO LÄN</t>
        </is>
      </c>
      <c r="E1781" t="inlineStr">
        <is>
          <t>LINDESBERG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41422-2020</t>
        </is>
      </c>
      <c r="B1782" s="1" t="n">
        <v>44073</v>
      </c>
      <c r="C1782" s="1" t="n">
        <v>45797</v>
      </c>
      <c r="D1782" t="inlineStr">
        <is>
          <t>ÖREBRO LÄN</t>
        </is>
      </c>
      <c r="E1782" t="inlineStr">
        <is>
          <t>LAXÅ</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41996-2020</t>
        </is>
      </c>
      <c r="B1783" s="1" t="n">
        <v>44075</v>
      </c>
      <c r="C1783" s="1" t="n">
        <v>45797</v>
      </c>
      <c r="D1783" t="inlineStr">
        <is>
          <t>ÖREBRO LÄN</t>
        </is>
      </c>
      <c r="E1783" t="inlineStr">
        <is>
          <t>ASKERSUND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42001-2020</t>
        </is>
      </c>
      <c r="B1784" s="1" t="n">
        <v>44075</v>
      </c>
      <c r="C1784" s="1" t="n">
        <v>45797</v>
      </c>
      <c r="D1784" t="inlineStr">
        <is>
          <t>ÖREBRO LÄN</t>
        </is>
      </c>
      <c r="E1784" t="inlineStr">
        <is>
          <t>ASKERSUND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42074-2020</t>
        </is>
      </c>
      <c r="B1785" s="1" t="n">
        <v>44075</v>
      </c>
      <c r="C1785" s="1" t="n">
        <v>45797</v>
      </c>
      <c r="D1785" t="inlineStr">
        <is>
          <t>ÖREBRO LÄN</t>
        </is>
      </c>
      <c r="E1785" t="inlineStr">
        <is>
          <t>HALLSBERG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42231-2020</t>
        </is>
      </c>
      <c r="B1786" s="1" t="n">
        <v>44076</v>
      </c>
      <c r="C1786" s="1" t="n">
        <v>45797</v>
      </c>
      <c r="D1786" t="inlineStr">
        <is>
          <t>ÖREBRO LÄN</t>
        </is>
      </c>
      <c r="E1786" t="inlineStr">
        <is>
          <t>LINDESBERG</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42285-2020</t>
        </is>
      </c>
      <c r="B1787" s="1" t="n">
        <v>44076</v>
      </c>
      <c r="C1787" s="1" t="n">
        <v>45797</v>
      </c>
      <c r="D1787" t="inlineStr">
        <is>
          <t>ÖREBRO LÄN</t>
        </is>
      </c>
      <c r="E1787" t="inlineStr">
        <is>
          <t>ÖREBRO</t>
        </is>
      </c>
      <c r="F1787" t="inlineStr">
        <is>
          <t>Övriga Aktiebolag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42445-2020</t>
        </is>
      </c>
      <c r="B1788" s="1" t="n">
        <v>44076</v>
      </c>
      <c r="C1788" s="1" t="n">
        <v>45797</v>
      </c>
      <c r="D1788" t="inlineStr">
        <is>
          <t>ÖREBRO LÄN</t>
        </is>
      </c>
      <c r="E1788" t="inlineStr">
        <is>
          <t>KUMLA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43343-2020</t>
        </is>
      </c>
      <c r="B1789" s="1" t="n">
        <v>44076</v>
      </c>
      <c r="C1789" s="1" t="n">
        <v>45797</v>
      </c>
      <c r="D1789" t="inlineStr">
        <is>
          <t>ÖREBRO LÄN</t>
        </is>
      </c>
      <c r="E1789" t="inlineStr">
        <is>
          <t>LINDESBERG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42613-2020</t>
        </is>
      </c>
      <c r="B1790" s="1" t="n">
        <v>44077</v>
      </c>
      <c r="C1790" s="1" t="n">
        <v>45797</v>
      </c>
      <c r="D1790" t="inlineStr">
        <is>
          <t>ÖREBRO LÄN</t>
        </is>
      </c>
      <c r="E1790" t="inlineStr">
        <is>
          <t>HÄLLEFORS</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42646-2020</t>
        </is>
      </c>
      <c r="B1791" s="1" t="n">
        <v>44077</v>
      </c>
      <c r="C1791" s="1" t="n">
        <v>45797</v>
      </c>
      <c r="D1791" t="inlineStr">
        <is>
          <t>ÖREBRO LÄN</t>
        </is>
      </c>
      <c r="E1791" t="inlineStr">
        <is>
          <t>ASKERSUND</t>
        </is>
      </c>
      <c r="G1791" t="n">
        <v>13.6</v>
      </c>
      <c r="H1791" t="n">
        <v>0</v>
      </c>
      <c r="I1791" t="n">
        <v>0</v>
      </c>
      <c r="J1791" t="n">
        <v>0</v>
      </c>
      <c r="K1791" t="n">
        <v>0</v>
      </c>
      <c r="L1791" t="n">
        <v>0</v>
      </c>
      <c r="M1791" t="n">
        <v>0</v>
      </c>
      <c r="N1791" t="n">
        <v>0</v>
      </c>
      <c r="O1791" t="n">
        <v>0</v>
      </c>
      <c r="P1791" t="n">
        <v>0</v>
      </c>
      <c r="Q1791" t="n">
        <v>0</v>
      </c>
      <c r="R1791" s="2" t="inlineStr"/>
    </row>
    <row r="1792" ht="15" customHeight="1">
      <c r="A1792" t="inlineStr">
        <is>
          <t>A 42642-2020</t>
        </is>
      </c>
      <c r="B1792" s="1" t="n">
        <v>44077</v>
      </c>
      <c r="C1792" s="1" t="n">
        <v>45797</v>
      </c>
      <c r="D1792" t="inlineStr">
        <is>
          <t>ÖREBRO LÄN</t>
        </is>
      </c>
      <c r="E1792" t="inlineStr">
        <is>
          <t>ASKERSUND</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42865-2020</t>
        </is>
      </c>
      <c r="B1793" s="1" t="n">
        <v>44078</v>
      </c>
      <c r="C1793" s="1" t="n">
        <v>45797</v>
      </c>
      <c r="D1793" t="inlineStr">
        <is>
          <t>ÖREBRO LÄN</t>
        </is>
      </c>
      <c r="E1793" t="inlineStr">
        <is>
          <t>ÖREBRO</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43007-2020</t>
        </is>
      </c>
      <c r="B1794" s="1" t="n">
        <v>44078</v>
      </c>
      <c r="C1794" s="1" t="n">
        <v>45797</v>
      </c>
      <c r="D1794" t="inlineStr">
        <is>
          <t>ÖREBRO LÄN</t>
        </is>
      </c>
      <c r="E1794" t="inlineStr">
        <is>
          <t>HALLSBERG</t>
        </is>
      </c>
      <c r="F1794" t="inlineStr">
        <is>
          <t>Kommuner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42903-2020</t>
        </is>
      </c>
      <c r="B1795" s="1" t="n">
        <v>44078</v>
      </c>
      <c r="C1795" s="1" t="n">
        <v>45797</v>
      </c>
      <c r="D1795" t="inlineStr">
        <is>
          <t>ÖREBRO LÄN</t>
        </is>
      </c>
      <c r="E1795" t="inlineStr">
        <is>
          <t>HALLSBERG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42957-2020</t>
        </is>
      </c>
      <c r="B1796" s="1" t="n">
        <v>44078</v>
      </c>
      <c r="C1796" s="1" t="n">
        <v>45797</v>
      </c>
      <c r="D1796" t="inlineStr">
        <is>
          <t>ÖREBRO LÄN</t>
        </is>
      </c>
      <c r="E1796" t="inlineStr">
        <is>
          <t>ÖREBRO</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43126-2020</t>
        </is>
      </c>
      <c r="B1797" s="1" t="n">
        <v>44079</v>
      </c>
      <c r="C1797" s="1" t="n">
        <v>45797</v>
      </c>
      <c r="D1797" t="inlineStr">
        <is>
          <t>ÖREBRO LÄN</t>
        </is>
      </c>
      <c r="E1797" t="inlineStr">
        <is>
          <t>NORA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43688-2020</t>
        </is>
      </c>
      <c r="B1798" s="1" t="n">
        <v>44082</v>
      </c>
      <c r="C1798" s="1" t="n">
        <v>45797</v>
      </c>
      <c r="D1798" t="inlineStr">
        <is>
          <t>ÖREBRO LÄN</t>
        </is>
      </c>
      <c r="E1798" t="inlineStr">
        <is>
          <t>LAXÅ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43683-2020</t>
        </is>
      </c>
      <c r="B1799" s="1" t="n">
        <v>44082</v>
      </c>
      <c r="C1799" s="1" t="n">
        <v>45797</v>
      </c>
      <c r="D1799" t="inlineStr">
        <is>
          <t>ÖREBRO LÄN</t>
        </is>
      </c>
      <c r="E1799" t="inlineStr">
        <is>
          <t>LAXÅ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43906-2020</t>
        </is>
      </c>
      <c r="B1800" s="1" t="n">
        <v>44083</v>
      </c>
      <c r="C1800" s="1" t="n">
        <v>45797</v>
      </c>
      <c r="D1800" t="inlineStr">
        <is>
          <t>ÖREBRO LÄN</t>
        </is>
      </c>
      <c r="E1800" t="inlineStr">
        <is>
          <t>LINDESBERG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44159-2020</t>
        </is>
      </c>
      <c r="B1801" s="1" t="n">
        <v>44083</v>
      </c>
      <c r="C1801" s="1" t="n">
        <v>45797</v>
      </c>
      <c r="D1801" t="inlineStr">
        <is>
          <t>ÖREBRO LÄN</t>
        </is>
      </c>
      <c r="E1801" t="inlineStr">
        <is>
          <t>ASKERSUND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44924-2020</t>
        </is>
      </c>
      <c r="B1802" s="1" t="n">
        <v>44083</v>
      </c>
      <c r="C1802" s="1" t="n">
        <v>45797</v>
      </c>
      <c r="D1802" t="inlineStr">
        <is>
          <t>ÖREBRO LÄN</t>
        </is>
      </c>
      <c r="E1802" t="inlineStr">
        <is>
          <t>HÄLLEFORS</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44299-2020</t>
        </is>
      </c>
      <c r="B1803" s="1" t="n">
        <v>44084</v>
      </c>
      <c r="C1803" s="1" t="n">
        <v>45797</v>
      </c>
      <c r="D1803" t="inlineStr">
        <is>
          <t>ÖREBRO LÄN</t>
        </is>
      </c>
      <c r="E1803" t="inlineStr">
        <is>
          <t>ASKERSUND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44332-2020</t>
        </is>
      </c>
      <c r="B1804" s="1" t="n">
        <v>44084</v>
      </c>
      <c r="C1804" s="1" t="n">
        <v>45797</v>
      </c>
      <c r="D1804" t="inlineStr">
        <is>
          <t>ÖREBRO LÄN</t>
        </is>
      </c>
      <c r="E1804" t="inlineStr">
        <is>
          <t>ASKERSUND</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44340-2020</t>
        </is>
      </c>
      <c r="B1805" s="1" t="n">
        <v>44084</v>
      </c>
      <c r="C1805" s="1" t="n">
        <v>45797</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44336-2020</t>
        </is>
      </c>
      <c r="B1806" s="1" t="n">
        <v>44084</v>
      </c>
      <c r="C1806" s="1" t="n">
        <v>45797</v>
      </c>
      <c r="D1806" t="inlineStr">
        <is>
          <t>ÖREBRO LÄN</t>
        </is>
      </c>
      <c r="E1806" t="inlineStr">
        <is>
          <t>ASKERSUND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44331-2020</t>
        </is>
      </c>
      <c r="B1807" s="1" t="n">
        <v>44084</v>
      </c>
      <c r="C1807" s="1" t="n">
        <v>45797</v>
      </c>
      <c r="D1807" t="inlineStr">
        <is>
          <t>ÖREBRO LÄN</t>
        </is>
      </c>
      <c r="E1807" t="inlineStr">
        <is>
          <t>ÖREBRO</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45146-2020</t>
        </is>
      </c>
      <c r="B1808" s="1" t="n">
        <v>44084</v>
      </c>
      <c r="C1808" s="1" t="n">
        <v>45797</v>
      </c>
      <c r="D1808" t="inlineStr">
        <is>
          <t>ÖREBRO LÄN</t>
        </is>
      </c>
      <c r="E1808" t="inlineStr">
        <is>
          <t>KARLSKOGA</t>
        </is>
      </c>
      <c r="F1808" t="inlineStr">
        <is>
          <t>Övriga Aktiebolag</t>
        </is>
      </c>
      <c r="G1808" t="n">
        <v>18.7</v>
      </c>
      <c r="H1808" t="n">
        <v>0</v>
      </c>
      <c r="I1808" t="n">
        <v>0</v>
      </c>
      <c r="J1808" t="n">
        <v>0</v>
      </c>
      <c r="K1808" t="n">
        <v>0</v>
      </c>
      <c r="L1808" t="n">
        <v>0</v>
      </c>
      <c r="M1808" t="n">
        <v>0</v>
      </c>
      <c r="N1808" t="n">
        <v>0</v>
      </c>
      <c r="O1808" t="n">
        <v>0</v>
      </c>
      <c r="P1808" t="n">
        <v>0</v>
      </c>
      <c r="Q1808" t="n">
        <v>0</v>
      </c>
      <c r="R1808" s="2" t="inlineStr"/>
    </row>
    <row r="1809" ht="15" customHeight="1">
      <c r="A1809" t="inlineStr">
        <is>
          <t>A 44562-2020</t>
        </is>
      </c>
      <c r="B1809" s="1" t="n">
        <v>44085</v>
      </c>
      <c r="C1809" s="1" t="n">
        <v>45797</v>
      </c>
      <c r="D1809" t="inlineStr">
        <is>
          <t>ÖREBRO LÄN</t>
        </is>
      </c>
      <c r="E1809" t="inlineStr">
        <is>
          <t>LINDESBERG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44556-2020</t>
        </is>
      </c>
      <c r="B1810" s="1" t="n">
        <v>44085</v>
      </c>
      <c r="C1810" s="1" t="n">
        <v>45797</v>
      </c>
      <c r="D1810" t="inlineStr">
        <is>
          <t>ÖREBRO LÄN</t>
        </is>
      </c>
      <c r="E1810" t="inlineStr">
        <is>
          <t>HÄLLEFORS</t>
        </is>
      </c>
      <c r="F1810" t="inlineStr">
        <is>
          <t>Bergvik skog väst AB</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44617-2020</t>
        </is>
      </c>
      <c r="B1811" s="1" t="n">
        <v>44085</v>
      </c>
      <c r="C1811" s="1" t="n">
        <v>45797</v>
      </c>
      <c r="D1811" t="inlineStr">
        <is>
          <t>ÖREBRO LÄN</t>
        </is>
      </c>
      <c r="E1811" t="inlineStr">
        <is>
          <t>KUMLA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44684-2020</t>
        </is>
      </c>
      <c r="B1812" s="1" t="n">
        <v>44085</v>
      </c>
      <c r="C1812" s="1" t="n">
        <v>45797</v>
      </c>
      <c r="D1812" t="inlineStr">
        <is>
          <t>ÖREBRO LÄN</t>
        </is>
      </c>
      <c r="E1812" t="inlineStr">
        <is>
          <t>LINDESBERG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44514-2020</t>
        </is>
      </c>
      <c r="B1813" s="1" t="n">
        <v>44085</v>
      </c>
      <c r="C1813" s="1" t="n">
        <v>45797</v>
      </c>
      <c r="D1813" t="inlineStr">
        <is>
          <t>ÖREBRO LÄN</t>
        </is>
      </c>
      <c r="E1813" t="inlineStr">
        <is>
          <t>ÖREBRO</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44799-2020</t>
        </is>
      </c>
      <c r="B1814" s="1" t="n">
        <v>44085</v>
      </c>
      <c r="C1814" s="1" t="n">
        <v>45797</v>
      </c>
      <c r="D1814" t="inlineStr">
        <is>
          <t>ÖREBRO LÄN</t>
        </is>
      </c>
      <c r="E1814" t="inlineStr">
        <is>
          <t>KARLSKOGA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44850-2020</t>
        </is>
      </c>
      <c r="B1815" s="1" t="n">
        <v>44087</v>
      </c>
      <c r="C1815" s="1" t="n">
        <v>45797</v>
      </c>
      <c r="D1815" t="inlineStr">
        <is>
          <t>ÖREBRO LÄN</t>
        </is>
      </c>
      <c r="E1815" t="inlineStr">
        <is>
          <t>ASKERSUND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44966-2020</t>
        </is>
      </c>
      <c r="B1816" s="1" t="n">
        <v>44088</v>
      </c>
      <c r="C1816" s="1" t="n">
        <v>45797</v>
      </c>
      <c r="D1816" t="inlineStr">
        <is>
          <t>ÖREBRO LÄN</t>
        </is>
      </c>
      <c r="E1816" t="inlineStr">
        <is>
          <t>ÖREBRO</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44986-2020</t>
        </is>
      </c>
      <c r="B1817" s="1" t="n">
        <v>44088</v>
      </c>
      <c r="C1817" s="1" t="n">
        <v>45797</v>
      </c>
      <c r="D1817" t="inlineStr">
        <is>
          <t>ÖREBRO LÄN</t>
        </is>
      </c>
      <c r="E1817" t="inlineStr">
        <is>
          <t>LINDESBERG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45029-2020</t>
        </is>
      </c>
      <c r="B1818" s="1" t="n">
        <v>44088</v>
      </c>
      <c r="C1818" s="1" t="n">
        <v>45797</v>
      </c>
      <c r="D1818" t="inlineStr">
        <is>
          <t>ÖREBRO LÄN</t>
        </is>
      </c>
      <c r="E1818" t="inlineStr">
        <is>
          <t>ÖREBRO</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45038-2020</t>
        </is>
      </c>
      <c r="B1819" s="1" t="n">
        <v>44088</v>
      </c>
      <c r="C1819" s="1" t="n">
        <v>45797</v>
      </c>
      <c r="D1819" t="inlineStr">
        <is>
          <t>ÖREBRO LÄN</t>
        </is>
      </c>
      <c r="E1819" t="inlineStr">
        <is>
          <t>NORA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45156-2020</t>
        </is>
      </c>
      <c r="B1820" s="1" t="n">
        <v>44088</v>
      </c>
      <c r="C1820" s="1" t="n">
        <v>45797</v>
      </c>
      <c r="D1820" t="inlineStr">
        <is>
          <t>ÖREBRO LÄN</t>
        </is>
      </c>
      <c r="E1820" t="inlineStr">
        <is>
          <t>LAXÅ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46001-2020</t>
        </is>
      </c>
      <c r="B1821" s="1" t="n">
        <v>44088</v>
      </c>
      <c r="C1821" s="1" t="n">
        <v>45797</v>
      </c>
      <c r="D1821" t="inlineStr">
        <is>
          <t>ÖREBRO LÄN</t>
        </is>
      </c>
      <c r="E1821" t="inlineStr">
        <is>
          <t>ASKERSUND</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46025-2020</t>
        </is>
      </c>
      <c r="B1822" s="1" t="n">
        <v>44088</v>
      </c>
      <c r="C1822" s="1" t="n">
        <v>45797</v>
      </c>
      <c r="D1822" t="inlineStr">
        <is>
          <t>ÖREBRO LÄN</t>
        </is>
      </c>
      <c r="E1822" t="inlineStr">
        <is>
          <t>HALLSBERG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46008-2020</t>
        </is>
      </c>
      <c r="B1823" s="1" t="n">
        <v>44088</v>
      </c>
      <c r="C1823" s="1" t="n">
        <v>45797</v>
      </c>
      <c r="D1823" t="inlineStr">
        <is>
          <t>ÖREBRO LÄN</t>
        </is>
      </c>
      <c r="E1823" t="inlineStr">
        <is>
          <t>LINDESBERG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46053-2020</t>
        </is>
      </c>
      <c r="B1824" s="1" t="n">
        <v>44088</v>
      </c>
      <c r="C1824" s="1" t="n">
        <v>45797</v>
      </c>
      <c r="D1824" t="inlineStr">
        <is>
          <t>ÖREBRO LÄN</t>
        </is>
      </c>
      <c r="E1824" t="inlineStr">
        <is>
          <t>ÖREBRO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46012-2020</t>
        </is>
      </c>
      <c r="B1825" s="1" t="n">
        <v>44088</v>
      </c>
      <c r="C1825" s="1" t="n">
        <v>45797</v>
      </c>
      <c r="D1825" t="inlineStr">
        <is>
          <t>ÖREBRO LÄN</t>
        </is>
      </c>
      <c r="E1825" t="inlineStr">
        <is>
          <t>ASKERSUND</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45199-2020</t>
        </is>
      </c>
      <c r="B1826" s="1" t="n">
        <v>44088</v>
      </c>
      <c r="C1826" s="1" t="n">
        <v>45797</v>
      </c>
      <c r="D1826" t="inlineStr">
        <is>
          <t>ÖREBRO LÄN</t>
        </is>
      </c>
      <c r="E1826" t="inlineStr">
        <is>
          <t>LINDESBERG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45459-2020</t>
        </is>
      </c>
      <c r="B1827" s="1" t="n">
        <v>44089</v>
      </c>
      <c r="C1827" s="1" t="n">
        <v>45797</v>
      </c>
      <c r="D1827" t="inlineStr">
        <is>
          <t>ÖREBRO LÄN</t>
        </is>
      </c>
      <c r="E1827" t="inlineStr">
        <is>
          <t>HÄLLEFORS</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45563-2020</t>
        </is>
      </c>
      <c r="B1828" s="1" t="n">
        <v>44090</v>
      </c>
      <c r="C1828" s="1" t="n">
        <v>45797</v>
      </c>
      <c r="D1828" t="inlineStr">
        <is>
          <t>ÖREBRO LÄN</t>
        </is>
      </c>
      <c r="E1828" t="inlineStr">
        <is>
          <t>KARLSKOGA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45570-2020</t>
        </is>
      </c>
      <c r="B1829" s="1" t="n">
        <v>44090</v>
      </c>
      <c r="C1829" s="1" t="n">
        <v>45797</v>
      </c>
      <c r="D1829" t="inlineStr">
        <is>
          <t>ÖREBRO LÄN</t>
        </is>
      </c>
      <c r="E1829" t="inlineStr">
        <is>
          <t>KARLSKOGA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46092-2020</t>
        </is>
      </c>
      <c r="B1830" s="1" t="n">
        <v>44091</v>
      </c>
      <c r="C1830" s="1" t="n">
        <v>45797</v>
      </c>
      <c r="D1830" t="inlineStr">
        <is>
          <t>ÖREBRO LÄN</t>
        </is>
      </c>
      <c r="E1830" t="inlineStr">
        <is>
          <t>ÖREBRO</t>
        </is>
      </c>
      <c r="F1830" t="inlineStr">
        <is>
          <t>Övriga Aktiebolag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45953-2020</t>
        </is>
      </c>
      <c r="B1831" s="1" t="n">
        <v>44091</v>
      </c>
      <c r="C1831" s="1" t="n">
        <v>45797</v>
      </c>
      <c r="D1831" t="inlineStr">
        <is>
          <t>ÖREBRO LÄN</t>
        </is>
      </c>
      <c r="E1831" t="inlineStr">
        <is>
          <t>LINDESBERG</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46117-2020</t>
        </is>
      </c>
      <c r="B1832" s="1" t="n">
        <v>44091</v>
      </c>
      <c r="C1832" s="1" t="n">
        <v>45797</v>
      </c>
      <c r="D1832" t="inlineStr">
        <is>
          <t>ÖREBRO LÄN</t>
        </is>
      </c>
      <c r="E1832" t="inlineStr">
        <is>
          <t>LINDESBERG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46259-2020</t>
        </is>
      </c>
      <c r="B1833" s="1" t="n">
        <v>44092</v>
      </c>
      <c r="C1833" s="1" t="n">
        <v>45797</v>
      </c>
      <c r="D1833" t="inlineStr">
        <is>
          <t>ÖREBRO LÄN</t>
        </is>
      </c>
      <c r="E1833" t="inlineStr">
        <is>
          <t>ASKERSUND</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46305-2020</t>
        </is>
      </c>
      <c r="B1834" s="1" t="n">
        <v>44092</v>
      </c>
      <c r="C1834" s="1" t="n">
        <v>45797</v>
      </c>
      <c r="D1834" t="inlineStr">
        <is>
          <t>ÖREBRO LÄN</t>
        </is>
      </c>
      <c r="E1834" t="inlineStr">
        <is>
          <t>HALLSBERG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46649-2020</t>
        </is>
      </c>
      <c r="B1835" s="1" t="n">
        <v>44095</v>
      </c>
      <c r="C1835" s="1" t="n">
        <v>45797</v>
      </c>
      <c r="D1835" t="inlineStr">
        <is>
          <t>ÖREBRO LÄN</t>
        </is>
      </c>
      <c r="E1835" t="inlineStr">
        <is>
          <t>ASKERSUND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46607-2020</t>
        </is>
      </c>
      <c r="B1836" s="1" t="n">
        <v>44095</v>
      </c>
      <c r="C1836" s="1" t="n">
        <v>45797</v>
      </c>
      <c r="D1836" t="inlineStr">
        <is>
          <t>ÖREBRO LÄN</t>
        </is>
      </c>
      <c r="E1836" t="inlineStr">
        <is>
          <t>ÖREBRO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47993-2020</t>
        </is>
      </c>
      <c r="B1837" s="1" t="n">
        <v>44095</v>
      </c>
      <c r="C1837" s="1" t="n">
        <v>45797</v>
      </c>
      <c r="D1837" t="inlineStr">
        <is>
          <t>ÖREBRO LÄN</t>
        </is>
      </c>
      <c r="E1837" t="inlineStr">
        <is>
          <t>ÖREBRO</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47517-2020</t>
        </is>
      </c>
      <c r="B1838" s="1" t="n">
        <v>44095</v>
      </c>
      <c r="C1838" s="1" t="n">
        <v>45797</v>
      </c>
      <c r="D1838" t="inlineStr">
        <is>
          <t>ÖREBRO LÄN</t>
        </is>
      </c>
      <c r="E1838" t="inlineStr">
        <is>
          <t>ÖREBRO</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47239-2020</t>
        </is>
      </c>
      <c r="B1839" s="1" t="n">
        <v>44097</v>
      </c>
      <c r="C1839" s="1" t="n">
        <v>45797</v>
      </c>
      <c r="D1839" t="inlineStr">
        <is>
          <t>ÖREBRO LÄN</t>
        </is>
      </c>
      <c r="E1839" t="inlineStr">
        <is>
          <t>ASKERSUND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47322-2020</t>
        </is>
      </c>
      <c r="B1840" s="1" t="n">
        <v>44097</v>
      </c>
      <c r="C1840" s="1" t="n">
        <v>45797</v>
      </c>
      <c r="D1840" t="inlineStr">
        <is>
          <t>ÖREBRO LÄN</t>
        </is>
      </c>
      <c r="E1840" t="inlineStr">
        <is>
          <t>HALLSBERG</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47224-2020</t>
        </is>
      </c>
      <c r="B1841" s="1" t="n">
        <v>44097</v>
      </c>
      <c r="C1841" s="1" t="n">
        <v>45797</v>
      </c>
      <c r="D1841" t="inlineStr">
        <is>
          <t>ÖREBRO LÄN</t>
        </is>
      </c>
      <c r="E1841" t="inlineStr">
        <is>
          <t>ASKERSUND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48373-2020</t>
        </is>
      </c>
      <c r="B1842" s="1" t="n">
        <v>44097</v>
      </c>
      <c r="C1842" s="1" t="n">
        <v>45797</v>
      </c>
      <c r="D1842" t="inlineStr">
        <is>
          <t>ÖREBRO LÄN</t>
        </is>
      </c>
      <c r="E1842" t="inlineStr">
        <is>
          <t>KARLSKOGA</t>
        </is>
      </c>
      <c r="F1842" t="inlineStr">
        <is>
          <t>Kommuner</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47570-2020</t>
        </is>
      </c>
      <c r="B1843" s="1" t="n">
        <v>44098</v>
      </c>
      <c r="C1843" s="1" t="n">
        <v>45797</v>
      </c>
      <c r="D1843" t="inlineStr">
        <is>
          <t>ÖREBRO LÄN</t>
        </is>
      </c>
      <c r="E1843" t="inlineStr">
        <is>
          <t>LINDESBERG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47609-2020</t>
        </is>
      </c>
      <c r="B1844" s="1" t="n">
        <v>44098</v>
      </c>
      <c r="C1844" s="1" t="n">
        <v>45797</v>
      </c>
      <c r="D1844" t="inlineStr">
        <is>
          <t>ÖREBRO LÄN</t>
        </is>
      </c>
      <c r="E1844" t="inlineStr">
        <is>
          <t>HÄLLEFORS</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47702-2020</t>
        </is>
      </c>
      <c r="B1845" s="1" t="n">
        <v>44098</v>
      </c>
      <c r="C1845" s="1" t="n">
        <v>45797</v>
      </c>
      <c r="D1845" t="inlineStr">
        <is>
          <t>ÖREBRO LÄN</t>
        </is>
      </c>
      <c r="E1845" t="inlineStr">
        <is>
          <t>HÄLLEFORS</t>
        </is>
      </c>
      <c r="F1845" t="inlineStr">
        <is>
          <t>Bergvik skog väst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47614-2020</t>
        </is>
      </c>
      <c r="B1846" s="1" t="n">
        <v>44098</v>
      </c>
      <c r="C1846" s="1" t="n">
        <v>45797</v>
      </c>
      <c r="D1846" t="inlineStr">
        <is>
          <t>ÖREBRO LÄN</t>
        </is>
      </c>
      <c r="E1846" t="inlineStr">
        <is>
          <t>HÄLLEFORS</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47731-2020</t>
        </is>
      </c>
      <c r="B1847" s="1" t="n">
        <v>44098</v>
      </c>
      <c r="C1847" s="1" t="n">
        <v>45797</v>
      </c>
      <c r="D1847" t="inlineStr">
        <is>
          <t>ÖREBRO LÄN</t>
        </is>
      </c>
      <c r="E1847" t="inlineStr">
        <is>
          <t>HÄLLEFORS</t>
        </is>
      </c>
      <c r="F1847" t="inlineStr">
        <is>
          <t>Bergvik skog väst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47913-2020</t>
        </is>
      </c>
      <c r="B1848" s="1" t="n">
        <v>44099</v>
      </c>
      <c r="C1848" s="1" t="n">
        <v>45797</v>
      </c>
      <c r="D1848" t="inlineStr">
        <is>
          <t>ÖREBRO LÄN</t>
        </is>
      </c>
      <c r="E1848" t="inlineStr">
        <is>
          <t>NORA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47926-2020</t>
        </is>
      </c>
      <c r="B1849" s="1" t="n">
        <v>44099</v>
      </c>
      <c r="C1849" s="1" t="n">
        <v>45797</v>
      </c>
      <c r="D1849" t="inlineStr">
        <is>
          <t>ÖREBRO LÄN</t>
        </is>
      </c>
      <c r="E1849" t="inlineStr">
        <is>
          <t>LAXÅ</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48725-2020</t>
        </is>
      </c>
      <c r="B1850" s="1" t="n">
        <v>44099</v>
      </c>
      <c r="C1850" s="1" t="n">
        <v>45797</v>
      </c>
      <c r="D1850" t="inlineStr">
        <is>
          <t>ÖREBRO LÄN</t>
        </is>
      </c>
      <c r="E1850" t="inlineStr">
        <is>
          <t>HALLSBERG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48109-2020</t>
        </is>
      </c>
      <c r="B1851" s="1" t="n">
        <v>44101</v>
      </c>
      <c r="C1851" s="1" t="n">
        <v>45797</v>
      </c>
      <c r="D1851" t="inlineStr">
        <is>
          <t>ÖREBRO LÄN</t>
        </is>
      </c>
      <c r="E1851" t="inlineStr">
        <is>
          <t>ÖREBRO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48127-2020</t>
        </is>
      </c>
      <c r="B1852" s="1" t="n">
        <v>44102</v>
      </c>
      <c r="C1852" s="1" t="n">
        <v>45797</v>
      </c>
      <c r="D1852" t="inlineStr">
        <is>
          <t>ÖREBRO LÄN</t>
        </is>
      </c>
      <c r="E1852" t="inlineStr">
        <is>
          <t>HÄLLEFORS</t>
        </is>
      </c>
      <c r="F1852" t="inlineStr">
        <is>
          <t>Bergvik skog väst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48197-2020</t>
        </is>
      </c>
      <c r="B1853" s="1" t="n">
        <v>44102</v>
      </c>
      <c r="C1853" s="1" t="n">
        <v>45797</v>
      </c>
      <c r="D1853" t="inlineStr">
        <is>
          <t>ÖREBRO LÄN</t>
        </is>
      </c>
      <c r="E1853" t="inlineStr">
        <is>
          <t>DEGERFORS</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48317-2020</t>
        </is>
      </c>
      <c r="B1854" s="1" t="n">
        <v>44102</v>
      </c>
      <c r="C1854" s="1" t="n">
        <v>45797</v>
      </c>
      <c r="D1854" t="inlineStr">
        <is>
          <t>ÖREBRO LÄN</t>
        </is>
      </c>
      <c r="E1854" t="inlineStr">
        <is>
          <t>ASKERSUND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48123-2020</t>
        </is>
      </c>
      <c r="B1855" s="1" t="n">
        <v>44102</v>
      </c>
      <c r="C1855" s="1" t="n">
        <v>45797</v>
      </c>
      <c r="D1855" t="inlineStr">
        <is>
          <t>ÖREBRO LÄN</t>
        </is>
      </c>
      <c r="E1855" t="inlineStr">
        <is>
          <t>LAXÅ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48352-2020</t>
        </is>
      </c>
      <c r="B1856" s="1" t="n">
        <v>44102</v>
      </c>
      <c r="C1856" s="1" t="n">
        <v>45797</v>
      </c>
      <c r="D1856" t="inlineStr">
        <is>
          <t>ÖREBRO LÄN</t>
        </is>
      </c>
      <c r="E1856" t="inlineStr">
        <is>
          <t>ASKERSUND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49047-2020</t>
        </is>
      </c>
      <c r="B1857" s="1" t="n">
        <v>44102</v>
      </c>
      <c r="C1857" s="1" t="n">
        <v>45797</v>
      </c>
      <c r="D1857" t="inlineStr">
        <is>
          <t>ÖREBRO LÄN</t>
        </is>
      </c>
      <c r="E1857" t="inlineStr">
        <is>
          <t>LINDESBERG</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48316-2020</t>
        </is>
      </c>
      <c r="B1858" s="1" t="n">
        <v>44102</v>
      </c>
      <c r="C1858" s="1" t="n">
        <v>45797</v>
      </c>
      <c r="D1858" t="inlineStr">
        <is>
          <t>ÖREBRO LÄN</t>
        </is>
      </c>
      <c r="E1858" t="inlineStr">
        <is>
          <t>HÄLLEFORS</t>
        </is>
      </c>
      <c r="F1858" t="inlineStr">
        <is>
          <t>Bergvik skog väst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49054-2020</t>
        </is>
      </c>
      <c r="B1859" s="1" t="n">
        <v>44102</v>
      </c>
      <c r="C1859" s="1" t="n">
        <v>45797</v>
      </c>
      <c r="D1859" t="inlineStr">
        <is>
          <t>ÖREBRO LÄN</t>
        </is>
      </c>
      <c r="E1859" t="inlineStr">
        <is>
          <t>LINDESBERG</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48572-2020</t>
        </is>
      </c>
      <c r="B1860" s="1" t="n">
        <v>44103</v>
      </c>
      <c r="C1860" s="1" t="n">
        <v>45797</v>
      </c>
      <c r="D1860" t="inlineStr">
        <is>
          <t>ÖREBRO LÄN</t>
        </is>
      </c>
      <c r="E1860" t="inlineStr">
        <is>
          <t>LAXÅ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48919-2020</t>
        </is>
      </c>
      <c r="B1861" s="1" t="n">
        <v>44104</v>
      </c>
      <c r="C1861" s="1" t="n">
        <v>45797</v>
      </c>
      <c r="D1861" t="inlineStr">
        <is>
          <t>ÖREBRO LÄN</t>
        </is>
      </c>
      <c r="E1861" t="inlineStr">
        <is>
          <t>LINDESBERG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48889-2020</t>
        </is>
      </c>
      <c r="B1862" s="1" t="n">
        <v>44104</v>
      </c>
      <c r="C1862" s="1" t="n">
        <v>45797</v>
      </c>
      <c r="D1862" t="inlineStr">
        <is>
          <t>ÖREBRO LÄN</t>
        </is>
      </c>
      <c r="E1862" t="inlineStr">
        <is>
          <t>ÖREBRO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48878-2020</t>
        </is>
      </c>
      <c r="B1863" s="1" t="n">
        <v>44104</v>
      </c>
      <c r="C1863" s="1" t="n">
        <v>45797</v>
      </c>
      <c r="D1863" t="inlineStr">
        <is>
          <t>ÖREBRO LÄN</t>
        </is>
      </c>
      <c r="E1863" t="inlineStr">
        <is>
          <t>ÖREBRO</t>
        </is>
      </c>
      <c r="G1863" t="n">
        <v>12.7</v>
      </c>
      <c r="H1863" t="n">
        <v>0</v>
      </c>
      <c r="I1863" t="n">
        <v>0</v>
      </c>
      <c r="J1863" t="n">
        <v>0</v>
      </c>
      <c r="K1863" t="n">
        <v>0</v>
      </c>
      <c r="L1863" t="n">
        <v>0</v>
      </c>
      <c r="M1863" t="n">
        <v>0</v>
      </c>
      <c r="N1863" t="n">
        <v>0</v>
      </c>
      <c r="O1863" t="n">
        <v>0</v>
      </c>
      <c r="P1863" t="n">
        <v>0</v>
      </c>
      <c r="Q1863" t="n">
        <v>0</v>
      </c>
      <c r="R1863" s="2" t="inlineStr"/>
    </row>
    <row r="1864" ht="15" customHeight="1">
      <c r="A1864" t="inlineStr">
        <is>
          <t>A 50494-2020</t>
        </is>
      </c>
      <c r="B1864" s="1" t="n">
        <v>44104</v>
      </c>
      <c r="C1864" s="1" t="n">
        <v>45797</v>
      </c>
      <c r="D1864" t="inlineStr">
        <is>
          <t>ÖREBRO LÄN</t>
        </is>
      </c>
      <c r="E1864" t="inlineStr">
        <is>
          <t>ASKERSUND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49281-2020</t>
        </is>
      </c>
      <c r="B1865" s="1" t="n">
        <v>44105</v>
      </c>
      <c r="C1865" s="1" t="n">
        <v>45797</v>
      </c>
      <c r="D1865" t="inlineStr">
        <is>
          <t>ÖREBRO LÄN</t>
        </is>
      </c>
      <c r="E1865" t="inlineStr">
        <is>
          <t>ASKERSUND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49640-2020</t>
        </is>
      </c>
      <c r="B1866" s="1" t="n">
        <v>44106</v>
      </c>
      <c r="C1866" s="1" t="n">
        <v>45797</v>
      </c>
      <c r="D1866" t="inlineStr">
        <is>
          <t>ÖREBRO LÄN</t>
        </is>
      </c>
      <c r="E1866" t="inlineStr">
        <is>
          <t>HÄLLEFORS</t>
        </is>
      </c>
      <c r="F1866" t="inlineStr">
        <is>
          <t>Bergvik skog väst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49719-2020</t>
        </is>
      </c>
      <c r="B1867" s="1" t="n">
        <v>44106</v>
      </c>
      <c r="C1867" s="1" t="n">
        <v>45797</v>
      </c>
      <c r="D1867" t="inlineStr">
        <is>
          <t>ÖREBRO LÄN</t>
        </is>
      </c>
      <c r="E1867" t="inlineStr">
        <is>
          <t>HÄLLEFORS</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49732-2020</t>
        </is>
      </c>
      <c r="B1868" s="1" t="n">
        <v>44106</v>
      </c>
      <c r="C1868" s="1" t="n">
        <v>45797</v>
      </c>
      <c r="D1868" t="inlineStr">
        <is>
          <t>ÖREBRO LÄN</t>
        </is>
      </c>
      <c r="E1868" t="inlineStr">
        <is>
          <t>NORA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49781-2020</t>
        </is>
      </c>
      <c r="B1869" s="1" t="n">
        <v>44106</v>
      </c>
      <c r="C1869" s="1" t="n">
        <v>45797</v>
      </c>
      <c r="D1869" t="inlineStr">
        <is>
          <t>ÖREBRO LÄN</t>
        </is>
      </c>
      <c r="E1869" t="inlineStr">
        <is>
          <t>NORA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49642-2020</t>
        </is>
      </c>
      <c r="B1870" s="1" t="n">
        <v>44106</v>
      </c>
      <c r="C1870" s="1" t="n">
        <v>45797</v>
      </c>
      <c r="D1870" t="inlineStr">
        <is>
          <t>ÖREBRO LÄN</t>
        </is>
      </c>
      <c r="E1870" t="inlineStr">
        <is>
          <t>HÄLLEFORS</t>
        </is>
      </c>
      <c r="F1870" t="inlineStr">
        <is>
          <t>Bergvik skog väst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49650-2020</t>
        </is>
      </c>
      <c r="B1871" s="1" t="n">
        <v>44106</v>
      </c>
      <c r="C1871" s="1" t="n">
        <v>45797</v>
      </c>
      <c r="D1871" t="inlineStr">
        <is>
          <t>ÖREBRO LÄN</t>
        </is>
      </c>
      <c r="E1871" t="inlineStr">
        <is>
          <t>HÄLLEFORS</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49724-2020</t>
        </is>
      </c>
      <c r="B1872" s="1" t="n">
        <v>44106</v>
      </c>
      <c r="C1872" s="1" t="n">
        <v>45797</v>
      </c>
      <c r="D1872" t="inlineStr">
        <is>
          <t>ÖREBRO LÄN</t>
        </is>
      </c>
      <c r="E1872" t="inlineStr">
        <is>
          <t>NORA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49775-2020</t>
        </is>
      </c>
      <c r="B1873" s="1" t="n">
        <v>44106</v>
      </c>
      <c r="C1873" s="1" t="n">
        <v>45797</v>
      </c>
      <c r="D1873" t="inlineStr">
        <is>
          <t>ÖREBRO LÄN</t>
        </is>
      </c>
      <c r="E1873" t="inlineStr">
        <is>
          <t>NORA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49878-2020</t>
        </is>
      </c>
      <c r="B1874" s="1" t="n">
        <v>44107</v>
      </c>
      <c r="C1874" s="1" t="n">
        <v>45797</v>
      </c>
      <c r="D1874" t="inlineStr">
        <is>
          <t>ÖREBRO LÄN</t>
        </is>
      </c>
      <c r="E1874" t="inlineStr">
        <is>
          <t>NORA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49854-2020</t>
        </is>
      </c>
      <c r="B1875" s="1" t="n">
        <v>44107</v>
      </c>
      <c r="C1875" s="1" t="n">
        <v>45797</v>
      </c>
      <c r="D1875" t="inlineStr">
        <is>
          <t>ÖREBRO LÄN</t>
        </is>
      </c>
      <c r="E1875" t="inlineStr">
        <is>
          <t>LINDESBERG</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49882-2020</t>
        </is>
      </c>
      <c r="B1876" s="1" t="n">
        <v>44108</v>
      </c>
      <c r="C1876" s="1" t="n">
        <v>45797</v>
      </c>
      <c r="D1876" t="inlineStr">
        <is>
          <t>ÖREBRO LÄN</t>
        </is>
      </c>
      <c r="E1876" t="inlineStr">
        <is>
          <t>HÄLLEFORS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51599-2020</t>
        </is>
      </c>
      <c r="B1877" s="1" t="n">
        <v>44109</v>
      </c>
      <c r="C1877" s="1" t="n">
        <v>45797</v>
      </c>
      <c r="D1877" t="inlineStr">
        <is>
          <t>ÖREBRO LÄN</t>
        </is>
      </c>
      <c r="E1877" t="inlineStr">
        <is>
          <t>KUMLA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51604-2020</t>
        </is>
      </c>
      <c r="B1878" s="1" t="n">
        <v>44109</v>
      </c>
      <c r="C1878" s="1" t="n">
        <v>45797</v>
      </c>
      <c r="D1878" t="inlineStr">
        <is>
          <t>ÖREBRO LÄN</t>
        </is>
      </c>
      <c r="E1878" t="inlineStr">
        <is>
          <t>KUMLA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50345-2020</t>
        </is>
      </c>
      <c r="B1879" s="1" t="n">
        <v>44110</v>
      </c>
      <c r="C1879" s="1" t="n">
        <v>45797</v>
      </c>
      <c r="D1879" t="inlineStr">
        <is>
          <t>ÖREBRO LÄN</t>
        </is>
      </c>
      <c r="E1879" t="inlineStr">
        <is>
          <t>HÄLLEFORS</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50309-2020</t>
        </is>
      </c>
      <c r="B1880" s="1" t="n">
        <v>44110</v>
      </c>
      <c r="C1880" s="1" t="n">
        <v>45797</v>
      </c>
      <c r="D1880" t="inlineStr">
        <is>
          <t>ÖREBRO LÄN</t>
        </is>
      </c>
      <c r="E1880" t="inlineStr">
        <is>
          <t>NORA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50358-2020</t>
        </is>
      </c>
      <c r="B1881" s="1" t="n">
        <v>44110</v>
      </c>
      <c r="C1881" s="1" t="n">
        <v>45797</v>
      </c>
      <c r="D1881" t="inlineStr">
        <is>
          <t>ÖREBRO LÄN</t>
        </is>
      </c>
      <c r="E1881" t="inlineStr">
        <is>
          <t>DEGERFORS</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50588-2020</t>
        </is>
      </c>
      <c r="B1882" s="1" t="n">
        <v>44110</v>
      </c>
      <c r="C1882" s="1" t="n">
        <v>45797</v>
      </c>
      <c r="D1882" t="inlineStr">
        <is>
          <t>ÖREBRO LÄN</t>
        </is>
      </c>
      <c r="E1882" t="inlineStr">
        <is>
          <t>NORA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50720-2020</t>
        </is>
      </c>
      <c r="B1883" s="1" t="n">
        <v>44111</v>
      </c>
      <c r="C1883" s="1" t="n">
        <v>45797</v>
      </c>
      <c r="D1883" t="inlineStr">
        <is>
          <t>ÖREBRO LÄN</t>
        </is>
      </c>
      <c r="E1883" t="inlineStr">
        <is>
          <t>NORA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51100-2020</t>
        </is>
      </c>
      <c r="B1884" s="1" t="n">
        <v>44112</v>
      </c>
      <c r="C1884" s="1" t="n">
        <v>45797</v>
      </c>
      <c r="D1884" t="inlineStr">
        <is>
          <t>ÖREBRO LÄN</t>
        </is>
      </c>
      <c r="E1884" t="inlineStr">
        <is>
          <t>ASKERSUND</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51130-2020</t>
        </is>
      </c>
      <c r="B1885" s="1" t="n">
        <v>44112</v>
      </c>
      <c r="C1885" s="1" t="n">
        <v>45797</v>
      </c>
      <c r="D1885" t="inlineStr">
        <is>
          <t>ÖREBRO LÄN</t>
        </is>
      </c>
      <c r="E1885" t="inlineStr">
        <is>
          <t>DEGERFORS</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51174-2020</t>
        </is>
      </c>
      <c r="B1886" s="1" t="n">
        <v>44112</v>
      </c>
      <c r="C1886" s="1" t="n">
        <v>45797</v>
      </c>
      <c r="D1886" t="inlineStr">
        <is>
          <t>ÖREBRO LÄN</t>
        </is>
      </c>
      <c r="E1886" t="inlineStr">
        <is>
          <t>LAXÅ</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51187-2020</t>
        </is>
      </c>
      <c r="B1887" s="1" t="n">
        <v>44112</v>
      </c>
      <c r="C1887" s="1" t="n">
        <v>45797</v>
      </c>
      <c r="D1887" t="inlineStr">
        <is>
          <t>ÖREBRO LÄN</t>
        </is>
      </c>
      <c r="E1887" t="inlineStr">
        <is>
          <t>LAXÅ</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51184-2020</t>
        </is>
      </c>
      <c r="B1888" s="1" t="n">
        <v>44112</v>
      </c>
      <c r="C1888" s="1" t="n">
        <v>45797</v>
      </c>
      <c r="D1888" t="inlineStr">
        <is>
          <t>ÖREBRO LÄN</t>
        </is>
      </c>
      <c r="E1888" t="inlineStr">
        <is>
          <t>LAXÅ</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52371-2020</t>
        </is>
      </c>
      <c r="B1889" s="1" t="n">
        <v>44112</v>
      </c>
      <c r="C1889" s="1" t="n">
        <v>45797</v>
      </c>
      <c r="D1889" t="inlineStr">
        <is>
          <t>ÖREBRO LÄN</t>
        </is>
      </c>
      <c r="E1889" t="inlineStr">
        <is>
          <t>LEKEBERG</t>
        </is>
      </c>
      <c r="F1889" t="inlineStr">
        <is>
          <t>Kommuner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51521-2020</t>
        </is>
      </c>
      <c r="B1890" s="1" t="n">
        <v>44113</v>
      </c>
      <c r="C1890" s="1" t="n">
        <v>45797</v>
      </c>
      <c r="D1890" t="inlineStr">
        <is>
          <t>ÖREBRO LÄN</t>
        </is>
      </c>
      <c r="E1890" t="inlineStr">
        <is>
          <t>ASKERSUND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51392-2020</t>
        </is>
      </c>
      <c r="B1891" s="1" t="n">
        <v>44113</v>
      </c>
      <c r="C1891" s="1" t="n">
        <v>45797</v>
      </c>
      <c r="D1891" t="inlineStr">
        <is>
          <t>ÖREBRO LÄN</t>
        </is>
      </c>
      <c r="E1891" t="inlineStr">
        <is>
          <t>LINDESBERG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51399-2020</t>
        </is>
      </c>
      <c r="B1892" s="1" t="n">
        <v>44113</v>
      </c>
      <c r="C1892" s="1" t="n">
        <v>45797</v>
      </c>
      <c r="D1892" t="inlineStr">
        <is>
          <t>ÖREBRO LÄN</t>
        </is>
      </c>
      <c r="E1892" t="inlineStr">
        <is>
          <t>LINDESBERG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51408-2020</t>
        </is>
      </c>
      <c r="B1893" s="1" t="n">
        <v>44113</v>
      </c>
      <c r="C1893" s="1" t="n">
        <v>45797</v>
      </c>
      <c r="D1893" t="inlineStr">
        <is>
          <t>ÖREBRO LÄN</t>
        </is>
      </c>
      <c r="E1893" t="inlineStr">
        <is>
          <t>LINDESBERG</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51738-2020</t>
        </is>
      </c>
      <c r="B1894" s="1" t="n">
        <v>44114</v>
      </c>
      <c r="C1894" s="1" t="n">
        <v>45797</v>
      </c>
      <c r="D1894" t="inlineStr">
        <is>
          <t>ÖREBRO LÄN</t>
        </is>
      </c>
      <c r="E1894" t="inlineStr">
        <is>
          <t>LINDESBERG</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51861-2020</t>
        </is>
      </c>
      <c r="B1895" s="1" t="n">
        <v>44116</v>
      </c>
      <c r="C1895" s="1" t="n">
        <v>45797</v>
      </c>
      <c r="D1895" t="inlineStr">
        <is>
          <t>ÖREBRO LÄN</t>
        </is>
      </c>
      <c r="E1895" t="inlineStr">
        <is>
          <t>LINDESBERG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52206-2020</t>
        </is>
      </c>
      <c r="B1896" s="1" t="n">
        <v>44117</v>
      </c>
      <c r="C1896" s="1" t="n">
        <v>45797</v>
      </c>
      <c r="D1896" t="inlineStr">
        <is>
          <t>ÖREBRO LÄN</t>
        </is>
      </c>
      <c r="E1896" t="inlineStr">
        <is>
          <t>LINDESBERG</t>
        </is>
      </c>
      <c r="F1896" t="inlineStr">
        <is>
          <t>Sveaskog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52679-2020</t>
        </is>
      </c>
      <c r="B1897" s="1" t="n">
        <v>44117</v>
      </c>
      <c r="C1897" s="1" t="n">
        <v>45797</v>
      </c>
      <c r="D1897" t="inlineStr">
        <is>
          <t>ÖREBRO LÄN</t>
        </is>
      </c>
      <c r="E1897" t="inlineStr">
        <is>
          <t>LAXÅ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52612-2020</t>
        </is>
      </c>
      <c r="B1898" s="1" t="n">
        <v>44118</v>
      </c>
      <c r="C1898" s="1" t="n">
        <v>45797</v>
      </c>
      <c r="D1898" t="inlineStr">
        <is>
          <t>ÖREBRO LÄN</t>
        </is>
      </c>
      <c r="E1898" t="inlineStr">
        <is>
          <t>ASKERSUND</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53003-2020</t>
        </is>
      </c>
      <c r="B1899" s="1" t="n">
        <v>44119</v>
      </c>
      <c r="C1899" s="1" t="n">
        <v>45797</v>
      </c>
      <c r="D1899" t="inlineStr">
        <is>
          <t>ÖREBRO LÄN</t>
        </is>
      </c>
      <c r="E1899" t="inlineStr">
        <is>
          <t>ÖREBRO</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52919-2020</t>
        </is>
      </c>
      <c r="B1900" s="1" t="n">
        <v>44120</v>
      </c>
      <c r="C1900" s="1" t="n">
        <v>45797</v>
      </c>
      <c r="D1900" t="inlineStr">
        <is>
          <t>ÖREBRO LÄN</t>
        </is>
      </c>
      <c r="E1900" t="inlineStr">
        <is>
          <t>LJUSNARSBERG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53185-2020</t>
        </is>
      </c>
      <c r="B1901" s="1" t="n">
        <v>44120</v>
      </c>
      <c r="C1901" s="1" t="n">
        <v>45797</v>
      </c>
      <c r="D1901" t="inlineStr">
        <is>
          <t>ÖREBRO LÄN</t>
        </is>
      </c>
      <c r="E1901" t="inlineStr">
        <is>
          <t>ASKERSUND</t>
        </is>
      </c>
      <c r="G1901" t="n">
        <v>11.6</v>
      </c>
      <c r="H1901" t="n">
        <v>0</v>
      </c>
      <c r="I1901" t="n">
        <v>0</v>
      </c>
      <c r="J1901" t="n">
        <v>0</v>
      </c>
      <c r="K1901" t="n">
        <v>0</v>
      </c>
      <c r="L1901" t="n">
        <v>0</v>
      </c>
      <c r="M1901" t="n">
        <v>0</v>
      </c>
      <c r="N1901" t="n">
        <v>0</v>
      </c>
      <c r="O1901" t="n">
        <v>0</v>
      </c>
      <c r="P1901" t="n">
        <v>0</v>
      </c>
      <c r="Q1901" t="n">
        <v>0</v>
      </c>
      <c r="R1901" s="2" t="inlineStr"/>
    </row>
    <row r="1902" ht="15" customHeight="1">
      <c r="A1902" t="inlineStr">
        <is>
          <t>A 53184-2020</t>
        </is>
      </c>
      <c r="B1902" s="1" t="n">
        <v>44120</v>
      </c>
      <c r="C1902" s="1" t="n">
        <v>45797</v>
      </c>
      <c r="D1902" t="inlineStr">
        <is>
          <t>ÖREBRO LÄN</t>
        </is>
      </c>
      <c r="E1902" t="inlineStr">
        <is>
          <t>ASKERSUND</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53311-2020</t>
        </is>
      </c>
      <c r="B1903" s="1" t="n">
        <v>44123</v>
      </c>
      <c r="C1903" s="1" t="n">
        <v>45797</v>
      </c>
      <c r="D1903" t="inlineStr">
        <is>
          <t>ÖREBRO LÄN</t>
        </is>
      </c>
      <c r="E1903" t="inlineStr">
        <is>
          <t>LINDESBERG</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53334-2020</t>
        </is>
      </c>
      <c r="B1904" s="1" t="n">
        <v>44123</v>
      </c>
      <c r="C1904" s="1" t="n">
        <v>45797</v>
      </c>
      <c r="D1904" t="inlineStr">
        <is>
          <t>ÖREBRO LÄN</t>
        </is>
      </c>
      <c r="E1904" t="inlineStr">
        <is>
          <t>LEKEBERG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53364-2020</t>
        </is>
      </c>
      <c r="B1905" s="1" t="n">
        <v>44123</v>
      </c>
      <c r="C1905" s="1" t="n">
        <v>45797</v>
      </c>
      <c r="D1905" t="inlineStr">
        <is>
          <t>ÖREBRO LÄN</t>
        </is>
      </c>
      <c r="E1905" t="inlineStr">
        <is>
          <t>LINDESBERG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54990-2020</t>
        </is>
      </c>
      <c r="B1906" s="1" t="n">
        <v>44123</v>
      </c>
      <c r="C1906" s="1" t="n">
        <v>45797</v>
      </c>
      <c r="D1906" t="inlineStr">
        <is>
          <t>ÖREBRO LÄN</t>
        </is>
      </c>
      <c r="E1906" t="inlineStr">
        <is>
          <t>LEKEBERG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54271-2020</t>
        </is>
      </c>
      <c r="B1907" s="1" t="n">
        <v>44124</v>
      </c>
      <c r="C1907" s="1" t="n">
        <v>45797</v>
      </c>
      <c r="D1907" t="inlineStr">
        <is>
          <t>ÖREBRO LÄN</t>
        </is>
      </c>
      <c r="E1907" t="inlineStr">
        <is>
          <t>LINDESBERG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54287-2020</t>
        </is>
      </c>
      <c r="B1908" s="1" t="n">
        <v>44124</v>
      </c>
      <c r="C1908" s="1" t="n">
        <v>45797</v>
      </c>
      <c r="D1908" t="inlineStr">
        <is>
          <t>ÖREBRO LÄN</t>
        </is>
      </c>
      <c r="E1908" t="inlineStr">
        <is>
          <t>LINDESBERG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54288-2020</t>
        </is>
      </c>
      <c r="B1909" s="1" t="n">
        <v>44124</v>
      </c>
      <c r="C1909" s="1" t="n">
        <v>45797</v>
      </c>
      <c r="D1909" t="inlineStr">
        <is>
          <t>ÖREBRO LÄN</t>
        </is>
      </c>
      <c r="E1909" t="inlineStr">
        <is>
          <t>ÖREBRO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53973-2020</t>
        </is>
      </c>
      <c r="B1910" s="1" t="n">
        <v>44125</v>
      </c>
      <c r="C1910" s="1" t="n">
        <v>45797</v>
      </c>
      <c r="D1910" t="inlineStr">
        <is>
          <t>ÖREBRO LÄN</t>
        </is>
      </c>
      <c r="E1910" t="inlineStr">
        <is>
          <t>LAXÅ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53947-2020</t>
        </is>
      </c>
      <c r="B1911" s="1" t="n">
        <v>44125</v>
      </c>
      <c r="C1911" s="1" t="n">
        <v>45797</v>
      </c>
      <c r="D1911" t="inlineStr">
        <is>
          <t>ÖREBRO LÄN</t>
        </is>
      </c>
      <c r="E1911" t="inlineStr">
        <is>
          <t>KARLSKOGA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53987-2020</t>
        </is>
      </c>
      <c r="B1912" s="1" t="n">
        <v>44125</v>
      </c>
      <c r="C1912" s="1" t="n">
        <v>45797</v>
      </c>
      <c r="D1912" t="inlineStr">
        <is>
          <t>ÖREBRO LÄN</t>
        </is>
      </c>
      <c r="E1912" t="inlineStr">
        <is>
          <t>LAXÅ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53946-2020</t>
        </is>
      </c>
      <c r="B1913" s="1" t="n">
        <v>44125</v>
      </c>
      <c r="C1913" s="1" t="n">
        <v>45797</v>
      </c>
      <c r="D1913" t="inlineStr">
        <is>
          <t>ÖREBRO LÄN</t>
        </is>
      </c>
      <c r="E1913" t="inlineStr">
        <is>
          <t>KARLSKOGA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54101-2020</t>
        </is>
      </c>
      <c r="B1914" s="1" t="n">
        <v>44125</v>
      </c>
      <c r="C1914" s="1" t="n">
        <v>45797</v>
      </c>
      <c r="D1914" t="inlineStr">
        <is>
          <t>ÖREBRO LÄN</t>
        </is>
      </c>
      <c r="E1914" t="inlineStr">
        <is>
          <t>LAXÅ</t>
        </is>
      </c>
      <c r="F1914" t="inlineStr">
        <is>
          <t>Övriga statliga verk och myndigheter</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54526-2020</t>
        </is>
      </c>
      <c r="B1915" s="1" t="n">
        <v>44125</v>
      </c>
      <c r="C1915" s="1" t="n">
        <v>45797</v>
      </c>
      <c r="D1915" t="inlineStr">
        <is>
          <t>ÖREBRO LÄN</t>
        </is>
      </c>
      <c r="E1915" t="inlineStr">
        <is>
          <t>ÖREBRO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54502-2020</t>
        </is>
      </c>
      <c r="B1916" s="1" t="n">
        <v>44125</v>
      </c>
      <c r="C1916" s="1" t="n">
        <v>45797</v>
      </c>
      <c r="D1916" t="inlineStr">
        <is>
          <t>ÖREBRO LÄN</t>
        </is>
      </c>
      <c r="E1916" t="inlineStr">
        <is>
          <t>NORA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53944-2020</t>
        </is>
      </c>
      <c r="B1917" s="1" t="n">
        <v>44125</v>
      </c>
      <c r="C1917" s="1" t="n">
        <v>45797</v>
      </c>
      <c r="D1917" t="inlineStr">
        <is>
          <t>ÖREBRO LÄN</t>
        </is>
      </c>
      <c r="E1917" t="inlineStr">
        <is>
          <t>KARLSKOGA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54069-2020</t>
        </is>
      </c>
      <c r="B1918" s="1" t="n">
        <v>44125</v>
      </c>
      <c r="C1918" s="1" t="n">
        <v>45797</v>
      </c>
      <c r="D1918" t="inlineStr">
        <is>
          <t>ÖREBRO LÄN</t>
        </is>
      </c>
      <c r="E1918" t="inlineStr">
        <is>
          <t>ASKERSUND</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54439-2020</t>
        </is>
      </c>
      <c r="B1919" s="1" t="n">
        <v>44126</v>
      </c>
      <c r="C1919" s="1" t="n">
        <v>45797</v>
      </c>
      <c r="D1919" t="inlineStr">
        <is>
          <t>ÖREBRO LÄN</t>
        </is>
      </c>
      <c r="E1919" t="inlineStr">
        <is>
          <t>KARLSKOGA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54308-2020</t>
        </is>
      </c>
      <c r="B1920" s="1" t="n">
        <v>44126</v>
      </c>
      <c r="C1920" s="1" t="n">
        <v>45797</v>
      </c>
      <c r="D1920" t="inlineStr">
        <is>
          <t>ÖREBRO LÄN</t>
        </is>
      </c>
      <c r="E1920" t="inlineStr">
        <is>
          <t>LINDESBERG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54340-2020</t>
        </is>
      </c>
      <c r="B1921" s="1" t="n">
        <v>44126</v>
      </c>
      <c r="C1921" s="1" t="n">
        <v>45797</v>
      </c>
      <c r="D1921" t="inlineStr">
        <is>
          <t>ÖREBRO LÄN</t>
        </is>
      </c>
      <c r="E1921" t="inlineStr">
        <is>
          <t>LINDESBERG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54415-2020</t>
        </is>
      </c>
      <c r="B1922" s="1" t="n">
        <v>44126</v>
      </c>
      <c r="C1922" s="1" t="n">
        <v>45797</v>
      </c>
      <c r="D1922" t="inlineStr">
        <is>
          <t>ÖREBRO LÄN</t>
        </is>
      </c>
      <c r="E1922" t="inlineStr">
        <is>
          <t>LINDESBERG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54647-2020</t>
        </is>
      </c>
      <c r="B1923" s="1" t="n">
        <v>44127</v>
      </c>
      <c r="C1923" s="1" t="n">
        <v>45797</v>
      </c>
      <c r="D1923" t="inlineStr">
        <is>
          <t>ÖREBRO LÄN</t>
        </is>
      </c>
      <c r="E1923" t="inlineStr">
        <is>
          <t>ASKERSUND</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54954-2020</t>
        </is>
      </c>
      <c r="B1924" s="1" t="n">
        <v>44129</v>
      </c>
      <c r="C1924" s="1" t="n">
        <v>45797</v>
      </c>
      <c r="D1924" t="inlineStr">
        <is>
          <t>ÖREBRO LÄN</t>
        </is>
      </c>
      <c r="E1924" t="inlineStr">
        <is>
          <t>LAXÅ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55002-2020</t>
        </is>
      </c>
      <c r="B1925" s="1" t="n">
        <v>44130</v>
      </c>
      <c r="C1925" s="1" t="n">
        <v>45797</v>
      </c>
      <c r="D1925" t="inlineStr">
        <is>
          <t>ÖREBRO LÄN</t>
        </is>
      </c>
      <c r="E1925" t="inlineStr">
        <is>
          <t>LINDESBERG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55017-2020</t>
        </is>
      </c>
      <c r="B1926" s="1" t="n">
        <v>44130</v>
      </c>
      <c r="C1926" s="1" t="n">
        <v>45797</v>
      </c>
      <c r="D1926" t="inlineStr">
        <is>
          <t>ÖREBRO LÄN</t>
        </is>
      </c>
      <c r="E1926" t="inlineStr">
        <is>
          <t>LAXÅ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55279-2020</t>
        </is>
      </c>
      <c r="B1927" s="1" t="n">
        <v>44130</v>
      </c>
      <c r="C1927" s="1" t="n">
        <v>45797</v>
      </c>
      <c r="D1927" t="inlineStr">
        <is>
          <t>ÖREBRO LÄN</t>
        </is>
      </c>
      <c r="E1927" t="inlineStr">
        <is>
          <t>KARLSKOGA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55248-2020</t>
        </is>
      </c>
      <c r="B1928" s="1" t="n">
        <v>44130</v>
      </c>
      <c r="C1928" s="1" t="n">
        <v>45797</v>
      </c>
      <c r="D1928" t="inlineStr">
        <is>
          <t>ÖREBRO LÄN</t>
        </is>
      </c>
      <c r="E1928" t="inlineStr">
        <is>
          <t>LJUSNARSBERG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55570-2020</t>
        </is>
      </c>
      <c r="B1929" s="1" t="n">
        <v>44131</v>
      </c>
      <c r="C1929" s="1" t="n">
        <v>45797</v>
      </c>
      <c r="D1929" t="inlineStr">
        <is>
          <t>ÖREBRO LÄN</t>
        </is>
      </c>
      <c r="E1929" t="inlineStr">
        <is>
          <t>ÖREBRO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55733-2020</t>
        </is>
      </c>
      <c r="B1930" s="1" t="n">
        <v>44132</v>
      </c>
      <c r="C1930" s="1" t="n">
        <v>45797</v>
      </c>
      <c r="D1930" t="inlineStr">
        <is>
          <t>ÖREBRO LÄN</t>
        </is>
      </c>
      <c r="E1930" t="inlineStr">
        <is>
          <t>ASKERSUND</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55870-2020</t>
        </is>
      </c>
      <c r="B1931" s="1" t="n">
        <v>44132</v>
      </c>
      <c r="C1931" s="1" t="n">
        <v>45797</v>
      </c>
      <c r="D1931" t="inlineStr">
        <is>
          <t>ÖREBRO LÄN</t>
        </is>
      </c>
      <c r="E1931" t="inlineStr">
        <is>
          <t>NORA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56030-2020</t>
        </is>
      </c>
      <c r="B1932" s="1" t="n">
        <v>44132</v>
      </c>
      <c r="C1932" s="1" t="n">
        <v>45797</v>
      </c>
      <c r="D1932" t="inlineStr">
        <is>
          <t>ÖREBRO LÄN</t>
        </is>
      </c>
      <c r="E1932" t="inlineStr">
        <is>
          <t>LEKEBERG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55991-2020</t>
        </is>
      </c>
      <c r="B1933" s="1" t="n">
        <v>44133</v>
      </c>
      <c r="C1933" s="1" t="n">
        <v>45797</v>
      </c>
      <c r="D1933" t="inlineStr">
        <is>
          <t>ÖREBRO LÄN</t>
        </is>
      </c>
      <c r="E1933" t="inlineStr">
        <is>
          <t>LAXÅ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56042-2020</t>
        </is>
      </c>
      <c r="B1934" s="1" t="n">
        <v>44133</v>
      </c>
      <c r="C1934" s="1" t="n">
        <v>45797</v>
      </c>
      <c r="D1934" t="inlineStr">
        <is>
          <t>ÖREBRO LÄN</t>
        </is>
      </c>
      <c r="E1934" t="inlineStr">
        <is>
          <t>LAXÅ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55994-2020</t>
        </is>
      </c>
      <c r="B1935" s="1" t="n">
        <v>44133</v>
      </c>
      <c r="C1935" s="1" t="n">
        <v>45797</v>
      </c>
      <c r="D1935" t="inlineStr">
        <is>
          <t>ÖREBRO LÄN</t>
        </is>
      </c>
      <c r="E1935" t="inlineStr">
        <is>
          <t>LAXÅ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56060-2020</t>
        </is>
      </c>
      <c r="B1936" s="1" t="n">
        <v>44133</v>
      </c>
      <c r="C1936" s="1" t="n">
        <v>45797</v>
      </c>
      <c r="D1936" t="inlineStr">
        <is>
          <t>ÖREBRO LÄN</t>
        </is>
      </c>
      <c r="E1936" t="inlineStr">
        <is>
          <t>LINDESBERG</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56138-2020</t>
        </is>
      </c>
      <c r="B1937" s="1" t="n">
        <v>44133</v>
      </c>
      <c r="C1937" s="1" t="n">
        <v>45797</v>
      </c>
      <c r="D1937" t="inlineStr">
        <is>
          <t>ÖREBRO LÄN</t>
        </is>
      </c>
      <c r="E1937" t="inlineStr">
        <is>
          <t>ÖREBRO</t>
        </is>
      </c>
      <c r="F1937" t="inlineStr">
        <is>
          <t>Allmännings- och besparingsskogar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56858-2020</t>
        </is>
      </c>
      <c r="B1938" s="1" t="n">
        <v>44134</v>
      </c>
      <c r="C1938" s="1" t="n">
        <v>45797</v>
      </c>
      <c r="D1938" t="inlineStr">
        <is>
          <t>ÖREBRO LÄN</t>
        </is>
      </c>
      <c r="E1938" t="inlineStr">
        <is>
          <t>LAXÅ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56389-2020</t>
        </is>
      </c>
      <c r="B1939" s="1" t="n">
        <v>44136</v>
      </c>
      <c r="C1939" s="1" t="n">
        <v>45797</v>
      </c>
      <c r="D1939" t="inlineStr">
        <is>
          <t>ÖREBRO LÄN</t>
        </is>
      </c>
      <c r="E1939" t="inlineStr">
        <is>
          <t>ASKERSUND</t>
        </is>
      </c>
      <c r="F1939" t="inlineStr">
        <is>
          <t>Sveaskog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56419-2020</t>
        </is>
      </c>
      <c r="B1940" s="1" t="n">
        <v>44137</v>
      </c>
      <c r="C1940" s="1" t="n">
        <v>45797</v>
      </c>
      <c r="D1940" t="inlineStr">
        <is>
          <t>ÖREBRO LÄN</t>
        </is>
      </c>
      <c r="E1940" t="inlineStr">
        <is>
          <t>LEKEBERG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57044-2020</t>
        </is>
      </c>
      <c r="B1941" s="1" t="n">
        <v>44137</v>
      </c>
      <c r="C1941" s="1" t="n">
        <v>45797</v>
      </c>
      <c r="D1941" t="inlineStr">
        <is>
          <t>ÖREBRO LÄN</t>
        </is>
      </c>
      <c r="E1941" t="inlineStr">
        <is>
          <t>LEKEBERG</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57221-2020</t>
        </is>
      </c>
      <c r="B1942" s="1" t="n">
        <v>44139</v>
      </c>
      <c r="C1942" s="1" t="n">
        <v>45797</v>
      </c>
      <c r="D1942" t="inlineStr">
        <is>
          <t>ÖREBRO LÄN</t>
        </is>
      </c>
      <c r="E1942" t="inlineStr">
        <is>
          <t>ASKERSUND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57255-2020</t>
        </is>
      </c>
      <c r="B1943" s="1" t="n">
        <v>44139</v>
      </c>
      <c r="C1943" s="1" t="n">
        <v>45797</v>
      </c>
      <c r="D1943" t="inlineStr">
        <is>
          <t>ÖREBRO LÄN</t>
        </is>
      </c>
      <c r="E1943" t="inlineStr">
        <is>
          <t>LEKEBERG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57350-2020</t>
        </is>
      </c>
      <c r="B1944" s="1" t="n">
        <v>44139</v>
      </c>
      <c r="C1944" s="1" t="n">
        <v>45797</v>
      </c>
      <c r="D1944" t="inlineStr">
        <is>
          <t>ÖREBRO LÄN</t>
        </is>
      </c>
      <c r="E1944" t="inlineStr">
        <is>
          <t>ASKERSUND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57241-2020</t>
        </is>
      </c>
      <c r="B1945" s="1" t="n">
        <v>44139</v>
      </c>
      <c r="C1945" s="1" t="n">
        <v>45797</v>
      </c>
      <c r="D1945" t="inlineStr">
        <is>
          <t>ÖREBRO LÄN</t>
        </is>
      </c>
      <c r="E1945" t="inlineStr">
        <is>
          <t>ÖREBRO</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57257-2020</t>
        </is>
      </c>
      <c r="B1946" s="1" t="n">
        <v>44139</v>
      </c>
      <c r="C1946" s="1" t="n">
        <v>45797</v>
      </c>
      <c r="D1946" t="inlineStr">
        <is>
          <t>ÖREBRO LÄN</t>
        </is>
      </c>
      <c r="E1946" t="inlineStr">
        <is>
          <t>LEKEBERG</t>
        </is>
      </c>
      <c r="F1946" t="inlineStr">
        <is>
          <t>Allmännings- och besparingsskogar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57287-2020</t>
        </is>
      </c>
      <c r="B1947" s="1" t="n">
        <v>44139</v>
      </c>
      <c r="C1947" s="1" t="n">
        <v>45797</v>
      </c>
      <c r="D1947" t="inlineStr">
        <is>
          <t>ÖREBRO LÄN</t>
        </is>
      </c>
      <c r="E1947" t="inlineStr">
        <is>
          <t>KARLSKOGA</t>
        </is>
      </c>
      <c r="F1947" t="inlineStr">
        <is>
          <t>Sveaskog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57351-2020</t>
        </is>
      </c>
      <c r="B1948" s="1" t="n">
        <v>44139</v>
      </c>
      <c r="C1948" s="1" t="n">
        <v>45797</v>
      </c>
      <c r="D1948" t="inlineStr">
        <is>
          <t>ÖREBRO LÄN</t>
        </is>
      </c>
      <c r="E1948" t="inlineStr">
        <is>
          <t>ASKERSUND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57283-2020</t>
        </is>
      </c>
      <c r="B1949" s="1" t="n">
        <v>44139</v>
      </c>
      <c r="C1949" s="1" t="n">
        <v>45797</v>
      </c>
      <c r="D1949" t="inlineStr">
        <is>
          <t>ÖREBRO LÄN</t>
        </is>
      </c>
      <c r="E1949" t="inlineStr">
        <is>
          <t>KARLSKOGA</t>
        </is>
      </c>
      <c r="F1949" t="inlineStr">
        <is>
          <t>Sveaskog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57289-2020</t>
        </is>
      </c>
      <c r="B1950" s="1" t="n">
        <v>44139</v>
      </c>
      <c r="C1950" s="1" t="n">
        <v>45797</v>
      </c>
      <c r="D1950" t="inlineStr">
        <is>
          <t>ÖREBRO LÄN</t>
        </is>
      </c>
      <c r="E1950" t="inlineStr">
        <is>
          <t>KARLSKOGA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57358-2020</t>
        </is>
      </c>
      <c r="B1951" s="1" t="n">
        <v>44139</v>
      </c>
      <c r="C1951" s="1" t="n">
        <v>45797</v>
      </c>
      <c r="D1951" t="inlineStr">
        <is>
          <t>ÖREBRO LÄN</t>
        </is>
      </c>
      <c r="E1951" t="inlineStr">
        <is>
          <t>LAXÅ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57285-2020</t>
        </is>
      </c>
      <c r="B1952" s="1" t="n">
        <v>44139</v>
      </c>
      <c r="C1952" s="1" t="n">
        <v>45797</v>
      </c>
      <c r="D1952" t="inlineStr">
        <is>
          <t>ÖREBRO LÄN</t>
        </is>
      </c>
      <c r="E1952" t="inlineStr">
        <is>
          <t>KARLSKOGA</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57359-2020</t>
        </is>
      </c>
      <c r="B1953" s="1" t="n">
        <v>44139</v>
      </c>
      <c r="C1953" s="1" t="n">
        <v>45797</v>
      </c>
      <c r="D1953" t="inlineStr">
        <is>
          <t>ÖREBRO LÄN</t>
        </is>
      </c>
      <c r="E1953" t="inlineStr">
        <is>
          <t>LAXÅ</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57361-2020</t>
        </is>
      </c>
      <c r="B1954" s="1" t="n">
        <v>44139</v>
      </c>
      <c r="C1954" s="1" t="n">
        <v>45797</v>
      </c>
      <c r="D1954" t="inlineStr">
        <is>
          <t>ÖREBRO LÄN</t>
        </is>
      </c>
      <c r="E1954" t="inlineStr">
        <is>
          <t>LAXÅ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57438-2020</t>
        </is>
      </c>
      <c r="B1955" s="1" t="n">
        <v>44139</v>
      </c>
      <c r="C1955" s="1" t="n">
        <v>45797</v>
      </c>
      <c r="D1955" t="inlineStr">
        <is>
          <t>ÖREBRO LÄN</t>
        </is>
      </c>
      <c r="E1955" t="inlineStr">
        <is>
          <t>NORA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57655-2020</t>
        </is>
      </c>
      <c r="B1956" s="1" t="n">
        <v>44140</v>
      </c>
      <c r="C1956" s="1" t="n">
        <v>45797</v>
      </c>
      <c r="D1956" t="inlineStr">
        <is>
          <t>ÖREBRO LÄN</t>
        </is>
      </c>
      <c r="E1956" t="inlineStr">
        <is>
          <t>KARLSKOGA</t>
        </is>
      </c>
      <c r="F1956" t="inlineStr">
        <is>
          <t>Kommuner</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58273-2020</t>
        </is>
      </c>
      <c r="B1957" s="1" t="n">
        <v>44141</v>
      </c>
      <c r="C1957" s="1" t="n">
        <v>45797</v>
      </c>
      <c r="D1957" t="inlineStr">
        <is>
          <t>ÖREBRO LÄN</t>
        </is>
      </c>
      <c r="E1957" t="inlineStr">
        <is>
          <t>KARLSKOGA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58208-2020</t>
        </is>
      </c>
      <c r="B1958" s="1" t="n">
        <v>44144</v>
      </c>
      <c r="C1958" s="1" t="n">
        <v>45797</v>
      </c>
      <c r="D1958" t="inlineStr">
        <is>
          <t>ÖREBRO LÄN</t>
        </is>
      </c>
      <c r="E1958" t="inlineStr">
        <is>
          <t>HALLSBERG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58215-2020</t>
        </is>
      </c>
      <c r="B1959" s="1" t="n">
        <v>44144</v>
      </c>
      <c r="C1959" s="1" t="n">
        <v>45797</v>
      </c>
      <c r="D1959" t="inlineStr">
        <is>
          <t>ÖREBRO LÄN</t>
        </is>
      </c>
      <c r="E1959" t="inlineStr">
        <is>
          <t>HALLSBERG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58476-2020</t>
        </is>
      </c>
      <c r="B1960" s="1" t="n">
        <v>44144</v>
      </c>
      <c r="C1960" s="1" t="n">
        <v>45797</v>
      </c>
      <c r="D1960" t="inlineStr">
        <is>
          <t>ÖREBRO LÄN</t>
        </is>
      </c>
      <c r="E1960" t="inlineStr">
        <is>
          <t>KARLSKOGA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58633-2020</t>
        </is>
      </c>
      <c r="B1961" s="1" t="n">
        <v>44145</v>
      </c>
      <c r="C1961" s="1" t="n">
        <v>45797</v>
      </c>
      <c r="D1961" t="inlineStr">
        <is>
          <t>ÖREBRO LÄN</t>
        </is>
      </c>
      <c r="E1961" t="inlineStr">
        <is>
          <t>ÖREBRO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58534-2020</t>
        </is>
      </c>
      <c r="B1962" s="1" t="n">
        <v>44145</v>
      </c>
      <c r="C1962" s="1" t="n">
        <v>45797</v>
      </c>
      <c r="D1962" t="inlineStr">
        <is>
          <t>ÖREBRO LÄN</t>
        </is>
      </c>
      <c r="E1962" t="inlineStr">
        <is>
          <t>HÄLLEFORS</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58541-2020</t>
        </is>
      </c>
      <c r="B1963" s="1" t="n">
        <v>44145</v>
      </c>
      <c r="C1963" s="1" t="n">
        <v>45797</v>
      </c>
      <c r="D1963" t="inlineStr">
        <is>
          <t>ÖREBRO LÄN</t>
        </is>
      </c>
      <c r="E1963" t="inlineStr">
        <is>
          <t>ASKERSUND</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58638-2020</t>
        </is>
      </c>
      <c r="B1964" s="1" t="n">
        <v>44145</v>
      </c>
      <c r="C1964" s="1" t="n">
        <v>45797</v>
      </c>
      <c r="D1964" t="inlineStr">
        <is>
          <t>ÖREBRO LÄN</t>
        </is>
      </c>
      <c r="E1964" t="inlineStr">
        <is>
          <t>LINDESBERG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59181-2020</t>
        </is>
      </c>
      <c r="B1965" s="1" t="n">
        <v>44147</v>
      </c>
      <c r="C1965" s="1" t="n">
        <v>45797</v>
      </c>
      <c r="D1965" t="inlineStr">
        <is>
          <t>ÖREBRO LÄN</t>
        </is>
      </c>
      <c r="E1965" t="inlineStr">
        <is>
          <t>KUMLA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59191-2020</t>
        </is>
      </c>
      <c r="B1966" s="1" t="n">
        <v>44147</v>
      </c>
      <c r="C1966" s="1" t="n">
        <v>45797</v>
      </c>
      <c r="D1966" t="inlineStr">
        <is>
          <t>ÖREBRO LÄN</t>
        </is>
      </c>
      <c r="E1966" t="inlineStr">
        <is>
          <t>KUMLA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59294-2020</t>
        </is>
      </c>
      <c r="B1967" s="1" t="n">
        <v>44147</v>
      </c>
      <c r="C1967" s="1" t="n">
        <v>45797</v>
      </c>
      <c r="D1967" t="inlineStr">
        <is>
          <t>ÖREBRO LÄN</t>
        </is>
      </c>
      <c r="E1967" t="inlineStr">
        <is>
          <t>HÄLLEFORS</t>
        </is>
      </c>
      <c r="F1967" t="inlineStr">
        <is>
          <t>Kyrkan</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59265-2020</t>
        </is>
      </c>
      <c r="B1968" s="1" t="n">
        <v>44147</v>
      </c>
      <c r="C1968" s="1" t="n">
        <v>45797</v>
      </c>
      <c r="D1968" t="inlineStr">
        <is>
          <t>ÖREBRO LÄN</t>
        </is>
      </c>
      <c r="E1968" t="inlineStr">
        <is>
          <t>ÖREBRO</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59298-2020</t>
        </is>
      </c>
      <c r="B1969" s="1" t="n">
        <v>44147</v>
      </c>
      <c r="C1969" s="1" t="n">
        <v>45797</v>
      </c>
      <c r="D1969" t="inlineStr">
        <is>
          <t>ÖREBRO LÄN</t>
        </is>
      </c>
      <c r="E1969" t="inlineStr">
        <is>
          <t>HÄLLEFORS</t>
        </is>
      </c>
      <c r="F1969" t="inlineStr">
        <is>
          <t>Kyrkan</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59076-2020</t>
        </is>
      </c>
      <c r="B1970" s="1" t="n">
        <v>44147</v>
      </c>
      <c r="C1970" s="1" t="n">
        <v>45797</v>
      </c>
      <c r="D1970" t="inlineStr">
        <is>
          <t>ÖREBRO LÄN</t>
        </is>
      </c>
      <c r="E1970" t="inlineStr">
        <is>
          <t>HALLSBERG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59444-2020</t>
        </is>
      </c>
      <c r="B1971" s="1" t="n">
        <v>44148</v>
      </c>
      <c r="C1971" s="1" t="n">
        <v>45797</v>
      </c>
      <c r="D1971" t="inlineStr">
        <is>
          <t>ÖREBRO LÄN</t>
        </is>
      </c>
      <c r="E1971" t="inlineStr">
        <is>
          <t>KUMLA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59516-2020</t>
        </is>
      </c>
      <c r="B1972" s="1" t="n">
        <v>44148</v>
      </c>
      <c r="C1972" s="1" t="n">
        <v>45797</v>
      </c>
      <c r="D1972" t="inlineStr">
        <is>
          <t>ÖREBRO LÄN</t>
        </is>
      </c>
      <c r="E1972" t="inlineStr">
        <is>
          <t>LJUSNARSBERG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59517-2020</t>
        </is>
      </c>
      <c r="B1973" s="1" t="n">
        <v>44148</v>
      </c>
      <c r="C1973" s="1" t="n">
        <v>45797</v>
      </c>
      <c r="D1973" t="inlineStr">
        <is>
          <t>ÖREBRO LÄN</t>
        </is>
      </c>
      <c r="E1973" t="inlineStr">
        <is>
          <t>LJUSNARSBERG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59601-2020</t>
        </is>
      </c>
      <c r="B1974" s="1" t="n">
        <v>44149</v>
      </c>
      <c r="C1974" s="1" t="n">
        <v>45797</v>
      </c>
      <c r="D1974" t="inlineStr">
        <is>
          <t>ÖREBRO LÄN</t>
        </is>
      </c>
      <c r="E1974" t="inlineStr">
        <is>
          <t>HÄLLEFORS</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59623-2020</t>
        </is>
      </c>
      <c r="B1975" s="1" t="n">
        <v>44150</v>
      </c>
      <c r="C1975" s="1" t="n">
        <v>45797</v>
      </c>
      <c r="D1975" t="inlineStr">
        <is>
          <t>ÖREBRO LÄN</t>
        </is>
      </c>
      <c r="E1975" t="inlineStr">
        <is>
          <t>LINDESBERG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59683-2020</t>
        </is>
      </c>
      <c r="B1976" s="1" t="n">
        <v>44151</v>
      </c>
      <c r="C1976" s="1" t="n">
        <v>45797</v>
      </c>
      <c r="D1976" t="inlineStr">
        <is>
          <t>ÖREBRO LÄN</t>
        </is>
      </c>
      <c r="E1976" t="inlineStr">
        <is>
          <t>LAXÅ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59721-2020</t>
        </is>
      </c>
      <c r="B1977" s="1" t="n">
        <v>44151</v>
      </c>
      <c r="C1977" s="1" t="n">
        <v>45797</v>
      </c>
      <c r="D1977" t="inlineStr">
        <is>
          <t>ÖREBRO LÄN</t>
        </is>
      </c>
      <c r="E1977" t="inlineStr">
        <is>
          <t>LINDESBERG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59874-2020</t>
        </is>
      </c>
      <c r="B1978" s="1" t="n">
        <v>44151</v>
      </c>
      <c r="C1978" s="1" t="n">
        <v>45797</v>
      </c>
      <c r="D1978" t="inlineStr">
        <is>
          <t>ÖREBRO LÄN</t>
        </is>
      </c>
      <c r="E1978" t="inlineStr">
        <is>
          <t>ASKERSUND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59717-2020</t>
        </is>
      </c>
      <c r="B1979" s="1" t="n">
        <v>44151</v>
      </c>
      <c r="C1979" s="1" t="n">
        <v>45797</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59986-2020</t>
        </is>
      </c>
      <c r="B1980" s="1" t="n">
        <v>44151</v>
      </c>
      <c r="C1980" s="1" t="n">
        <v>45797</v>
      </c>
      <c r="D1980" t="inlineStr">
        <is>
          <t>ÖREBRO LÄN</t>
        </is>
      </c>
      <c r="E1980" t="inlineStr">
        <is>
          <t>ASKERSUND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60311-2020</t>
        </is>
      </c>
      <c r="B1981" s="1" t="n">
        <v>44151</v>
      </c>
      <c r="C1981" s="1" t="n">
        <v>45797</v>
      </c>
      <c r="D1981" t="inlineStr">
        <is>
          <t>ÖREBRO LÄN</t>
        </is>
      </c>
      <c r="E1981" t="inlineStr">
        <is>
          <t>ÖREBRO</t>
        </is>
      </c>
      <c r="F1981" t="inlineStr">
        <is>
          <t>Kommuner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59889-2020</t>
        </is>
      </c>
      <c r="B1982" s="1" t="n">
        <v>44151</v>
      </c>
      <c r="C1982" s="1" t="n">
        <v>45797</v>
      </c>
      <c r="D1982" t="inlineStr">
        <is>
          <t>ÖREBRO LÄN</t>
        </is>
      </c>
      <c r="E1982" t="inlineStr">
        <is>
          <t>ASKERSUND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60183-2020</t>
        </is>
      </c>
      <c r="B1983" s="1" t="n">
        <v>44151</v>
      </c>
      <c r="C1983" s="1" t="n">
        <v>45797</v>
      </c>
      <c r="D1983" t="inlineStr">
        <is>
          <t>ÖREBRO LÄN</t>
        </is>
      </c>
      <c r="E1983" t="inlineStr">
        <is>
          <t>LINDESBERG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59983-2020</t>
        </is>
      </c>
      <c r="B1984" s="1" t="n">
        <v>44151</v>
      </c>
      <c r="C1984" s="1" t="n">
        <v>45797</v>
      </c>
      <c r="D1984" t="inlineStr">
        <is>
          <t>ÖREBRO LÄN</t>
        </is>
      </c>
      <c r="E1984" t="inlineStr">
        <is>
          <t>ASKERSUND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60150-2020</t>
        </is>
      </c>
      <c r="B1985" s="1" t="n">
        <v>44152</v>
      </c>
      <c r="C1985" s="1" t="n">
        <v>45797</v>
      </c>
      <c r="D1985" t="inlineStr">
        <is>
          <t>ÖREBRO LÄN</t>
        </is>
      </c>
      <c r="E1985" t="inlineStr">
        <is>
          <t>ÖREBRO</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60548-2020</t>
        </is>
      </c>
      <c r="B1986" s="1" t="n">
        <v>44153</v>
      </c>
      <c r="C1986" s="1" t="n">
        <v>45797</v>
      </c>
      <c r="D1986" t="inlineStr">
        <is>
          <t>ÖREBRO LÄN</t>
        </is>
      </c>
      <c r="E1986" t="inlineStr">
        <is>
          <t>HALLSBERG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60476-2020</t>
        </is>
      </c>
      <c r="B1987" s="1" t="n">
        <v>44153</v>
      </c>
      <c r="C1987" s="1" t="n">
        <v>45797</v>
      </c>
      <c r="D1987" t="inlineStr">
        <is>
          <t>ÖREBRO LÄN</t>
        </is>
      </c>
      <c r="E1987" t="inlineStr">
        <is>
          <t>NORA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60557-2020</t>
        </is>
      </c>
      <c r="B1988" s="1" t="n">
        <v>44153</v>
      </c>
      <c r="C1988" s="1" t="n">
        <v>45797</v>
      </c>
      <c r="D1988" t="inlineStr">
        <is>
          <t>ÖREBRO LÄN</t>
        </is>
      </c>
      <c r="E1988" t="inlineStr">
        <is>
          <t>ASKERSUND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60724-2020</t>
        </is>
      </c>
      <c r="B1989" s="1" t="n">
        <v>44153</v>
      </c>
      <c r="C1989" s="1" t="n">
        <v>45797</v>
      </c>
      <c r="D1989" t="inlineStr">
        <is>
          <t>ÖREBRO LÄN</t>
        </is>
      </c>
      <c r="E1989" t="inlineStr">
        <is>
          <t>HÄLLEFORS</t>
        </is>
      </c>
      <c r="F1989" t="inlineStr">
        <is>
          <t>Kyrkan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60826-2020</t>
        </is>
      </c>
      <c r="B1990" s="1" t="n">
        <v>44154</v>
      </c>
      <c r="C1990" s="1" t="n">
        <v>45797</v>
      </c>
      <c r="D1990" t="inlineStr">
        <is>
          <t>ÖREBRO LÄN</t>
        </is>
      </c>
      <c r="E1990" t="inlineStr">
        <is>
          <t>LINDESBERG</t>
        </is>
      </c>
      <c r="F1990" t="inlineStr">
        <is>
          <t>Kommuner</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61965-2020</t>
        </is>
      </c>
      <c r="B1991" s="1" t="n">
        <v>44155</v>
      </c>
      <c r="C1991" s="1" t="n">
        <v>45797</v>
      </c>
      <c r="D1991" t="inlineStr">
        <is>
          <t>ÖREBRO LÄN</t>
        </is>
      </c>
      <c r="E1991" t="inlineStr">
        <is>
          <t>ÖREBRO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62161-2020</t>
        </is>
      </c>
      <c r="B1992" s="1" t="n">
        <v>44158</v>
      </c>
      <c r="C1992" s="1" t="n">
        <v>45797</v>
      </c>
      <c r="D1992" t="inlineStr">
        <is>
          <t>ÖREBRO LÄN</t>
        </is>
      </c>
      <c r="E1992" t="inlineStr">
        <is>
          <t>NORA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62213-2020</t>
        </is>
      </c>
      <c r="B1993" s="1" t="n">
        <v>44159</v>
      </c>
      <c r="C1993" s="1" t="n">
        <v>45797</v>
      </c>
      <c r="D1993" t="inlineStr">
        <is>
          <t>ÖREBRO LÄN</t>
        </is>
      </c>
      <c r="E1993" t="inlineStr">
        <is>
          <t>KARLSKOGA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62212-2020</t>
        </is>
      </c>
      <c r="B1994" s="1" t="n">
        <v>44159</v>
      </c>
      <c r="C1994" s="1" t="n">
        <v>45797</v>
      </c>
      <c r="D1994" t="inlineStr">
        <is>
          <t>ÖREBRO LÄN</t>
        </is>
      </c>
      <c r="E1994" t="inlineStr">
        <is>
          <t>KARLSKOGA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62454-2020</t>
        </is>
      </c>
      <c r="B1995" s="1" t="n">
        <v>44160</v>
      </c>
      <c r="C1995" s="1" t="n">
        <v>45797</v>
      </c>
      <c r="D1995" t="inlineStr">
        <is>
          <t>ÖREBRO LÄN</t>
        </is>
      </c>
      <c r="E1995" t="inlineStr">
        <is>
          <t>HÄLLEFORS</t>
        </is>
      </c>
      <c r="F1995" t="inlineStr">
        <is>
          <t>Sveaskog</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62455-2020</t>
        </is>
      </c>
      <c r="B1996" s="1" t="n">
        <v>44160</v>
      </c>
      <c r="C1996" s="1" t="n">
        <v>45797</v>
      </c>
      <c r="D1996" t="inlineStr">
        <is>
          <t>ÖREBRO LÄN</t>
        </is>
      </c>
      <c r="E1996" t="inlineStr">
        <is>
          <t>HÄLLEFORS</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62591-2020</t>
        </is>
      </c>
      <c r="B1997" s="1" t="n">
        <v>44161</v>
      </c>
      <c r="C1997" s="1" t="n">
        <v>45797</v>
      </c>
      <c r="D1997" t="inlineStr">
        <is>
          <t>ÖREBRO LÄN</t>
        </is>
      </c>
      <c r="E1997" t="inlineStr">
        <is>
          <t>HÄLLEFORS</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62651-2020</t>
        </is>
      </c>
      <c r="B1998" s="1" t="n">
        <v>44161</v>
      </c>
      <c r="C1998" s="1" t="n">
        <v>45797</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62678-2020</t>
        </is>
      </c>
      <c r="B1999" s="1" t="n">
        <v>44161</v>
      </c>
      <c r="C1999" s="1" t="n">
        <v>45797</v>
      </c>
      <c r="D1999" t="inlineStr">
        <is>
          <t>ÖREBRO LÄN</t>
        </is>
      </c>
      <c r="E1999" t="inlineStr">
        <is>
          <t>LEKEBERG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62770-2020</t>
        </is>
      </c>
      <c r="B2000" s="1" t="n">
        <v>44161</v>
      </c>
      <c r="C2000" s="1" t="n">
        <v>45797</v>
      </c>
      <c r="D2000" t="inlineStr">
        <is>
          <t>ÖREBRO LÄN</t>
        </is>
      </c>
      <c r="E2000" t="inlineStr">
        <is>
          <t>LINDESBERG</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62803-2020</t>
        </is>
      </c>
      <c r="B2001" s="1" t="n">
        <v>44161</v>
      </c>
      <c r="C2001" s="1" t="n">
        <v>45797</v>
      </c>
      <c r="D2001" t="inlineStr">
        <is>
          <t>ÖREBRO LÄN</t>
        </is>
      </c>
      <c r="E2001" t="inlineStr">
        <is>
          <t>HÄLLEFORS</t>
        </is>
      </c>
      <c r="F2001" t="inlineStr">
        <is>
          <t>Kyrkan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62943-2020</t>
        </is>
      </c>
      <c r="B2002" s="1" t="n">
        <v>44161</v>
      </c>
      <c r="C2002" s="1" t="n">
        <v>45797</v>
      </c>
      <c r="D2002" t="inlineStr">
        <is>
          <t>ÖREBRO LÄN</t>
        </is>
      </c>
      <c r="E2002" t="inlineStr">
        <is>
          <t>KUMLA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62939-2020</t>
        </is>
      </c>
      <c r="B2003" s="1" t="n">
        <v>44161</v>
      </c>
      <c r="C2003" s="1" t="n">
        <v>45797</v>
      </c>
      <c r="D2003" t="inlineStr">
        <is>
          <t>ÖREBRO LÄN</t>
        </is>
      </c>
      <c r="E2003" t="inlineStr">
        <is>
          <t>HALLSBERG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63148-2020</t>
        </is>
      </c>
      <c r="B2004" s="1" t="n">
        <v>44162</v>
      </c>
      <c r="C2004" s="1" t="n">
        <v>45797</v>
      </c>
      <c r="D2004" t="inlineStr">
        <is>
          <t>ÖREBRO LÄN</t>
        </is>
      </c>
      <c r="E2004" t="inlineStr">
        <is>
          <t>LINDESBERG</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63013-2020</t>
        </is>
      </c>
      <c r="B2005" s="1" t="n">
        <v>44162</v>
      </c>
      <c r="C2005" s="1" t="n">
        <v>45797</v>
      </c>
      <c r="D2005" t="inlineStr">
        <is>
          <t>ÖREBRO LÄN</t>
        </is>
      </c>
      <c r="E2005" t="inlineStr">
        <is>
          <t>ÖREBRO</t>
        </is>
      </c>
      <c r="F2005" t="inlineStr">
        <is>
          <t>Övriga Aktiebolag</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63074-2020</t>
        </is>
      </c>
      <c r="B2006" s="1" t="n">
        <v>44162</v>
      </c>
      <c r="C2006" s="1" t="n">
        <v>45797</v>
      </c>
      <c r="D2006" t="inlineStr">
        <is>
          <t>ÖREBRO LÄN</t>
        </is>
      </c>
      <c r="E2006" t="inlineStr">
        <is>
          <t>ÖREBRO</t>
        </is>
      </c>
      <c r="F2006" t="inlineStr">
        <is>
          <t>Övriga Aktiebolag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62900-2020</t>
        </is>
      </c>
      <c r="B2007" s="1" t="n">
        <v>44162</v>
      </c>
      <c r="C2007" s="1" t="n">
        <v>45797</v>
      </c>
      <c r="D2007" t="inlineStr">
        <is>
          <t>ÖREBRO LÄN</t>
        </is>
      </c>
      <c r="E2007" t="inlineStr">
        <is>
          <t>LINDESBERG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63149-2020</t>
        </is>
      </c>
      <c r="B2008" s="1" t="n">
        <v>44162</v>
      </c>
      <c r="C2008" s="1" t="n">
        <v>45797</v>
      </c>
      <c r="D2008" t="inlineStr">
        <is>
          <t>ÖREBRO LÄN</t>
        </is>
      </c>
      <c r="E2008" t="inlineStr">
        <is>
          <t>LINDESBERG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63016-2020</t>
        </is>
      </c>
      <c r="B2009" s="1" t="n">
        <v>44162</v>
      </c>
      <c r="C2009" s="1" t="n">
        <v>45797</v>
      </c>
      <c r="D2009" t="inlineStr">
        <is>
          <t>ÖREBRO LÄN</t>
        </is>
      </c>
      <c r="E2009" t="inlineStr">
        <is>
          <t>ÖREBRO</t>
        </is>
      </c>
      <c r="F2009" t="inlineStr">
        <is>
          <t>Övriga Aktiebolag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63647-2020</t>
        </is>
      </c>
      <c r="B2010" s="1" t="n">
        <v>44162</v>
      </c>
      <c r="C2010" s="1" t="n">
        <v>45797</v>
      </c>
      <c r="D2010" t="inlineStr">
        <is>
          <t>ÖREBRO LÄN</t>
        </is>
      </c>
      <c r="E2010" t="inlineStr">
        <is>
          <t>ASKERSUND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63748-2020</t>
        </is>
      </c>
      <c r="B2011" s="1" t="n">
        <v>44166</v>
      </c>
      <c r="C2011" s="1" t="n">
        <v>45797</v>
      </c>
      <c r="D2011" t="inlineStr">
        <is>
          <t>ÖREBRO LÄN</t>
        </is>
      </c>
      <c r="E2011" t="inlineStr">
        <is>
          <t>HALLSBERG</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64597-2020</t>
        </is>
      </c>
      <c r="B2012" s="1" t="n">
        <v>44166</v>
      </c>
      <c r="C2012" s="1" t="n">
        <v>45797</v>
      </c>
      <c r="D2012" t="inlineStr">
        <is>
          <t>ÖREBRO LÄN</t>
        </is>
      </c>
      <c r="E2012" t="inlineStr">
        <is>
          <t>ÖREBRO</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64048-2020</t>
        </is>
      </c>
      <c r="B2013" s="1" t="n">
        <v>44167</v>
      </c>
      <c r="C2013" s="1" t="n">
        <v>45797</v>
      </c>
      <c r="D2013" t="inlineStr">
        <is>
          <t>ÖREBRO LÄN</t>
        </is>
      </c>
      <c r="E2013" t="inlineStr">
        <is>
          <t>LINDESBERG</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64901-2020</t>
        </is>
      </c>
      <c r="B2014" s="1" t="n">
        <v>44167</v>
      </c>
      <c r="C2014" s="1" t="n">
        <v>45797</v>
      </c>
      <c r="D2014" t="inlineStr">
        <is>
          <t>ÖREBRO LÄN</t>
        </is>
      </c>
      <c r="E2014" t="inlineStr">
        <is>
          <t>ASKERSUND</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64528-2020</t>
        </is>
      </c>
      <c r="B2015" s="1" t="n">
        <v>44169</v>
      </c>
      <c r="C2015" s="1" t="n">
        <v>45797</v>
      </c>
      <c r="D2015" t="inlineStr">
        <is>
          <t>ÖREBRO LÄN</t>
        </is>
      </c>
      <c r="E2015" t="inlineStr">
        <is>
          <t>LINDESBERG</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65394-2020</t>
        </is>
      </c>
      <c r="B2016" s="1" t="n">
        <v>44169</v>
      </c>
      <c r="C2016" s="1" t="n">
        <v>45797</v>
      </c>
      <c r="D2016" t="inlineStr">
        <is>
          <t>ÖREBRO LÄN</t>
        </is>
      </c>
      <c r="E2016" t="inlineStr">
        <is>
          <t>LINDESBERG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64864-2020</t>
        </is>
      </c>
      <c r="B2017" s="1" t="n">
        <v>44171</v>
      </c>
      <c r="C2017" s="1" t="n">
        <v>45797</v>
      </c>
      <c r="D2017" t="inlineStr">
        <is>
          <t>ÖREBRO LÄN</t>
        </is>
      </c>
      <c r="E2017" t="inlineStr">
        <is>
          <t>LINDESBERG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64863-2020</t>
        </is>
      </c>
      <c r="B2018" s="1" t="n">
        <v>44171</v>
      </c>
      <c r="C2018" s="1" t="n">
        <v>45797</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64929-2020</t>
        </is>
      </c>
      <c r="B2019" s="1" t="n">
        <v>44172</v>
      </c>
      <c r="C2019" s="1" t="n">
        <v>45797</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64933-2020</t>
        </is>
      </c>
      <c r="B2020" s="1" t="n">
        <v>44172</v>
      </c>
      <c r="C2020" s="1" t="n">
        <v>45797</v>
      </c>
      <c r="D2020" t="inlineStr">
        <is>
          <t>ÖREBRO LÄN</t>
        </is>
      </c>
      <c r="E2020" t="inlineStr">
        <is>
          <t>NORA</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64938-2020</t>
        </is>
      </c>
      <c r="B2021" s="1" t="n">
        <v>44172</v>
      </c>
      <c r="C2021" s="1" t="n">
        <v>45797</v>
      </c>
      <c r="D2021" t="inlineStr">
        <is>
          <t>ÖREBRO LÄN</t>
        </is>
      </c>
      <c r="E2021" t="inlineStr">
        <is>
          <t>ASKERSUND</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65028-2020</t>
        </is>
      </c>
      <c r="B2022" s="1" t="n">
        <v>44172</v>
      </c>
      <c r="C2022" s="1" t="n">
        <v>45797</v>
      </c>
      <c r="D2022" t="inlineStr">
        <is>
          <t>ÖREBRO LÄN</t>
        </is>
      </c>
      <c r="E2022" t="inlineStr">
        <is>
          <t>NORA</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65592-2020</t>
        </is>
      </c>
      <c r="B2023" s="1" t="n">
        <v>44173</v>
      </c>
      <c r="C2023" s="1" t="n">
        <v>45797</v>
      </c>
      <c r="D2023" t="inlineStr">
        <is>
          <t>ÖREBRO LÄN</t>
        </is>
      </c>
      <c r="E2023" t="inlineStr">
        <is>
          <t>ÖREBRO</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65510-2020</t>
        </is>
      </c>
      <c r="B2024" s="1" t="n">
        <v>44173</v>
      </c>
      <c r="C2024" s="1" t="n">
        <v>45797</v>
      </c>
      <c r="D2024" t="inlineStr">
        <is>
          <t>ÖREBRO LÄN</t>
        </is>
      </c>
      <c r="E2024" t="inlineStr">
        <is>
          <t>NORA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65942-2020</t>
        </is>
      </c>
      <c r="B2025" s="1" t="n">
        <v>44173</v>
      </c>
      <c r="C2025" s="1" t="n">
        <v>45797</v>
      </c>
      <c r="D2025" t="inlineStr">
        <is>
          <t>ÖREBRO LÄN</t>
        </is>
      </c>
      <c r="E2025" t="inlineStr">
        <is>
          <t>NORA</t>
        </is>
      </c>
      <c r="F2025" t="inlineStr">
        <is>
          <t>Övriga Aktiebolag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65716-2020</t>
        </is>
      </c>
      <c r="B2026" s="1" t="n">
        <v>44174</v>
      </c>
      <c r="C2026" s="1" t="n">
        <v>45797</v>
      </c>
      <c r="D2026" t="inlineStr">
        <is>
          <t>ÖREBRO LÄN</t>
        </is>
      </c>
      <c r="E2026" t="inlineStr">
        <is>
          <t>ASKERSUND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65861-2020</t>
        </is>
      </c>
      <c r="B2027" s="1" t="n">
        <v>44174</v>
      </c>
      <c r="C2027" s="1" t="n">
        <v>45797</v>
      </c>
      <c r="D2027" t="inlineStr">
        <is>
          <t>ÖREBRO LÄN</t>
        </is>
      </c>
      <c r="E2027" t="inlineStr">
        <is>
          <t>HÄLLEFORS</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65856-2020</t>
        </is>
      </c>
      <c r="B2028" s="1" t="n">
        <v>44174</v>
      </c>
      <c r="C2028" s="1" t="n">
        <v>45797</v>
      </c>
      <c r="D2028" t="inlineStr">
        <is>
          <t>ÖREBRO LÄN</t>
        </is>
      </c>
      <c r="E2028" t="inlineStr">
        <is>
          <t>HÄLLEFORS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66151-2020</t>
        </is>
      </c>
      <c r="B2029" s="1" t="n">
        <v>44175</v>
      </c>
      <c r="C2029" s="1" t="n">
        <v>45797</v>
      </c>
      <c r="D2029" t="inlineStr">
        <is>
          <t>ÖREBRO LÄN</t>
        </is>
      </c>
      <c r="E2029" t="inlineStr">
        <is>
          <t>HÄLLEFORS</t>
        </is>
      </c>
      <c r="F2029" t="inlineStr">
        <is>
          <t>Bergvik skog väst AB</t>
        </is>
      </c>
      <c r="G2029" t="n">
        <v>12.2</v>
      </c>
      <c r="H2029" t="n">
        <v>0</v>
      </c>
      <c r="I2029" t="n">
        <v>0</v>
      </c>
      <c r="J2029" t="n">
        <v>0</v>
      </c>
      <c r="K2029" t="n">
        <v>0</v>
      </c>
      <c r="L2029" t="n">
        <v>0</v>
      </c>
      <c r="M2029" t="n">
        <v>0</v>
      </c>
      <c r="N2029" t="n">
        <v>0</v>
      </c>
      <c r="O2029" t="n">
        <v>0</v>
      </c>
      <c r="P2029" t="n">
        <v>0</v>
      </c>
      <c r="Q2029" t="n">
        <v>0</v>
      </c>
      <c r="R2029" s="2" t="inlineStr"/>
    </row>
    <row r="2030" ht="15" customHeight="1">
      <c r="A2030" t="inlineStr">
        <is>
          <t>A 66214-2020</t>
        </is>
      </c>
      <c r="B2030" s="1" t="n">
        <v>44175</v>
      </c>
      <c r="C2030" s="1" t="n">
        <v>45797</v>
      </c>
      <c r="D2030" t="inlineStr">
        <is>
          <t>ÖREBRO LÄN</t>
        </is>
      </c>
      <c r="E2030" t="inlineStr">
        <is>
          <t>LINDESBERG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66209-2020</t>
        </is>
      </c>
      <c r="B2031" s="1" t="n">
        <v>44175</v>
      </c>
      <c r="C2031" s="1" t="n">
        <v>45797</v>
      </c>
      <c r="D2031" t="inlineStr">
        <is>
          <t>ÖREBRO LÄN</t>
        </is>
      </c>
      <c r="E2031" t="inlineStr">
        <is>
          <t>LJUSNARSBERG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66402-2020</t>
        </is>
      </c>
      <c r="B2032" s="1" t="n">
        <v>44176</v>
      </c>
      <c r="C2032" s="1" t="n">
        <v>45797</v>
      </c>
      <c r="D2032" t="inlineStr">
        <is>
          <t>ÖREBRO LÄN</t>
        </is>
      </c>
      <c r="E2032" t="inlineStr">
        <is>
          <t>LINDESBERG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66395-2020</t>
        </is>
      </c>
      <c r="B2033" s="1" t="n">
        <v>44176</v>
      </c>
      <c r="C2033" s="1" t="n">
        <v>45797</v>
      </c>
      <c r="D2033" t="inlineStr">
        <is>
          <t>ÖREBRO LÄN</t>
        </is>
      </c>
      <c r="E2033" t="inlineStr">
        <is>
          <t>LINDESBERG</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66676-2020</t>
        </is>
      </c>
      <c r="B2034" s="1" t="n">
        <v>44179</v>
      </c>
      <c r="C2034" s="1" t="n">
        <v>45797</v>
      </c>
      <c r="D2034" t="inlineStr">
        <is>
          <t>ÖREBRO LÄN</t>
        </is>
      </c>
      <c r="E2034" t="inlineStr">
        <is>
          <t>LINDESBERG</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66667-2020</t>
        </is>
      </c>
      <c r="B2035" s="1" t="n">
        <v>44179</v>
      </c>
      <c r="C2035" s="1" t="n">
        <v>45797</v>
      </c>
      <c r="D2035" t="inlineStr">
        <is>
          <t>ÖREBRO LÄN</t>
        </is>
      </c>
      <c r="E2035" t="inlineStr">
        <is>
          <t>DEGERFORS</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66691-2020</t>
        </is>
      </c>
      <c r="B2036" s="1" t="n">
        <v>44179</v>
      </c>
      <c r="C2036" s="1" t="n">
        <v>45797</v>
      </c>
      <c r="D2036" t="inlineStr">
        <is>
          <t>ÖREBRO LÄN</t>
        </is>
      </c>
      <c r="E2036" t="inlineStr">
        <is>
          <t>LINDESBERG</t>
        </is>
      </c>
      <c r="F2036" t="inlineStr">
        <is>
          <t>Sveaskog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66799-2020</t>
        </is>
      </c>
      <c r="B2037" s="1" t="n">
        <v>44179</v>
      </c>
      <c r="C2037" s="1" t="n">
        <v>45797</v>
      </c>
      <c r="D2037" t="inlineStr">
        <is>
          <t>ÖREBRO LÄN</t>
        </is>
      </c>
      <c r="E2037" t="inlineStr">
        <is>
          <t>ÖREBRO</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67425-2020</t>
        </is>
      </c>
      <c r="B2038" s="1" t="n">
        <v>44181</v>
      </c>
      <c r="C2038" s="1" t="n">
        <v>45797</v>
      </c>
      <c r="D2038" t="inlineStr">
        <is>
          <t>ÖREBRO LÄN</t>
        </is>
      </c>
      <c r="E2038" t="inlineStr">
        <is>
          <t>NORA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67446-2020</t>
        </is>
      </c>
      <c r="B2039" s="1" t="n">
        <v>44181</v>
      </c>
      <c r="C2039" s="1" t="n">
        <v>45797</v>
      </c>
      <c r="D2039" t="inlineStr">
        <is>
          <t>ÖREBRO LÄN</t>
        </is>
      </c>
      <c r="E2039" t="inlineStr">
        <is>
          <t>HÄLLEFORS</t>
        </is>
      </c>
      <c r="F2039" t="inlineStr">
        <is>
          <t>Bergvik skog väst AB</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67627-2020</t>
        </is>
      </c>
      <c r="B2040" s="1" t="n">
        <v>44182</v>
      </c>
      <c r="C2040" s="1" t="n">
        <v>45797</v>
      </c>
      <c r="D2040" t="inlineStr">
        <is>
          <t>ÖREBRO LÄN</t>
        </is>
      </c>
      <c r="E2040" t="inlineStr">
        <is>
          <t>ÖREBRO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67725-2020</t>
        </is>
      </c>
      <c r="B2041" s="1" t="n">
        <v>44182</v>
      </c>
      <c r="C2041" s="1" t="n">
        <v>45797</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67740-2020</t>
        </is>
      </c>
      <c r="B2042" s="1" t="n">
        <v>44182</v>
      </c>
      <c r="C2042" s="1" t="n">
        <v>45797</v>
      </c>
      <c r="D2042" t="inlineStr">
        <is>
          <t>ÖREBRO LÄN</t>
        </is>
      </c>
      <c r="E2042" t="inlineStr">
        <is>
          <t>LAXÅ</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67766-2020</t>
        </is>
      </c>
      <c r="B2043" s="1" t="n">
        <v>44182</v>
      </c>
      <c r="C2043" s="1" t="n">
        <v>45797</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67814-2020</t>
        </is>
      </c>
      <c r="B2044" s="1" t="n">
        <v>44182</v>
      </c>
      <c r="C2044" s="1" t="n">
        <v>45797</v>
      </c>
      <c r="D2044" t="inlineStr">
        <is>
          <t>ÖREBRO LÄN</t>
        </is>
      </c>
      <c r="E2044" t="inlineStr">
        <is>
          <t>LAXÅ</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67825-2020</t>
        </is>
      </c>
      <c r="B2045" s="1" t="n">
        <v>44182</v>
      </c>
      <c r="C2045" s="1" t="n">
        <v>45797</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67849-2020</t>
        </is>
      </c>
      <c r="B2046" s="1" t="n">
        <v>44182</v>
      </c>
      <c r="C2046" s="1" t="n">
        <v>45797</v>
      </c>
      <c r="D2046" t="inlineStr">
        <is>
          <t>ÖREBRO LÄN</t>
        </is>
      </c>
      <c r="E2046" t="inlineStr">
        <is>
          <t>LAXÅ</t>
        </is>
      </c>
      <c r="F2046" t="inlineStr">
        <is>
          <t>Sveaskog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67626-2020</t>
        </is>
      </c>
      <c r="B2047" s="1" t="n">
        <v>44182</v>
      </c>
      <c r="C2047" s="1" t="n">
        <v>45797</v>
      </c>
      <c r="D2047" t="inlineStr">
        <is>
          <t>ÖREBRO LÄN</t>
        </is>
      </c>
      <c r="E2047" t="inlineStr">
        <is>
          <t>LAXÅ</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67792-2020</t>
        </is>
      </c>
      <c r="B2048" s="1" t="n">
        <v>44182</v>
      </c>
      <c r="C2048" s="1" t="n">
        <v>45797</v>
      </c>
      <c r="D2048" t="inlineStr">
        <is>
          <t>ÖREBRO LÄN</t>
        </is>
      </c>
      <c r="E2048" t="inlineStr">
        <is>
          <t>LAXÅ</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67806-2020</t>
        </is>
      </c>
      <c r="B2049" s="1" t="n">
        <v>44182</v>
      </c>
      <c r="C2049" s="1" t="n">
        <v>45797</v>
      </c>
      <c r="D2049" t="inlineStr">
        <is>
          <t>ÖREBRO LÄN</t>
        </is>
      </c>
      <c r="E2049" t="inlineStr">
        <is>
          <t>LAXÅ</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67822-2020</t>
        </is>
      </c>
      <c r="B2050" s="1" t="n">
        <v>44182</v>
      </c>
      <c r="C2050" s="1" t="n">
        <v>45797</v>
      </c>
      <c r="D2050" t="inlineStr">
        <is>
          <t>ÖREBRO LÄN</t>
        </is>
      </c>
      <c r="E2050" t="inlineStr">
        <is>
          <t>LAXÅ</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67790-2020</t>
        </is>
      </c>
      <c r="B2051" s="1" t="n">
        <v>44182</v>
      </c>
      <c r="C2051" s="1" t="n">
        <v>45797</v>
      </c>
      <c r="D2051" t="inlineStr">
        <is>
          <t>ÖREBRO LÄN</t>
        </is>
      </c>
      <c r="E2051" t="inlineStr">
        <is>
          <t>LAXÅ</t>
        </is>
      </c>
      <c r="F2051" t="inlineStr">
        <is>
          <t>Sveaskog</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67802-2020</t>
        </is>
      </c>
      <c r="B2052" s="1" t="n">
        <v>44182</v>
      </c>
      <c r="C2052" s="1" t="n">
        <v>45797</v>
      </c>
      <c r="D2052" t="inlineStr">
        <is>
          <t>ÖREBRO LÄN</t>
        </is>
      </c>
      <c r="E2052" t="inlineStr">
        <is>
          <t>LAXÅ</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67829-2020</t>
        </is>
      </c>
      <c r="B2053" s="1" t="n">
        <v>44182</v>
      </c>
      <c r="C2053" s="1" t="n">
        <v>45797</v>
      </c>
      <c r="D2053" t="inlineStr">
        <is>
          <t>ÖREBRO LÄN</t>
        </is>
      </c>
      <c r="E2053" t="inlineStr">
        <is>
          <t>LAXÅ</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67853-2020</t>
        </is>
      </c>
      <c r="B2054" s="1" t="n">
        <v>44182</v>
      </c>
      <c r="C2054" s="1" t="n">
        <v>45797</v>
      </c>
      <c r="D2054" t="inlineStr">
        <is>
          <t>ÖREBRO LÄN</t>
        </is>
      </c>
      <c r="E2054" t="inlineStr">
        <is>
          <t>LAXÅ</t>
        </is>
      </c>
      <c r="F2054" t="inlineStr">
        <is>
          <t>Sveaskog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67858-2020</t>
        </is>
      </c>
      <c r="B2055" s="1" t="n">
        <v>44182</v>
      </c>
      <c r="C2055" s="1" t="n">
        <v>45797</v>
      </c>
      <c r="D2055" t="inlineStr">
        <is>
          <t>ÖREBRO LÄN</t>
        </is>
      </c>
      <c r="E2055" t="inlineStr">
        <is>
          <t>LAXÅ</t>
        </is>
      </c>
      <c r="F2055" t="inlineStr">
        <is>
          <t>Sveaskog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67726-2020</t>
        </is>
      </c>
      <c r="B2056" s="1" t="n">
        <v>44182</v>
      </c>
      <c r="C2056" s="1" t="n">
        <v>45797</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67796-2020</t>
        </is>
      </c>
      <c r="B2057" s="1" t="n">
        <v>44182</v>
      </c>
      <c r="C2057" s="1" t="n">
        <v>45797</v>
      </c>
      <c r="D2057" t="inlineStr">
        <is>
          <t>ÖREBRO LÄN</t>
        </is>
      </c>
      <c r="E2057" t="inlineStr">
        <is>
          <t>LAXÅ</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67819-2020</t>
        </is>
      </c>
      <c r="B2058" s="1" t="n">
        <v>44182</v>
      </c>
      <c r="C2058" s="1" t="n">
        <v>45797</v>
      </c>
      <c r="D2058" t="inlineStr">
        <is>
          <t>ÖREBRO LÄN</t>
        </is>
      </c>
      <c r="E2058" t="inlineStr">
        <is>
          <t>LAXÅ</t>
        </is>
      </c>
      <c r="F2058" t="inlineStr">
        <is>
          <t>Sveaskog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67826-2020</t>
        </is>
      </c>
      <c r="B2059" s="1" t="n">
        <v>44182</v>
      </c>
      <c r="C2059" s="1" t="n">
        <v>45797</v>
      </c>
      <c r="D2059" t="inlineStr">
        <is>
          <t>ÖREBRO LÄN</t>
        </is>
      </c>
      <c r="E2059" t="inlineStr">
        <is>
          <t>LAXÅ</t>
        </is>
      </c>
      <c r="F2059" t="inlineStr">
        <is>
          <t>Sveaskog</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67863-2020</t>
        </is>
      </c>
      <c r="B2060" s="1" t="n">
        <v>44182</v>
      </c>
      <c r="C2060" s="1" t="n">
        <v>45797</v>
      </c>
      <c r="D2060" t="inlineStr">
        <is>
          <t>ÖREBRO LÄN</t>
        </is>
      </c>
      <c r="E2060" t="inlineStr">
        <is>
          <t>LAXÅ</t>
        </is>
      </c>
      <c r="F2060" t="inlineStr">
        <is>
          <t>Sveaskog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67861-2020</t>
        </is>
      </c>
      <c r="B2061" s="1" t="n">
        <v>44182</v>
      </c>
      <c r="C2061" s="1" t="n">
        <v>45797</v>
      </c>
      <c r="D2061" t="inlineStr">
        <is>
          <t>ÖREBRO LÄN</t>
        </is>
      </c>
      <c r="E2061" t="inlineStr">
        <is>
          <t>LAXÅ</t>
        </is>
      </c>
      <c r="F2061" t="inlineStr">
        <is>
          <t>Sveaskog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67871-2020</t>
        </is>
      </c>
      <c r="B2062" s="1" t="n">
        <v>44182</v>
      </c>
      <c r="C2062" s="1" t="n">
        <v>45797</v>
      </c>
      <c r="D2062" t="inlineStr">
        <is>
          <t>ÖREBRO LÄN</t>
        </is>
      </c>
      <c r="E2062" t="inlineStr">
        <is>
          <t>LAXÅ</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67879-2020</t>
        </is>
      </c>
      <c r="B2063" s="1" t="n">
        <v>44182</v>
      </c>
      <c r="C2063" s="1" t="n">
        <v>45797</v>
      </c>
      <c r="D2063" t="inlineStr">
        <is>
          <t>ÖREBRO LÄN</t>
        </is>
      </c>
      <c r="E2063" t="inlineStr">
        <is>
          <t>LAXÅ</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67891-2020</t>
        </is>
      </c>
      <c r="B2064" s="1" t="n">
        <v>44182</v>
      </c>
      <c r="C2064" s="1" t="n">
        <v>45797</v>
      </c>
      <c r="D2064" t="inlineStr">
        <is>
          <t>ÖREBRO LÄN</t>
        </is>
      </c>
      <c r="E2064" t="inlineStr">
        <is>
          <t>LAXÅ</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67902-2020</t>
        </is>
      </c>
      <c r="B2065" s="1" t="n">
        <v>44182</v>
      </c>
      <c r="C2065" s="1" t="n">
        <v>45797</v>
      </c>
      <c r="D2065" t="inlineStr">
        <is>
          <t>ÖREBRO LÄN</t>
        </is>
      </c>
      <c r="E2065" t="inlineStr">
        <is>
          <t>LAXÅ</t>
        </is>
      </c>
      <c r="F2065" t="inlineStr">
        <is>
          <t>Sveaskog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67859-2020</t>
        </is>
      </c>
      <c r="B2066" s="1" t="n">
        <v>44182</v>
      </c>
      <c r="C2066" s="1" t="n">
        <v>45797</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67869-2020</t>
        </is>
      </c>
      <c r="B2067" s="1" t="n">
        <v>44182</v>
      </c>
      <c r="C2067" s="1" t="n">
        <v>45797</v>
      </c>
      <c r="D2067" t="inlineStr">
        <is>
          <t>ÖREBRO LÄN</t>
        </is>
      </c>
      <c r="E2067" t="inlineStr">
        <is>
          <t>LAXÅ</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67885-2020</t>
        </is>
      </c>
      <c r="B2068" s="1" t="n">
        <v>44182</v>
      </c>
      <c r="C2068" s="1" t="n">
        <v>45797</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67901-2020</t>
        </is>
      </c>
      <c r="B2069" s="1" t="n">
        <v>44182</v>
      </c>
      <c r="C2069" s="1" t="n">
        <v>45797</v>
      </c>
      <c r="D2069" t="inlineStr">
        <is>
          <t>ÖREBRO LÄN</t>
        </is>
      </c>
      <c r="E2069" t="inlineStr">
        <is>
          <t>LAXÅ</t>
        </is>
      </c>
      <c r="F2069" t="inlineStr">
        <is>
          <t>Sveaskog</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67865-2020</t>
        </is>
      </c>
      <c r="B2070" s="1" t="n">
        <v>44182</v>
      </c>
      <c r="C2070" s="1" t="n">
        <v>45797</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67874-2020</t>
        </is>
      </c>
      <c r="B2071" s="1" t="n">
        <v>44182</v>
      </c>
      <c r="C2071" s="1" t="n">
        <v>45797</v>
      </c>
      <c r="D2071" t="inlineStr">
        <is>
          <t>ÖREBRO LÄN</t>
        </is>
      </c>
      <c r="E2071" t="inlineStr">
        <is>
          <t>LAXÅ</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67900-2020</t>
        </is>
      </c>
      <c r="B2072" s="1" t="n">
        <v>44182</v>
      </c>
      <c r="C2072" s="1" t="n">
        <v>45797</v>
      </c>
      <c r="D2072" t="inlineStr">
        <is>
          <t>ÖREBRO LÄN</t>
        </is>
      </c>
      <c r="E2072" t="inlineStr">
        <is>
          <t>LAXÅ</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67907-2020</t>
        </is>
      </c>
      <c r="B2073" s="1" t="n">
        <v>44182</v>
      </c>
      <c r="C2073" s="1" t="n">
        <v>45797</v>
      </c>
      <c r="D2073" t="inlineStr">
        <is>
          <t>ÖREBRO LÄN</t>
        </is>
      </c>
      <c r="E2073" t="inlineStr">
        <is>
          <t>LAXÅ</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67917-2020</t>
        </is>
      </c>
      <c r="B2074" s="1" t="n">
        <v>44182</v>
      </c>
      <c r="C2074" s="1" t="n">
        <v>45797</v>
      </c>
      <c r="D2074" t="inlineStr">
        <is>
          <t>ÖREBRO LÄN</t>
        </is>
      </c>
      <c r="E2074" t="inlineStr">
        <is>
          <t>LAXÅ</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67895-2020</t>
        </is>
      </c>
      <c r="B2075" s="1" t="n">
        <v>44182</v>
      </c>
      <c r="C2075" s="1" t="n">
        <v>45797</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67905-2020</t>
        </is>
      </c>
      <c r="B2076" s="1" t="n">
        <v>44182</v>
      </c>
      <c r="C2076" s="1" t="n">
        <v>45797</v>
      </c>
      <c r="D2076" t="inlineStr">
        <is>
          <t>ÖREBRO LÄN</t>
        </is>
      </c>
      <c r="E2076" t="inlineStr">
        <is>
          <t>LAXÅ</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67913-2020</t>
        </is>
      </c>
      <c r="B2077" s="1" t="n">
        <v>44182</v>
      </c>
      <c r="C2077" s="1" t="n">
        <v>45797</v>
      </c>
      <c r="D2077" t="inlineStr">
        <is>
          <t>ÖREBRO LÄN</t>
        </is>
      </c>
      <c r="E2077" t="inlineStr">
        <is>
          <t>LAXÅ</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67919-2020</t>
        </is>
      </c>
      <c r="B2078" s="1" t="n">
        <v>44182</v>
      </c>
      <c r="C2078" s="1" t="n">
        <v>45797</v>
      </c>
      <c r="D2078" t="inlineStr">
        <is>
          <t>ÖREBRO LÄN</t>
        </is>
      </c>
      <c r="E2078" t="inlineStr">
        <is>
          <t>LAXÅ</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68107-2020</t>
        </is>
      </c>
      <c r="B2079" s="1" t="n">
        <v>44182</v>
      </c>
      <c r="C2079" s="1" t="n">
        <v>45797</v>
      </c>
      <c r="D2079" t="inlineStr">
        <is>
          <t>ÖREBRO LÄN</t>
        </is>
      </c>
      <c r="E2079" t="inlineStr">
        <is>
          <t>LAXÅ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67918-2020</t>
        </is>
      </c>
      <c r="B2080" s="1" t="n">
        <v>44182</v>
      </c>
      <c r="C2080" s="1" t="n">
        <v>45797</v>
      </c>
      <c r="D2080" t="inlineStr">
        <is>
          <t>ÖREBRO LÄN</t>
        </is>
      </c>
      <c r="E2080" t="inlineStr">
        <is>
          <t>LAXÅ</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67906-2020</t>
        </is>
      </c>
      <c r="B2081" s="1" t="n">
        <v>44182</v>
      </c>
      <c r="C2081" s="1" t="n">
        <v>45797</v>
      </c>
      <c r="D2081" t="inlineStr">
        <is>
          <t>ÖREBRO LÄN</t>
        </is>
      </c>
      <c r="E2081" t="inlineStr">
        <is>
          <t>LAXÅ</t>
        </is>
      </c>
      <c r="F2081" t="inlineStr">
        <is>
          <t>Sveaskog</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67915-2020</t>
        </is>
      </c>
      <c r="B2082" s="1" t="n">
        <v>44182</v>
      </c>
      <c r="C2082" s="1" t="n">
        <v>45797</v>
      </c>
      <c r="D2082" t="inlineStr">
        <is>
          <t>ÖREBRO LÄN</t>
        </is>
      </c>
      <c r="E2082" t="inlineStr">
        <is>
          <t>LAXÅ</t>
        </is>
      </c>
      <c r="F2082" t="inlineStr">
        <is>
          <t>Sveaskog</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68079-2020</t>
        </is>
      </c>
      <c r="B2083" s="1" t="n">
        <v>44183</v>
      </c>
      <c r="C2083" s="1" t="n">
        <v>45797</v>
      </c>
      <c r="D2083" t="inlineStr">
        <is>
          <t>ÖREBRO LÄN</t>
        </is>
      </c>
      <c r="E2083" t="inlineStr">
        <is>
          <t>LAXÅ</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68080-2020</t>
        </is>
      </c>
      <c r="B2084" s="1" t="n">
        <v>44183</v>
      </c>
      <c r="C2084" s="1" t="n">
        <v>45797</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68250-2020</t>
        </is>
      </c>
      <c r="B2085" s="1" t="n">
        <v>44183</v>
      </c>
      <c r="C2085" s="1" t="n">
        <v>45797</v>
      </c>
      <c r="D2085" t="inlineStr">
        <is>
          <t>ÖREBRO LÄN</t>
        </is>
      </c>
      <c r="E2085" t="inlineStr">
        <is>
          <t>LEKEBERG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68090-2020</t>
        </is>
      </c>
      <c r="B2086" s="1" t="n">
        <v>44183</v>
      </c>
      <c r="C2086" s="1" t="n">
        <v>45797</v>
      </c>
      <c r="D2086" t="inlineStr">
        <is>
          <t>ÖREBRO LÄN</t>
        </is>
      </c>
      <c r="E2086" t="inlineStr">
        <is>
          <t>LINDESBERG</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68453-2020</t>
        </is>
      </c>
      <c r="B2087" s="1" t="n">
        <v>44183</v>
      </c>
      <c r="C2087" s="1" t="n">
        <v>45797</v>
      </c>
      <c r="D2087" t="inlineStr">
        <is>
          <t>ÖREBRO LÄN</t>
        </is>
      </c>
      <c r="E2087" t="inlineStr">
        <is>
          <t>LAXÅ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68432-2020</t>
        </is>
      </c>
      <c r="B2088" s="1" t="n">
        <v>44186</v>
      </c>
      <c r="C2088" s="1" t="n">
        <v>45797</v>
      </c>
      <c r="D2088" t="inlineStr">
        <is>
          <t>ÖREBRO LÄN</t>
        </is>
      </c>
      <c r="E2088" t="inlineStr">
        <is>
          <t>ASKERSUND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68450-2020</t>
        </is>
      </c>
      <c r="B2089" s="1" t="n">
        <v>44186</v>
      </c>
      <c r="C2089" s="1" t="n">
        <v>45797</v>
      </c>
      <c r="D2089" t="inlineStr">
        <is>
          <t>ÖREBRO LÄN</t>
        </is>
      </c>
      <c r="E2089" t="inlineStr">
        <is>
          <t>ASKERSUND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68829-2020</t>
        </is>
      </c>
      <c r="B2090" s="1" t="n">
        <v>44187</v>
      </c>
      <c r="C2090" s="1" t="n">
        <v>45797</v>
      </c>
      <c r="D2090" t="inlineStr">
        <is>
          <t>ÖREBRO LÄN</t>
        </is>
      </c>
      <c r="E2090" t="inlineStr">
        <is>
          <t>LINDESBERG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68831-2020</t>
        </is>
      </c>
      <c r="B2091" s="1" t="n">
        <v>44187</v>
      </c>
      <c r="C2091" s="1" t="n">
        <v>45797</v>
      </c>
      <c r="D2091" t="inlineStr">
        <is>
          <t>ÖREBRO LÄN</t>
        </is>
      </c>
      <c r="E2091" t="inlineStr">
        <is>
          <t>ASKERSUND</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68857-2020</t>
        </is>
      </c>
      <c r="B2092" s="1" t="n">
        <v>44187</v>
      </c>
      <c r="C2092" s="1" t="n">
        <v>45797</v>
      </c>
      <c r="D2092" t="inlineStr">
        <is>
          <t>ÖREBRO LÄN</t>
        </is>
      </c>
      <c r="E2092" t="inlineStr">
        <is>
          <t>LINDESBERG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69328-2020</t>
        </is>
      </c>
      <c r="B2093" s="1" t="n">
        <v>44188</v>
      </c>
      <c r="C2093" s="1" t="n">
        <v>45797</v>
      </c>
      <c r="D2093" t="inlineStr">
        <is>
          <t>ÖREBRO LÄN</t>
        </is>
      </c>
      <c r="E2093" t="inlineStr">
        <is>
          <t>ÖREBRO</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69556-2020</t>
        </is>
      </c>
      <c r="B2094" s="1" t="n">
        <v>44194</v>
      </c>
      <c r="C2094" s="1" t="n">
        <v>45797</v>
      </c>
      <c r="D2094" t="inlineStr">
        <is>
          <t>ÖREBRO LÄN</t>
        </is>
      </c>
      <c r="E2094" t="inlineStr">
        <is>
          <t>ASKERSUND</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69613-2020</t>
        </is>
      </c>
      <c r="B2095" s="1" t="n">
        <v>44195</v>
      </c>
      <c r="C2095" s="1" t="n">
        <v>45797</v>
      </c>
      <c r="D2095" t="inlineStr">
        <is>
          <t>ÖREBRO LÄN</t>
        </is>
      </c>
      <c r="E2095" t="inlineStr">
        <is>
          <t>ÖREBRO</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8-2021</t>
        </is>
      </c>
      <c r="B2096" s="1" t="n">
        <v>44197</v>
      </c>
      <c r="C2096" s="1" t="n">
        <v>45797</v>
      </c>
      <c r="D2096" t="inlineStr">
        <is>
          <t>ÖREBRO LÄN</t>
        </is>
      </c>
      <c r="E2096" t="inlineStr">
        <is>
          <t>LINDESBERG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166-2021</t>
        </is>
      </c>
      <c r="B2097" s="1" t="n">
        <v>44200</v>
      </c>
      <c r="C2097" s="1" t="n">
        <v>45797</v>
      </c>
      <c r="D2097" t="inlineStr">
        <is>
          <t>ÖREBRO LÄN</t>
        </is>
      </c>
      <c r="E2097" t="inlineStr">
        <is>
          <t>ASKERSUND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251-2021</t>
        </is>
      </c>
      <c r="B2098" s="1" t="n">
        <v>44200</v>
      </c>
      <c r="C2098" s="1" t="n">
        <v>45797</v>
      </c>
      <c r="D2098" t="inlineStr">
        <is>
          <t>ÖREBRO LÄN</t>
        </is>
      </c>
      <c r="E2098" t="inlineStr">
        <is>
          <t>NORA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829-2021</t>
        </is>
      </c>
      <c r="B2099" s="1" t="n">
        <v>44204</v>
      </c>
      <c r="C2099" s="1" t="n">
        <v>45797</v>
      </c>
      <c r="D2099" t="inlineStr">
        <is>
          <t>ÖREBRO LÄN</t>
        </is>
      </c>
      <c r="E2099" t="inlineStr">
        <is>
          <t>ASKERSUND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1230-2021</t>
        </is>
      </c>
      <c r="B2100" s="1" t="n">
        <v>44208</v>
      </c>
      <c r="C2100" s="1" t="n">
        <v>45797</v>
      </c>
      <c r="D2100" t="inlineStr">
        <is>
          <t>ÖREBRO LÄN</t>
        </is>
      </c>
      <c r="E2100" t="inlineStr">
        <is>
          <t>LINDESBERG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1347-2021</t>
        </is>
      </c>
      <c r="B2101" s="1" t="n">
        <v>44208</v>
      </c>
      <c r="C2101" s="1" t="n">
        <v>45797</v>
      </c>
      <c r="D2101" t="inlineStr">
        <is>
          <t>ÖREBRO LÄN</t>
        </is>
      </c>
      <c r="E2101" t="inlineStr">
        <is>
          <t>ASKERSUND</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1601-2021</t>
        </is>
      </c>
      <c r="B2102" s="1" t="n">
        <v>44209</v>
      </c>
      <c r="C2102" s="1" t="n">
        <v>45797</v>
      </c>
      <c r="D2102" t="inlineStr">
        <is>
          <t>ÖREBRO LÄN</t>
        </is>
      </c>
      <c r="E2102" t="inlineStr">
        <is>
          <t>ASKERSUND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1618-2021</t>
        </is>
      </c>
      <c r="B2103" s="1" t="n">
        <v>44209</v>
      </c>
      <c r="C2103" s="1" t="n">
        <v>45797</v>
      </c>
      <c r="D2103" t="inlineStr">
        <is>
          <t>ÖREBRO LÄN</t>
        </is>
      </c>
      <c r="E2103" t="inlineStr">
        <is>
          <t>HALLSBERG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1577-2021</t>
        </is>
      </c>
      <c r="B2104" s="1" t="n">
        <v>44209</v>
      </c>
      <c r="C2104" s="1" t="n">
        <v>45797</v>
      </c>
      <c r="D2104" t="inlineStr">
        <is>
          <t>ÖREBRO LÄN</t>
        </is>
      </c>
      <c r="E2104" t="inlineStr">
        <is>
          <t>LJUSNARSBERG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1592-2021</t>
        </is>
      </c>
      <c r="B2105" s="1" t="n">
        <v>44209</v>
      </c>
      <c r="C2105" s="1" t="n">
        <v>45797</v>
      </c>
      <c r="D2105" t="inlineStr">
        <is>
          <t>ÖREBRO LÄN</t>
        </is>
      </c>
      <c r="E2105" t="inlineStr">
        <is>
          <t>LEKEBERG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1759-2021</t>
        </is>
      </c>
      <c r="B2106" s="1" t="n">
        <v>44209</v>
      </c>
      <c r="C2106" s="1" t="n">
        <v>45797</v>
      </c>
      <c r="D2106" t="inlineStr">
        <is>
          <t>ÖREBRO LÄN</t>
        </is>
      </c>
      <c r="E2106" t="inlineStr">
        <is>
          <t>LEKEBERG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1957-2021</t>
        </is>
      </c>
      <c r="B2107" s="1" t="n">
        <v>44210</v>
      </c>
      <c r="C2107" s="1" t="n">
        <v>45797</v>
      </c>
      <c r="D2107" t="inlineStr">
        <is>
          <t>ÖREBRO LÄN</t>
        </is>
      </c>
      <c r="E2107" t="inlineStr">
        <is>
          <t>LINDESBERG</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2232-2021</t>
        </is>
      </c>
      <c r="B2108" s="1" t="n">
        <v>44211</v>
      </c>
      <c r="C2108" s="1" t="n">
        <v>45797</v>
      </c>
      <c r="D2108" t="inlineStr">
        <is>
          <t>ÖREBRO LÄN</t>
        </is>
      </c>
      <c r="E2108" t="inlineStr">
        <is>
          <t>ASKERSUND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2304-2021</t>
        </is>
      </c>
      <c r="B2109" s="1" t="n">
        <v>44213</v>
      </c>
      <c r="C2109" s="1" t="n">
        <v>45797</v>
      </c>
      <c r="D2109" t="inlineStr">
        <is>
          <t>ÖREBRO LÄN</t>
        </is>
      </c>
      <c r="E2109" t="inlineStr">
        <is>
          <t>NORA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2303-2021</t>
        </is>
      </c>
      <c r="B2110" s="1" t="n">
        <v>44213</v>
      </c>
      <c r="C2110" s="1" t="n">
        <v>45797</v>
      </c>
      <c r="D2110" t="inlineStr">
        <is>
          <t>ÖREBRO LÄN</t>
        </is>
      </c>
      <c r="E2110" t="inlineStr">
        <is>
          <t>HALLSBERG</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2804-2021</t>
        </is>
      </c>
      <c r="B2111" s="1" t="n">
        <v>44215</v>
      </c>
      <c r="C2111" s="1" t="n">
        <v>45797</v>
      </c>
      <c r="D2111" t="inlineStr">
        <is>
          <t>ÖREBRO LÄN</t>
        </is>
      </c>
      <c r="E2111" t="inlineStr">
        <is>
          <t>KARLSKOGA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3087-2021</t>
        </is>
      </c>
      <c r="B2112" s="1" t="n">
        <v>44216</v>
      </c>
      <c r="C2112" s="1" t="n">
        <v>45797</v>
      </c>
      <c r="D2112" t="inlineStr">
        <is>
          <t>ÖREBRO LÄN</t>
        </is>
      </c>
      <c r="E2112" t="inlineStr">
        <is>
          <t>ÖREBRO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3078-2021</t>
        </is>
      </c>
      <c r="B2113" s="1" t="n">
        <v>44216</v>
      </c>
      <c r="C2113" s="1" t="n">
        <v>45797</v>
      </c>
      <c r="D2113" t="inlineStr">
        <is>
          <t>ÖREBRO LÄN</t>
        </is>
      </c>
      <c r="E2113" t="inlineStr">
        <is>
          <t>ÖREBRO</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3085-2021</t>
        </is>
      </c>
      <c r="B2114" s="1" t="n">
        <v>44216</v>
      </c>
      <c r="C2114" s="1" t="n">
        <v>45797</v>
      </c>
      <c r="D2114" t="inlineStr">
        <is>
          <t>ÖREBRO LÄN</t>
        </is>
      </c>
      <c r="E2114" t="inlineStr">
        <is>
          <t>ÖREBRO</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3081-2021</t>
        </is>
      </c>
      <c r="B2115" s="1" t="n">
        <v>44216</v>
      </c>
      <c r="C2115" s="1" t="n">
        <v>45797</v>
      </c>
      <c r="D2115" t="inlineStr">
        <is>
          <t>ÖREBRO LÄN</t>
        </is>
      </c>
      <c r="E2115" t="inlineStr">
        <is>
          <t>ÖREBRO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4021-2021</t>
        </is>
      </c>
      <c r="B2116" s="1" t="n">
        <v>44218</v>
      </c>
      <c r="C2116" s="1" t="n">
        <v>45797</v>
      </c>
      <c r="D2116" t="inlineStr">
        <is>
          <t>ÖREBRO LÄN</t>
        </is>
      </c>
      <c r="E2116" t="inlineStr">
        <is>
          <t>ÖREBRO</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3619-2021</t>
        </is>
      </c>
      <c r="B2117" s="1" t="n">
        <v>44221</v>
      </c>
      <c r="C2117" s="1" t="n">
        <v>45797</v>
      </c>
      <c r="D2117" t="inlineStr">
        <is>
          <t>ÖREBRO LÄN</t>
        </is>
      </c>
      <c r="E2117" t="inlineStr">
        <is>
          <t>HÄLLEFORS</t>
        </is>
      </c>
      <c r="F2117" t="inlineStr">
        <is>
          <t>Kyrkan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3615-2021</t>
        </is>
      </c>
      <c r="B2118" s="1" t="n">
        <v>44221</v>
      </c>
      <c r="C2118" s="1" t="n">
        <v>45797</v>
      </c>
      <c r="D2118" t="inlineStr">
        <is>
          <t>ÖREBRO LÄN</t>
        </is>
      </c>
      <c r="E2118" t="inlineStr">
        <is>
          <t>LAXÅ</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3915-2021</t>
        </is>
      </c>
      <c r="B2119" s="1" t="n">
        <v>44222</v>
      </c>
      <c r="C2119" s="1" t="n">
        <v>45797</v>
      </c>
      <c r="D2119" t="inlineStr">
        <is>
          <t>ÖREBRO LÄN</t>
        </is>
      </c>
      <c r="E2119" t="inlineStr">
        <is>
          <t>KUMLA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4188-2021</t>
        </is>
      </c>
      <c r="B2120" s="1" t="n">
        <v>44223</v>
      </c>
      <c r="C2120" s="1" t="n">
        <v>45797</v>
      </c>
      <c r="D2120" t="inlineStr">
        <is>
          <t>ÖREBRO LÄN</t>
        </is>
      </c>
      <c r="E2120" t="inlineStr">
        <is>
          <t>LAXÅ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4425-2021</t>
        </is>
      </c>
      <c r="B2121" s="1" t="n">
        <v>44224</v>
      </c>
      <c r="C2121" s="1" t="n">
        <v>45797</v>
      </c>
      <c r="D2121" t="inlineStr">
        <is>
          <t>ÖREBRO LÄN</t>
        </is>
      </c>
      <c r="E2121" t="inlineStr">
        <is>
          <t>LINDESBERG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5101-2021</t>
        </is>
      </c>
      <c r="B2122" s="1" t="n">
        <v>44224</v>
      </c>
      <c r="C2122" s="1" t="n">
        <v>45797</v>
      </c>
      <c r="D2122" t="inlineStr">
        <is>
          <t>ÖREBRO LÄN</t>
        </is>
      </c>
      <c r="E2122" t="inlineStr">
        <is>
          <t>HALLSBERG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4876-2021</t>
        </is>
      </c>
      <c r="B2123" s="1" t="n">
        <v>44225</v>
      </c>
      <c r="C2123" s="1" t="n">
        <v>45797</v>
      </c>
      <c r="D2123" t="inlineStr">
        <is>
          <t>ÖREBRO LÄN</t>
        </is>
      </c>
      <c r="E2123" t="inlineStr">
        <is>
          <t>LJUSNARSBERG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4924-2021</t>
        </is>
      </c>
      <c r="B2124" s="1" t="n">
        <v>44227</v>
      </c>
      <c r="C2124" s="1" t="n">
        <v>45797</v>
      </c>
      <c r="D2124" t="inlineStr">
        <is>
          <t>ÖREBRO LÄN</t>
        </is>
      </c>
      <c r="E2124" t="inlineStr">
        <is>
          <t>LINDESBERG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4964-2021</t>
        </is>
      </c>
      <c r="B2125" s="1" t="n">
        <v>44228</v>
      </c>
      <c r="C2125" s="1" t="n">
        <v>45797</v>
      </c>
      <c r="D2125" t="inlineStr">
        <is>
          <t>ÖREBRO LÄN</t>
        </is>
      </c>
      <c r="E2125" t="inlineStr">
        <is>
          <t>LJUSNARSBERG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4982-2021</t>
        </is>
      </c>
      <c r="B2126" s="1" t="n">
        <v>44228</v>
      </c>
      <c r="C2126" s="1" t="n">
        <v>45797</v>
      </c>
      <c r="D2126" t="inlineStr">
        <is>
          <t>ÖREBRO LÄN</t>
        </is>
      </c>
      <c r="E2126" t="inlineStr">
        <is>
          <t>LINDESBERG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5218-2021</t>
        </is>
      </c>
      <c r="B2127" s="1" t="n">
        <v>44228</v>
      </c>
      <c r="C2127" s="1" t="n">
        <v>45797</v>
      </c>
      <c r="D2127" t="inlineStr">
        <is>
          <t>ÖREBRO LÄN</t>
        </is>
      </c>
      <c r="E2127" t="inlineStr">
        <is>
          <t>ASKERSUND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4531-2021</t>
        </is>
      </c>
      <c r="B2128" s="1" t="n">
        <v>44229</v>
      </c>
      <c r="C2128" s="1" t="n">
        <v>45797</v>
      </c>
      <c r="D2128" t="inlineStr">
        <is>
          <t>ÖREBRO LÄN</t>
        </is>
      </c>
      <c r="E2128" t="inlineStr">
        <is>
          <t>ASKERSUND</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5482-2021</t>
        </is>
      </c>
      <c r="B2129" s="1" t="n">
        <v>44230</v>
      </c>
      <c r="C2129" s="1" t="n">
        <v>45797</v>
      </c>
      <c r="D2129" t="inlineStr">
        <is>
          <t>ÖREBRO LÄN</t>
        </is>
      </c>
      <c r="E2129" t="inlineStr">
        <is>
          <t>ASKERSUND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5651-2021</t>
        </is>
      </c>
      <c r="B2130" s="1" t="n">
        <v>44230</v>
      </c>
      <c r="C2130" s="1" t="n">
        <v>45797</v>
      </c>
      <c r="D2130" t="inlineStr">
        <is>
          <t>ÖREBRO LÄN</t>
        </is>
      </c>
      <c r="E2130" t="inlineStr">
        <is>
          <t>HALLSBERG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5735-2021</t>
        </is>
      </c>
      <c r="B2131" s="1" t="n">
        <v>44230</v>
      </c>
      <c r="C2131" s="1" t="n">
        <v>45797</v>
      </c>
      <c r="D2131" t="inlineStr">
        <is>
          <t>ÖREBRO LÄN</t>
        </is>
      </c>
      <c r="E2131" t="inlineStr">
        <is>
          <t>DEGERFORS</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5708-2021</t>
        </is>
      </c>
      <c r="B2132" s="1" t="n">
        <v>44230</v>
      </c>
      <c r="C2132" s="1" t="n">
        <v>45797</v>
      </c>
      <c r="D2132" t="inlineStr">
        <is>
          <t>ÖREBRO LÄN</t>
        </is>
      </c>
      <c r="E2132" t="inlineStr">
        <is>
          <t>ÖREBRO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5836-2021</t>
        </is>
      </c>
      <c r="B2133" s="1" t="n">
        <v>44230</v>
      </c>
      <c r="C2133" s="1" t="n">
        <v>45797</v>
      </c>
      <c r="D2133" t="inlineStr">
        <is>
          <t>ÖREBRO LÄN</t>
        </is>
      </c>
      <c r="E2133" t="inlineStr">
        <is>
          <t>KARLSKOGA</t>
        </is>
      </c>
      <c r="F2133" t="inlineStr">
        <is>
          <t>Övriga Aktiebolag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5946-2021</t>
        </is>
      </c>
      <c r="B2134" s="1" t="n">
        <v>44230</v>
      </c>
      <c r="C2134" s="1" t="n">
        <v>45797</v>
      </c>
      <c r="D2134" t="inlineStr">
        <is>
          <t>ÖREBRO LÄN</t>
        </is>
      </c>
      <c r="E2134" t="inlineStr">
        <is>
          <t>ÖREBRO</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6001-2021</t>
        </is>
      </c>
      <c r="B2135" s="1" t="n">
        <v>44231</v>
      </c>
      <c r="C2135" s="1" t="n">
        <v>45797</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6065-2021</t>
        </is>
      </c>
      <c r="B2136" s="1" t="n">
        <v>44232</v>
      </c>
      <c r="C2136" s="1" t="n">
        <v>45797</v>
      </c>
      <c r="D2136" t="inlineStr">
        <is>
          <t>ÖREBRO LÄN</t>
        </is>
      </c>
      <c r="E2136" t="inlineStr">
        <is>
          <t>ASKERSUND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6179-2021</t>
        </is>
      </c>
      <c r="B2137" s="1" t="n">
        <v>44232</v>
      </c>
      <c r="C2137" s="1" t="n">
        <v>45797</v>
      </c>
      <c r="D2137" t="inlineStr">
        <is>
          <t>ÖREBRO LÄN</t>
        </is>
      </c>
      <c r="E2137" t="inlineStr">
        <is>
          <t>NORA</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6181-2021</t>
        </is>
      </c>
      <c r="B2138" s="1" t="n">
        <v>44232</v>
      </c>
      <c r="C2138" s="1" t="n">
        <v>45797</v>
      </c>
      <c r="D2138" t="inlineStr">
        <is>
          <t>ÖREBRO LÄN</t>
        </is>
      </c>
      <c r="E2138" t="inlineStr">
        <is>
          <t>NORA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6213-2021</t>
        </is>
      </c>
      <c r="B2139" s="1" t="n">
        <v>44232</v>
      </c>
      <c r="C2139" s="1" t="n">
        <v>45797</v>
      </c>
      <c r="D2139" t="inlineStr">
        <is>
          <t>ÖREBRO LÄN</t>
        </is>
      </c>
      <c r="E2139" t="inlineStr">
        <is>
          <t>ÖREBRO</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6071-2021</t>
        </is>
      </c>
      <c r="B2140" s="1" t="n">
        <v>44232</v>
      </c>
      <c r="C2140" s="1" t="n">
        <v>45797</v>
      </c>
      <c r="D2140" t="inlineStr">
        <is>
          <t>ÖREBRO LÄN</t>
        </is>
      </c>
      <c r="E2140" t="inlineStr">
        <is>
          <t>KUMLA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6212-2021</t>
        </is>
      </c>
      <c r="B2141" s="1" t="n">
        <v>44232</v>
      </c>
      <c r="C2141" s="1" t="n">
        <v>45797</v>
      </c>
      <c r="D2141" t="inlineStr">
        <is>
          <t>ÖREBRO LÄN</t>
        </is>
      </c>
      <c r="E2141" t="inlineStr">
        <is>
          <t>ÖREBRO</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6270-2021</t>
        </is>
      </c>
      <c r="B2142" s="1" t="n">
        <v>44235</v>
      </c>
      <c r="C2142" s="1" t="n">
        <v>45797</v>
      </c>
      <c r="D2142" t="inlineStr">
        <is>
          <t>ÖREBRO LÄN</t>
        </is>
      </c>
      <c r="E2142" t="inlineStr">
        <is>
          <t>NORA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6387-2021</t>
        </is>
      </c>
      <c r="B2143" s="1" t="n">
        <v>44235</v>
      </c>
      <c r="C2143" s="1" t="n">
        <v>45797</v>
      </c>
      <c r="D2143" t="inlineStr">
        <is>
          <t>ÖREBRO LÄN</t>
        </is>
      </c>
      <c r="E2143" t="inlineStr">
        <is>
          <t>ÖREBRO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6752-2021</t>
        </is>
      </c>
      <c r="B2144" s="1" t="n">
        <v>44236</v>
      </c>
      <c r="C2144" s="1" t="n">
        <v>45797</v>
      </c>
      <c r="D2144" t="inlineStr">
        <is>
          <t>ÖREBRO LÄN</t>
        </is>
      </c>
      <c r="E2144" t="inlineStr">
        <is>
          <t>LINDESBERG</t>
        </is>
      </c>
      <c r="G2144" t="n">
        <v>2.6</v>
      </c>
      <c r="H2144" t="n">
        <v>0</v>
      </c>
      <c r="I2144" t="n">
        <v>0</v>
      </c>
      <c r="J2144" t="n">
        <v>0</v>
      </c>
      <c r="K2144" t="n">
        <v>0</v>
      </c>
      <c r="L2144" t="n">
        <v>0</v>
      </c>
      <c r="M2144" t="n">
        <v>0</v>
      </c>
      <c r="N2144" t="n">
        <v>0</v>
      </c>
      <c r="O2144" t="n">
        <v>0</v>
      </c>
      <c r="P2144" t="n">
        <v>0</v>
      </c>
      <c r="Q2144" t="n">
        <v>0</v>
      </c>
      <c r="R2144" s="2" t="inlineStr"/>
      <c r="U2144">
        <f>HYPERLINK("https://klasma.github.io/Logging_1885/knärot/A 6752-2021 karta knärot.png", "A 6752-2021")</f>
        <v/>
      </c>
      <c r="V2144">
        <f>HYPERLINK("https://klasma.github.io/Logging_1885/klagomål/A 6752-2021 FSC-klagomål.docx", "A 6752-2021")</f>
        <v/>
      </c>
      <c r="W2144">
        <f>HYPERLINK("https://klasma.github.io/Logging_1885/klagomålsmail/A 6752-2021 FSC-klagomål mail.docx", "A 6752-2021")</f>
        <v/>
      </c>
      <c r="X2144">
        <f>HYPERLINK("https://klasma.github.io/Logging_1885/tillsyn/A 6752-2021 tillsynsbegäran.docx", "A 6752-2021")</f>
        <v/>
      </c>
      <c r="Y2144">
        <f>HYPERLINK("https://klasma.github.io/Logging_1885/tillsynsmail/A 6752-2021 tillsynsbegäran mail.docx", "A 6752-2021")</f>
        <v/>
      </c>
    </row>
    <row r="2145" ht="15" customHeight="1">
      <c r="A2145" t="inlineStr">
        <is>
          <t>A 6757-2021</t>
        </is>
      </c>
      <c r="B2145" s="1" t="n">
        <v>44236</v>
      </c>
      <c r="C2145" s="1" t="n">
        <v>45797</v>
      </c>
      <c r="D2145" t="inlineStr">
        <is>
          <t>ÖREBRO LÄN</t>
        </is>
      </c>
      <c r="E2145" t="inlineStr">
        <is>
          <t>LEKEBERG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7043-2021</t>
        </is>
      </c>
      <c r="B2146" s="1" t="n">
        <v>44237</v>
      </c>
      <c r="C2146" s="1" t="n">
        <v>45797</v>
      </c>
      <c r="D2146" t="inlineStr">
        <is>
          <t>ÖREBRO LÄN</t>
        </is>
      </c>
      <c r="E2146" t="inlineStr">
        <is>
          <t>ASKERSUND</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7045-2021</t>
        </is>
      </c>
      <c r="B2147" s="1" t="n">
        <v>44237</v>
      </c>
      <c r="C2147" s="1" t="n">
        <v>45797</v>
      </c>
      <c r="D2147" t="inlineStr">
        <is>
          <t>ÖREBRO LÄN</t>
        </is>
      </c>
      <c r="E2147" t="inlineStr">
        <is>
          <t>ASKERSUND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7117-2021</t>
        </is>
      </c>
      <c r="B2148" s="1" t="n">
        <v>44238</v>
      </c>
      <c r="C2148" s="1" t="n">
        <v>45797</v>
      </c>
      <c r="D2148" t="inlineStr">
        <is>
          <t>ÖREBRO LÄN</t>
        </is>
      </c>
      <c r="E2148" t="inlineStr">
        <is>
          <t>ÖREBRO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7147-2021</t>
        </is>
      </c>
      <c r="B2149" s="1" t="n">
        <v>44238</v>
      </c>
      <c r="C2149" s="1" t="n">
        <v>45797</v>
      </c>
      <c r="D2149" t="inlineStr">
        <is>
          <t>ÖREBRO LÄN</t>
        </is>
      </c>
      <c r="E2149" t="inlineStr">
        <is>
          <t>NORA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7123-2021</t>
        </is>
      </c>
      <c r="B2150" s="1" t="n">
        <v>44238</v>
      </c>
      <c r="C2150" s="1" t="n">
        <v>45797</v>
      </c>
      <c r="D2150" t="inlineStr">
        <is>
          <t>ÖREBRO LÄN</t>
        </is>
      </c>
      <c r="E2150" t="inlineStr">
        <is>
          <t>HÄLLEFORS</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7148-2021</t>
        </is>
      </c>
      <c r="B2151" s="1" t="n">
        <v>44238</v>
      </c>
      <c r="C2151" s="1" t="n">
        <v>45797</v>
      </c>
      <c r="D2151" t="inlineStr">
        <is>
          <t>ÖREBRO LÄN</t>
        </is>
      </c>
      <c r="E2151" t="inlineStr">
        <is>
          <t>NORA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7188-2021</t>
        </is>
      </c>
      <c r="B2152" s="1" t="n">
        <v>44238</v>
      </c>
      <c r="C2152" s="1" t="n">
        <v>45797</v>
      </c>
      <c r="D2152" t="inlineStr">
        <is>
          <t>ÖREBRO LÄN</t>
        </is>
      </c>
      <c r="E2152" t="inlineStr">
        <is>
          <t>HALLSBERG</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7105-2021</t>
        </is>
      </c>
      <c r="B2153" s="1" t="n">
        <v>44238</v>
      </c>
      <c r="C2153" s="1" t="n">
        <v>45797</v>
      </c>
      <c r="D2153" t="inlineStr">
        <is>
          <t>ÖREBRO LÄN</t>
        </is>
      </c>
      <c r="E2153" t="inlineStr">
        <is>
          <t>LEKEBERG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7738-2021</t>
        </is>
      </c>
      <c r="B2154" s="1" t="n">
        <v>44242</v>
      </c>
      <c r="C2154" s="1" t="n">
        <v>45797</v>
      </c>
      <c r="D2154" t="inlineStr">
        <is>
          <t>ÖREBRO LÄN</t>
        </is>
      </c>
      <c r="E2154" t="inlineStr">
        <is>
          <t>LINDESBERG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7800-2021</t>
        </is>
      </c>
      <c r="B2155" s="1" t="n">
        <v>44242</v>
      </c>
      <c r="C2155" s="1" t="n">
        <v>45797</v>
      </c>
      <c r="D2155" t="inlineStr">
        <is>
          <t>ÖREBRO LÄN</t>
        </is>
      </c>
      <c r="E2155" t="inlineStr">
        <is>
          <t>LINDESBERG</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7989-2021</t>
        </is>
      </c>
      <c r="B2156" s="1" t="n">
        <v>44243</v>
      </c>
      <c r="C2156" s="1" t="n">
        <v>45797</v>
      </c>
      <c r="D2156" t="inlineStr">
        <is>
          <t>ÖREBRO LÄN</t>
        </is>
      </c>
      <c r="E2156" t="inlineStr">
        <is>
          <t>KARLSKOGA</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8263-2021</t>
        </is>
      </c>
      <c r="B2157" s="1" t="n">
        <v>44244</v>
      </c>
      <c r="C2157" s="1" t="n">
        <v>45797</v>
      </c>
      <c r="D2157" t="inlineStr">
        <is>
          <t>ÖREBRO LÄN</t>
        </is>
      </c>
      <c r="E2157" t="inlineStr">
        <is>
          <t>ÖREBRO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8331-2021</t>
        </is>
      </c>
      <c r="B2158" s="1" t="n">
        <v>44244</v>
      </c>
      <c r="C2158" s="1" t="n">
        <v>45797</v>
      </c>
      <c r="D2158" t="inlineStr">
        <is>
          <t>ÖREBRO LÄN</t>
        </is>
      </c>
      <c r="E2158" t="inlineStr">
        <is>
          <t>ÖREBRO</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8158-2021</t>
        </is>
      </c>
      <c r="B2159" s="1" t="n">
        <v>44244</v>
      </c>
      <c r="C2159" s="1" t="n">
        <v>45797</v>
      </c>
      <c r="D2159" t="inlineStr">
        <is>
          <t>ÖREBRO LÄN</t>
        </is>
      </c>
      <c r="E2159" t="inlineStr">
        <is>
          <t>ASKERSUND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8177-2021</t>
        </is>
      </c>
      <c r="B2160" s="1" t="n">
        <v>44244</v>
      </c>
      <c r="C2160" s="1" t="n">
        <v>45797</v>
      </c>
      <c r="D2160" t="inlineStr">
        <is>
          <t>ÖREBRO LÄN</t>
        </is>
      </c>
      <c r="E2160" t="inlineStr">
        <is>
          <t>ASKERSUND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8375-2021</t>
        </is>
      </c>
      <c r="B2161" s="1" t="n">
        <v>44244</v>
      </c>
      <c r="C2161" s="1" t="n">
        <v>45797</v>
      </c>
      <c r="D2161" t="inlineStr">
        <is>
          <t>ÖREBRO LÄN</t>
        </is>
      </c>
      <c r="E2161" t="inlineStr">
        <is>
          <t>ÖREBRO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8187-2021</t>
        </is>
      </c>
      <c r="B2162" s="1" t="n">
        <v>44244</v>
      </c>
      <c r="C2162" s="1" t="n">
        <v>45797</v>
      </c>
      <c r="D2162" t="inlineStr">
        <is>
          <t>ÖREBRO LÄN</t>
        </is>
      </c>
      <c r="E2162" t="inlineStr">
        <is>
          <t>ASKERSUND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8332-2021</t>
        </is>
      </c>
      <c r="B2163" s="1" t="n">
        <v>44244</v>
      </c>
      <c r="C2163" s="1" t="n">
        <v>45797</v>
      </c>
      <c r="D2163" t="inlineStr">
        <is>
          <t>ÖREBRO LÄN</t>
        </is>
      </c>
      <c r="E2163" t="inlineStr">
        <is>
          <t>ÖREBRO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8374-2021</t>
        </is>
      </c>
      <c r="B2164" s="1" t="n">
        <v>44244</v>
      </c>
      <c r="C2164" s="1" t="n">
        <v>45797</v>
      </c>
      <c r="D2164" t="inlineStr">
        <is>
          <t>ÖREBRO LÄN</t>
        </is>
      </c>
      <c r="E2164" t="inlineStr">
        <is>
          <t>ÖREBRO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8543-2021</t>
        </is>
      </c>
      <c r="B2165" s="1" t="n">
        <v>44245</v>
      </c>
      <c r="C2165" s="1" t="n">
        <v>45797</v>
      </c>
      <c r="D2165" t="inlineStr">
        <is>
          <t>ÖREBRO LÄN</t>
        </is>
      </c>
      <c r="E2165" t="inlineStr">
        <is>
          <t>ÖREBRO</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8565-2021</t>
        </is>
      </c>
      <c r="B2166" s="1" t="n">
        <v>44245</v>
      </c>
      <c r="C2166" s="1" t="n">
        <v>45797</v>
      </c>
      <c r="D2166" t="inlineStr">
        <is>
          <t>ÖREBRO LÄN</t>
        </is>
      </c>
      <c r="E2166" t="inlineStr">
        <is>
          <t>ÖREBRO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8573-2021</t>
        </is>
      </c>
      <c r="B2167" s="1" t="n">
        <v>44245</v>
      </c>
      <c r="C2167" s="1" t="n">
        <v>45797</v>
      </c>
      <c r="D2167" t="inlineStr">
        <is>
          <t>ÖREBRO LÄN</t>
        </is>
      </c>
      <c r="E2167" t="inlineStr">
        <is>
          <t>KARLSKOGA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8571-2021</t>
        </is>
      </c>
      <c r="B2168" s="1" t="n">
        <v>44245</v>
      </c>
      <c r="C2168" s="1" t="n">
        <v>45797</v>
      </c>
      <c r="D2168" t="inlineStr">
        <is>
          <t>ÖREBRO LÄN</t>
        </is>
      </c>
      <c r="E2168" t="inlineStr">
        <is>
          <t>ÖREBRO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8568-2021</t>
        </is>
      </c>
      <c r="B2169" s="1" t="n">
        <v>44245</v>
      </c>
      <c r="C2169" s="1" t="n">
        <v>45797</v>
      </c>
      <c r="D2169" t="inlineStr">
        <is>
          <t>ÖREBRO LÄN</t>
        </is>
      </c>
      <c r="E2169" t="inlineStr">
        <is>
          <t>ÖREBRO</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8590-2021</t>
        </is>
      </c>
      <c r="B2170" s="1" t="n">
        <v>44245</v>
      </c>
      <c r="C2170" s="1" t="n">
        <v>45797</v>
      </c>
      <c r="D2170" t="inlineStr">
        <is>
          <t>ÖREBRO LÄN</t>
        </is>
      </c>
      <c r="E2170" t="inlineStr">
        <is>
          <t>KARLSKOGA</t>
        </is>
      </c>
      <c r="F2170" t="inlineStr">
        <is>
          <t>Övriga Aktiebolag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8575-2021</t>
        </is>
      </c>
      <c r="B2171" s="1" t="n">
        <v>44245</v>
      </c>
      <c r="C2171" s="1" t="n">
        <v>45797</v>
      </c>
      <c r="D2171" t="inlineStr">
        <is>
          <t>ÖREBRO LÄN</t>
        </is>
      </c>
      <c r="E2171" t="inlineStr">
        <is>
          <t>ÖREBRO</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8781-2021</t>
        </is>
      </c>
      <c r="B2172" s="1" t="n">
        <v>44246</v>
      </c>
      <c r="C2172" s="1" t="n">
        <v>45797</v>
      </c>
      <c r="D2172" t="inlineStr">
        <is>
          <t>ÖREBRO LÄN</t>
        </is>
      </c>
      <c r="E2172" t="inlineStr">
        <is>
          <t>LINDESBERG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9302-2021</t>
        </is>
      </c>
      <c r="B2173" s="1" t="n">
        <v>44250</v>
      </c>
      <c r="C2173" s="1" t="n">
        <v>45797</v>
      </c>
      <c r="D2173" t="inlineStr">
        <is>
          <t>ÖREBRO LÄN</t>
        </is>
      </c>
      <c r="E2173" t="inlineStr">
        <is>
          <t>ASKERSUND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9406-2021</t>
        </is>
      </c>
      <c r="B2174" s="1" t="n">
        <v>44251</v>
      </c>
      <c r="C2174" s="1" t="n">
        <v>45797</v>
      </c>
      <c r="D2174" t="inlineStr">
        <is>
          <t>ÖREBRO LÄN</t>
        </is>
      </c>
      <c r="E2174" t="inlineStr">
        <is>
          <t>ÖREBRO</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10290-2021</t>
        </is>
      </c>
      <c r="B2175" s="1" t="n">
        <v>44256</v>
      </c>
      <c r="C2175" s="1" t="n">
        <v>45797</v>
      </c>
      <c r="D2175" t="inlineStr">
        <is>
          <t>ÖREBRO LÄN</t>
        </is>
      </c>
      <c r="E2175" t="inlineStr">
        <is>
          <t>ASKERSUND</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10083-2021</t>
        </is>
      </c>
      <c r="B2176" s="1" t="n">
        <v>44256</v>
      </c>
      <c r="C2176" s="1" t="n">
        <v>45797</v>
      </c>
      <c r="D2176" t="inlineStr">
        <is>
          <t>ÖREBRO LÄN</t>
        </is>
      </c>
      <c r="E2176" t="inlineStr">
        <is>
          <t>HÄLLEFORS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10327-2021</t>
        </is>
      </c>
      <c r="B2177" s="1" t="n">
        <v>44257</v>
      </c>
      <c r="C2177" s="1" t="n">
        <v>45797</v>
      </c>
      <c r="D2177" t="inlineStr">
        <is>
          <t>ÖREBRO LÄN</t>
        </is>
      </c>
      <c r="E2177" t="inlineStr">
        <is>
          <t>KARLSKOGA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10368-2021</t>
        </is>
      </c>
      <c r="B2178" s="1" t="n">
        <v>44257</v>
      </c>
      <c r="C2178" s="1" t="n">
        <v>45797</v>
      </c>
      <c r="D2178" t="inlineStr">
        <is>
          <t>ÖREBRO LÄN</t>
        </is>
      </c>
      <c r="E2178" t="inlineStr">
        <is>
          <t>ÖREBRO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10385-2021</t>
        </is>
      </c>
      <c r="B2179" s="1" t="n">
        <v>44257</v>
      </c>
      <c r="C2179" s="1" t="n">
        <v>45797</v>
      </c>
      <c r="D2179" t="inlineStr">
        <is>
          <t>ÖREBRO LÄN</t>
        </is>
      </c>
      <c r="E2179" t="inlineStr">
        <is>
          <t>LINDESBERG</t>
        </is>
      </c>
      <c r="F2179" t="inlineStr">
        <is>
          <t>Kommuner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10492-2021</t>
        </is>
      </c>
      <c r="B2180" s="1" t="n">
        <v>44258</v>
      </c>
      <c r="C2180" s="1" t="n">
        <v>45797</v>
      </c>
      <c r="D2180" t="inlineStr">
        <is>
          <t>ÖREBRO LÄN</t>
        </is>
      </c>
      <c r="E2180" t="inlineStr">
        <is>
          <t>KARLSKOGA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10714-2021</t>
        </is>
      </c>
      <c r="B2181" s="1" t="n">
        <v>44258</v>
      </c>
      <c r="C2181" s="1" t="n">
        <v>45797</v>
      </c>
      <c r="D2181" t="inlineStr">
        <is>
          <t>ÖREBRO LÄN</t>
        </is>
      </c>
      <c r="E2181" t="inlineStr">
        <is>
          <t>LINDESBERG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10712-2021</t>
        </is>
      </c>
      <c r="B2182" s="1" t="n">
        <v>44258</v>
      </c>
      <c r="C2182" s="1" t="n">
        <v>45797</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10691-2021</t>
        </is>
      </c>
      <c r="B2183" s="1" t="n">
        <v>44258</v>
      </c>
      <c r="C2183" s="1" t="n">
        <v>45797</v>
      </c>
      <c r="D2183" t="inlineStr">
        <is>
          <t>ÖREBRO LÄN</t>
        </is>
      </c>
      <c r="E2183" t="inlineStr">
        <is>
          <t>HALLSBERG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10822-2021</t>
        </is>
      </c>
      <c r="B2184" s="1" t="n">
        <v>44259</v>
      </c>
      <c r="C2184" s="1" t="n">
        <v>45797</v>
      </c>
      <c r="D2184" t="inlineStr">
        <is>
          <t>ÖREBRO LÄN</t>
        </is>
      </c>
      <c r="E2184" t="inlineStr">
        <is>
          <t>LINDESBERG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10784-2021</t>
        </is>
      </c>
      <c r="B2185" s="1" t="n">
        <v>44259</v>
      </c>
      <c r="C2185" s="1" t="n">
        <v>45797</v>
      </c>
      <c r="D2185" t="inlineStr">
        <is>
          <t>ÖREBRO LÄN</t>
        </is>
      </c>
      <c r="E2185" t="inlineStr">
        <is>
          <t>LINDESBERG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10825-2021</t>
        </is>
      </c>
      <c r="B2186" s="1" t="n">
        <v>44259</v>
      </c>
      <c r="C2186" s="1" t="n">
        <v>45797</v>
      </c>
      <c r="D2186" t="inlineStr">
        <is>
          <t>ÖREBRO LÄN</t>
        </is>
      </c>
      <c r="E2186" t="inlineStr">
        <is>
          <t>LINDESBERG</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10960-2021</t>
        </is>
      </c>
      <c r="B2187" s="1" t="n">
        <v>44260</v>
      </c>
      <c r="C2187" s="1" t="n">
        <v>45797</v>
      </c>
      <c r="D2187" t="inlineStr">
        <is>
          <t>ÖREBRO LÄN</t>
        </is>
      </c>
      <c r="E2187" t="inlineStr">
        <is>
          <t>LINDESBERG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11002-2021</t>
        </is>
      </c>
      <c r="B2188" s="1" t="n">
        <v>44260</v>
      </c>
      <c r="C2188" s="1" t="n">
        <v>45797</v>
      </c>
      <c r="D2188" t="inlineStr">
        <is>
          <t>ÖREBRO LÄN</t>
        </is>
      </c>
      <c r="E2188" t="inlineStr">
        <is>
          <t>HÄLLEFORS</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11044-2021</t>
        </is>
      </c>
      <c r="B2189" s="1" t="n">
        <v>44260</v>
      </c>
      <c r="C2189" s="1" t="n">
        <v>45797</v>
      </c>
      <c r="D2189" t="inlineStr">
        <is>
          <t>ÖREBRO LÄN</t>
        </is>
      </c>
      <c r="E2189" t="inlineStr">
        <is>
          <t>HÄLLEFORS</t>
        </is>
      </c>
      <c r="F2189" t="inlineStr">
        <is>
          <t>Kyrkan</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10976-2021</t>
        </is>
      </c>
      <c r="B2190" s="1" t="n">
        <v>44260</v>
      </c>
      <c r="C2190" s="1" t="n">
        <v>45797</v>
      </c>
      <c r="D2190" t="inlineStr">
        <is>
          <t>ÖREBRO LÄN</t>
        </is>
      </c>
      <c r="E2190" t="inlineStr">
        <is>
          <t>HÄLLEFORS</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10963-2021</t>
        </is>
      </c>
      <c r="B2191" s="1" t="n">
        <v>44260</v>
      </c>
      <c r="C2191" s="1" t="n">
        <v>45797</v>
      </c>
      <c r="D2191" t="inlineStr">
        <is>
          <t>ÖREBRO LÄN</t>
        </is>
      </c>
      <c r="E2191" t="inlineStr">
        <is>
          <t>LINDESBERG</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11085-2021</t>
        </is>
      </c>
      <c r="B2192" s="1" t="n">
        <v>44260</v>
      </c>
      <c r="C2192" s="1" t="n">
        <v>45797</v>
      </c>
      <c r="D2192" t="inlineStr">
        <is>
          <t>ÖREBRO LÄN</t>
        </is>
      </c>
      <c r="E2192" t="inlineStr">
        <is>
          <t>KARLSKOGA</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11387-2021</t>
        </is>
      </c>
      <c r="B2193" s="1" t="n">
        <v>44263</v>
      </c>
      <c r="C2193" s="1" t="n">
        <v>45797</v>
      </c>
      <c r="D2193" t="inlineStr">
        <is>
          <t>ÖREBRO LÄN</t>
        </is>
      </c>
      <c r="E2193" t="inlineStr">
        <is>
          <t>LINDESBERG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11462-2021</t>
        </is>
      </c>
      <c r="B2194" s="1" t="n">
        <v>44264</v>
      </c>
      <c r="C2194" s="1" t="n">
        <v>45797</v>
      </c>
      <c r="D2194" t="inlineStr">
        <is>
          <t>ÖREBRO LÄN</t>
        </is>
      </c>
      <c r="E2194" t="inlineStr">
        <is>
          <t>LEKEBERG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11571-2021</t>
        </is>
      </c>
      <c r="B2195" s="1" t="n">
        <v>44264</v>
      </c>
      <c r="C2195" s="1" t="n">
        <v>45797</v>
      </c>
      <c r="D2195" t="inlineStr">
        <is>
          <t>ÖREBRO LÄN</t>
        </is>
      </c>
      <c r="E2195" t="inlineStr">
        <is>
          <t>HÄLLEFORS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12127-2021</t>
        </is>
      </c>
      <c r="B2196" s="1" t="n">
        <v>44266</v>
      </c>
      <c r="C2196" s="1" t="n">
        <v>45797</v>
      </c>
      <c r="D2196" t="inlineStr">
        <is>
          <t>ÖREBRO LÄN</t>
        </is>
      </c>
      <c r="E2196" t="inlineStr">
        <is>
          <t>HÄLLEFORS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12339-2021</t>
        </is>
      </c>
      <c r="B2197" s="1" t="n">
        <v>44267</v>
      </c>
      <c r="C2197" s="1" t="n">
        <v>45797</v>
      </c>
      <c r="D2197" t="inlineStr">
        <is>
          <t>ÖREBRO LÄN</t>
        </is>
      </c>
      <c r="E2197" t="inlineStr">
        <is>
          <t>HÄLLEFORS</t>
        </is>
      </c>
      <c r="F2197" t="inlineStr">
        <is>
          <t>Bergvik skog väst AB</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12433-2021</t>
        </is>
      </c>
      <c r="B2198" s="1" t="n">
        <v>44267</v>
      </c>
      <c r="C2198" s="1" t="n">
        <v>45797</v>
      </c>
      <c r="D2198" t="inlineStr">
        <is>
          <t>ÖREBRO LÄN</t>
        </is>
      </c>
      <c r="E2198" t="inlineStr">
        <is>
          <t>ÖREBRO</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12372-2021</t>
        </is>
      </c>
      <c r="B2199" s="1" t="n">
        <v>44267</v>
      </c>
      <c r="C2199" s="1" t="n">
        <v>45797</v>
      </c>
      <c r="D2199" t="inlineStr">
        <is>
          <t>ÖREBRO LÄN</t>
        </is>
      </c>
      <c r="E2199" t="inlineStr">
        <is>
          <t>ASKERSUND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12609-2021</t>
        </is>
      </c>
      <c r="B2200" s="1" t="n">
        <v>44267</v>
      </c>
      <c r="C2200" s="1" t="n">
        <v>45797</v>
      </c>
      <c r="D2200" t="inlineStr">
        <is>
          <t>ÖREBRO LÄN</t>
        </is>
      </c>
      <c r="E2200" t="inlineStr">
        <is>
          <t>LINDESBERG</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12562-2021</t>
        </is>
      </c>
      <c r="B2201" s="1" t="n">
        <v>44267</v>
      </c>
      <c r="C2201" s="1" t="n">
        <v>45797</v>
      </c>
      <c r="D2201" t="inlineStr">
        <is>
          <t>ÖREBRO LÄN</t>
        </is>
      </c>
      <c r="E2201" t="inlineStr">
        <is>
          <t>LINDESBERG</t>
        </is>
      </c>
      <c r="G2201" t="n">
        <v>30.1</v>
      </c>
      <c r="H2201" t="n">
        <v>0</v>
      </c>
      <c r="I2201" t="n">
        <v>0</v>
      </c>
      <c r="J2201" t="n">
        <v>0</v>
      </c>
      <c r="K2201" t="n">
        <v>0</v>
      </c>
      <c r="L2201" t="n">
        <v>0</v>
      </c>
      <c r="M2201" t="n">
        <v>0</v>
      </c>
      <c r="N2201" t="n">
        <v>0</v>
      </c>
      <c r="O2201" t="n">
        <v>0</v>
      </c>
      <c r="P2201" t="n">
        <v>0</v>
      </c>
      <c r="Q2201" t="n">
        <v>0</v>
      </c>
      <c r="R2201" s="2" t="inlineStr"/>
    </row>
    <row r="2202" ht="15" customHeight="1">
      <c r="A2202" t="inlineStr">
        <is>
          <t>A 12615-2021</t>
        </is>
      </c>
      <c r="B2202" s="1" t="n">
        <v>44267</v>
      </c>
      <c r="C2202" s="1" t="n">
        <v>45797</v>
      </c>
      <c r="D2202" t="inlineStr">
        <is>
          <t>ÖREBRO LÄN</t>
        </is>
      </c>
      <c r="E2202" t="inlineStr">
        <is>
          <t>LINDESBERG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12461-2021</t>
        </is>
      </c>
      <c r="B2203" s="1" t="n">
        <v>44267</v>
      </c>
      <c r="C2203" s="1" t="n">
        <v>45797</v>
      </c>
      <c r="D2203" t="inlineStr">
        <is>
          <t>ÖREBRO LÄN</t>
        </is>
      </c>
      <c r="E2203" t="inlineStr">
        <is>
          <t>HALLSBERG</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12512-2021</t>
        </is>
      </c>
      <c r="B2204" s="1" t="n">
        <v>44268</v>
      </c>
      <c r="C2204" s="1" t="n">
        <v>45797</v>
      </c>
      <c r="D2204" t="inlineStr">
        <is>
          <t>ÖREBRO LÄN</t>
        </is>
      </c>
      <c r="E2204" t="inlineStr">
        <is>
          <t>LINDESBERG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12511-2021</t>
        </is>
      </c>
      <c r="B2205" s="1" t="n">
        <v>44268</v>
      </c>
      <c r="C2205" s="1" t="n">
        <v>45797</v>
      </c>
      <c r="D2205" t="inlineStr">
        <is>
          <t>ÖREBRO LÄN</t>
        </is>
      </c>
      <c r="E2205" t="inlineStr">
        <is>
          <t>LINDESBERG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12682-2021</t>
        </is>
      </c>
      <c r="B2206" s="1" t="n">
        <v>44270</v>
      </c>
      <c r="C2206" s="1" t="n">
        <v>45797</v>
      </c>
      <c r="D2206" t="inlineStr">
        <is>
          <t>ÖREBRO LÄN</t>
        </is>
      </c>
      <c r="E2206" t="inlineStr">
        <is>
          <t>LAXÅ</t>
        </is>
      </c>
      <c r="F2206" t="inlineStr">
        <is>
          <t>Sveaskog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12678-2021</t>
        </is>
      </c>
      <c r="B2207" s="1" t="n">
        <v>44270</v>
      </c>
      <c r="C2207" s="1" t="n">
        <v>45797</v>
      </c>
      <c r="D2207" t="inlineStr">
        <is>
          <t>ÖREBRO LÄN</t>
        </is>
      </c>
      <c r="E2207" t="inlineStr">
        <is>
          <t>LAXÅ</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12948-2021</t>
        </is>
      </c>
      <c r="B2208" s="1" t="n">
        <v>44271</v>
      </c>
      <c r="C2208" s="1" t="n">
        <v>45797</v>
      </c>
      <c r="D2208" t="inlineStr">
        <is>
          <t>ÖREBRO LÄN</t>
        </is>
      </c>
      <c r="E2208" t="inlineStr">
        <is>
          <t>LINDESBERG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12966-2021</t>
        </is>
      </c>
      <c r="B2209" s="1" t="n">
        <v>44271</v>
      </c>
      <c r="C2209" s="1" t="n">
        <v>45797</v>
      </c>
      <c r="D2209" t="inlineStr">
        <is>
          <t>ÖREBRO LÄN</t>
        </is>
      </c>
      <c r="E2209" t="inlineStr">
        <is>
          <t>HÄLLEFORS</t>
        </is>
      </c>
      <c r="F2209" t="inlineStr">
        <is>
          <t>Kyrkan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12871-2021</t>
        </is>
      </c>
      <c r="B2210" s="1" t="n">
        <v>44271</v>
      </c>
      <c r="C2210" s="1" t="n">
        <v>45797</v>
      </c>
      <c r="D2210" t="inlineStr">
        <is>
          <t>ÖREBRO LÄN</t>
        </is>
      </c>
      <c r="E2210" t="inlineStr">
        <is>
          <t>ÖREBRO</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13193-2021</t>
        </is>
      </c>
      <c r="B2211" s="1" t="n">
        <v>44272</v>
      </c>
      <c r="C2211" s="1" t="n">
        <v>45797</v>
      </c>
      <c r="D2211" t="inlineStr">
        <is>
          <t>ÖREBRO LÄN</t>
        </is>
      </c>
      <c r="E2211" t="inlineStr">
        <is>
          <t>ÖREBRO</t>
        </is>
      </c>
      <c r="F2211" t="inlineStr">
        <is>
          <t>Övriga Aktiebolag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13347-2021</t>
        </is>
      </c>
      <c r="B2212" s="1" t="n">
        <v>44273</v>
      </c>
      <c r="C2212" s="1" t="n">
        <v>45797</v>
      </c>
      <c r="D2212" t="inlineStr">
        <is>
          <t>ÖREBRO LÄN</t>
        </is>
      </c>
      <c r="E2212" t="inlineStr">
        <is>
          <t>HÄLLEFORS</t>
        </is>
      </c>
      <c r="F2212" t="inlineStr">
        <is>
          <t>Bergvik skog väst AB</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13545-2021</t>
        </is>
      </c>
      <c r="B2213" s="1" t="n">
        <v>44273</v>
      </c>
      <c r="C2213" s="1" t="n">
        <v>45797</v>
      </c>
      <c r="D2213" t="inlineStr">
        <is>
          <t>ÖREBRO LÄN</t>
        </is>
      </c>
      <c r="E2213" t="inlineStr">
        <is>
          <t>LINDESBERG</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13526-2021</t>
        </is>
      </c>
      <c r="B2214" s="1" t="n">
        <v>44273</v>
      </c>
      <c r="C2214" s="1" t="n">
        <v>45797</v>
      </c>
      <c r="D2214" t="inlineStr">
        <is>
          <t>ÖREBRO LÄN</t>
        </is>
      </c>
      <c r="E2214" t="inlineStr">
        <is>
          <t>ASKERSUND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13760-2021</t>
        </is>
      </c>
      <c r="B2215" s="1" t="n">
        <v>44274</v>
      </c>
      <c r="C2215" s="1" t="n">
        <v>45797</v>
      </c>
      <c r="D2215" t="inlineStr">
        <is>
          <t>ÖREBRO LÄN</t>
        </is>
      </c>
      <c r="E2215" t="inlineStr">
        <is>
          <t>ÖREBRO</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13823-2021</t>
        </is>
      </c>
      <c r="B2216" s="1" t="n">
        <v>44276</v>
      </c>
      <c r="C2216" s="1" t="n">
        <v>45797</v>
      </c>
      <c r="D2216" t="inlineStr">
        <is>
          <t>ÖREBRO LÄN</t>
        </is>
      </c>
      <c r="E2216" t="inlineStr">
        <is>
          <t>LINDESBERG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13824-2021</t>
        </is>
      </c>
      <c r="B2217" s="1" t="n">
        <v>44276</v>
      </c>
      <c r="C2217" s="1" t="n">
        <v>45797</v>
      </c>
      <c r="D2217" t="inlineStr">
        <is>
          <t>ÖREBRO LÄN</t>
        </is>
      </c>
      <c r="E2217" t="inlineStr">
        <is>
          <t>LINDESBERG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14025-2021</t>
        </is>
      </c>
      <c r="B2218" s="1" t="n">
        <v>44277</v>
      </c>
      <c r="C2218" s="1" t="n">
        <v>45797</v>
      </c>
      <c r="D2218" t="inlineStr">
        <is>
          <t>ÖREBRO LÄN</t>
        </is>
      </c>
      <c r="E2218" t="inlineStr">
        <is>
          <t>NORA</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14064-2021</t>
        </is>
      </c>
      <c r="B2219" s="1" t="n">
        <v>44277</v>
      </c>
      <c r="C2219" s="1" t="n">
        <v>45797</v>
      </c>
      <c r="D2219" t="inlineStr">
        <is>
          <t>ÖREBRO LÄN</t>
        </is>
      </c>
      <c r="E2219" t="inlineStr">
        <is>
          <t>ÖREBRO</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14153-2021</t>
        </is>
      </c>
      <c r="B2220" s="1" t="n">
        <v>44278</v>
      </c>
      <c r="C2220" s="1" t="n">
        <v>45797</v>
      </c>
      <c r="D2220" t="inlineStr">
        <is>
          <t>ÖREBRO LÄN</t>
        </is>
      </c>
      <c r="E2220" t="inlineStr">
        <is>
          <t>LJUSNARSBERG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14239-2021</t>
        </is>
      </c>
      <c r="B2221" s="1" t="n">
        <v>44278</v>
      </c>
      <c r="C2221" s="1" t="n">
        <v>45797</v>
      </c>
      <c r="D2221" t="inlineStr">
        <is>
          <t>ÖREBRO LÄN</t>
        </is>
      </c>
      <c r="E2221" t="inlineStr">
        <is>
          <t>ÖREBRO</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14249-2021</t>
        </is>
      </c>
      <c r="B2222" s="1" t="n">
        <v>44278</v>
      </c>
      <c r="C2222" s="1" t="n">
        <v>45797</v>
      </c>
      <c r="D2222" t="inlineStr">
        <is>
          <t>ÖREBRO LÄN</t>
        </is>
      </c>
      <c r="E2222" t="inlineStr">
        <is>
          <t>LJUSNARSBERG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14365-2021</t>
        </is>
      </c>
      <c r="B2223" s="1" t="n">
        <v>44279</v>
      </c>
      <c r="C2223" s="1" t="n">
        <v>45797</v>
      </c>
      <c r="D2223" t="inlineStr">
        <is>
          <t>ÖREBRO LÄN</t>
        </is>
      </c>
      <c r="E2223" t="inlineStr">
        <is>
          <t>LEKEBERG</t>
        </is>
      </c>
      <c r="F2223" t="inlineStr">
        <is>
          <t>Allmännings- och besparingsskogar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14461-2021</t>
        </is>
      </c>
      <c r="B2224" s="1" t="n">
        <v>44279</v>
      </c>
      <c r="C2224" s="1" t="n">
        <v>45797</v>
      </c>
      <c r="D2224" t="inlineStr">
        <is>
          <t>ÖREBRO LÄN</t>
        </is>
      </c>
      <c r="E2224" t="inlineStr">
        <is>
          <t>ASKERSUND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14464-2021</t>
        </is>
      </c>
      <c r="B2225" s="1" t="n">
        <v>44279</v>
      </c>
      <c r="C2225" s="1" t="n">
        <v>45797</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14803-2021</t>
        </is>
      </c>
      <c r="B2226" s="1" t="n">
        <v>44280</v>
      </c>
      <c r="C2226" s="1" t="n">
        <v>45797</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14904-2021</t>
        </is>
      </c>
      <c r="B2227" s="1" t="n">
        <v>44281</v>
      </c>
      <c r="C2227" s="1" t="n">
        <v>45797</v>
      </c>
      <c r="D2227" t="inlineStr">
        <is>
          <t>ÖREBRO LÄN</t>
        </is>
      </c>
      <c r="E2227" t="inlineStr">
        <is>
          <t>LINDESBERG</t>
        </is>
      </c>
      <c r="F2227" t="inlineStr">
        <is>
          <t>Sveaskog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15348-2021</t>
        </is>
      </c>
      <c r="B2228" s="1" t="n">
        <v>44284</v>
      </c>
      <c r="C2228" s="1" t="n">
        <v>45797</v>
      </c>
      <c r="D2228" t="inlineStr">
        <is>
          <t>ÖREBRO LÄN</t>
        </is>
      </c>
      <c r="E2228" t="inlineStr">
        <is>
          <t>LINDESBERG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15358-2021</t>
        </is>
      </c>
      <c r="B2229" s="1" t="n">
        <v>44284</v>
      </c>
      <c r="C2229" s="1" t="n">
        <v>45797</v>
      </c>
      <c r="D2229" t="inlineStr">
        <is>
          <t>ÖREBRO LÄN</t>
        </is>
      </c>
      <c r="E2229" t="inlineStr">
        <is>
          <t>NORA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15329-2021</t>
        </is>
      </c>
      <c r="B2230" s="1" t="n">
        <v>44284</v>
      </c>
      <c r="C2230" s="1" t="n">
        <v>45797</v>
      </c>
      <c r="D2230" t="inlineStr">
        <is>
          <t>ÖREBRO LÄN</t>
        </is>
      </c>
      <c r="E2230" t="inlineStr">
        <is>
          <t>LJUSNARSBERG</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15403-2021</t>
        </is>
      </c>
      <c r="B2231" s="1" t="n">
        <v>44284</v>
      </c>
      <c r="C2231" s="1" t="n">
        <v>45797</v>
      </c>
      <c r="D2231" t="inlineStr">
        <is>
          <t>ÖREBRO LÄN</t>
        </is>
      </c>
      <c r="E2231" t="inlineStr">
        <is>
          <t>LJUSNARSBERG</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15325-2021</t>
        </is>
      </c>
      <c r="B2232" s="1" t="n">
        <v>44284</v>
      </c>
      <c r="C2232" s="1" t="n">
        <v>45797</v>
      </c>
      <c r="D2232" t="inlineStr">
        <is>
          <t>ÖREBRO LÄN</t>
        </is>
      </c>
      <c r="E2232" t="inlineStr">
        <is>
          <t>LJUSNARSBERG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15574-2021</t>
        </is>
      </c>
      <c r="B2233" s="1" t="n">
        <v>44285</v>
      </c>
      <c r="C2233" s="1" t="n">
        <v>45797</v>
      </c>
      <c r="D2233" t="inlineStr">
        <is>
          <t>ÖREBRO LÄN</t>
        </is>
      </c>
      <c r="E2233" t="inlineStr">
        <is>
          <t>ÖREBRO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15571-2021</t>
        </is>
      </c>
      <c r="B2234" s="1" t="n">
        <v>44285</v>
      </c>
      <c r="C2234" s="1" t="n">
        <v>45797</v>
      </c>
      <c r="D2234" t="inlineStr">
        <is>
          <t>ÖREBRO LÄN</t>
        </is>
      </c>
      <c r="E2234" t="inlineStr">
        <is>
          <t>ÖREBRO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15569-2021</t>
        </is>
      </c>
      <c r="B2235" s="1" t="n">
        <v>44285</v>
      </c>
      <c r="C2235" s="1" t="n">
        <v>45797</v>
      </c>
      <c r="D2235" t="inlineStr">
        <is>
          <t>ÖREBRO LÄN</t>
        </is>
      </c>
      <c r="E2235" t="inlineStr">
        <is>
          <t>ASKERSUND</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15799-2021</t>
        </is>
      </c>
      <c r="B2236" s="1" t="n">
        <v>44286</v>
      </c>
      <c r="C2236" s="1" t="n">
        <v>45797</v>
      </c>
      <c r="D2236" t="inlineStr">
        <is>
          <t>ÖREBRO LÄN</t>
        </is>
      </c>
      <c r="E2236" t="inlineStr">
        <is>
          <t>HÄLLEFORS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15774-2021</t>
        </is>
      </c>
      <c r="B2237" s="1" t="n">
        <v>44286</v>
      </c>
      <c r="C2237" s="1" t="n">
        <v>45797</v>
      </c>
      <c r="D2237" t="inlineStr">
        <is>
          <t>ÖREBRO LÄN</t>
        </is>
      </c>
      <c r="E2237" t="inlineStr">
        <is>
          <t>LINDESBERG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15770-2021</t>
        </is>
      </c>
      <c r="B2238" s="1" t="n">
        <v>44286</v>
      </c>
      <c r="C2238" s="1" t="n">
        <v>45797</v>
      </c>
      <c r="D2238" t="inlineStr">
        <is>
          <t>ÖREBRO LÄN</t>
        </is>
      </c>
      <c r="E2238" t="inlineStr">
        <is>
          <t>LAXÅ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16260-2021</t>
        </is>
      </c>
      <c r="B2239" s="1" t="n">
        <v>44292</v>
      </c>
      <c r="C2239" s="1" t="n">
        <v>45797</v>
      </c>
      <c r="D2239" t="inlineStr">
        <is>
          <t>ÖREBRO LÄN</t>
        </is>
      </c>
      <c r="E2239" t="inlineStr">
        <is>
          <t>ÖREBRO</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16326-2021</t>
        </is>
      </c>
      <c r="B2240" s="1" t="n">
        <v>44292</v>
      </c>
      <c r="C2240" s="1" t="n">
        <v>45797</v>
      </c>
      <c r="D2240" t="inlineStr">
        <is>
          <t>ÖREBRO LÄN</t>
        </is>
      </c>
      <c r="E2240" t="inlineStr">
        <is>
          <t>NORA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16548-2021</t>
        </is>
      </c>
      <c r="B2241" s="1" t="n">
        <v>44293</v>
      </c>
      <c r="C2241" s="1" t="n">
        <v>45797</v>
      </c>
      <c r="D2241" t="inlineStr">
        <is>
          <t>ÖREBRO LÄN</t>
        </is>
      </c>
      <c r="E2241" t="inlineStr">
        <is>
          <t>ASKERSUND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16785-2021</t>
        </is>
      </c>
      <c r="B2242" s="1" t="n">
        <v>44295</v>
      </c>
      <c r="C2242" s="1" t="n">
        <v>45797</v>
      </c>
      <c r="D2242" t="inlineStr">
        <is>
          <t>ÖREBRO LÄN</t>
        </is>
      </c>
      <c r="E2242" t="inlineStr">
        <is>
          <t>ÖREBRO</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16990-2021</t>
        </is>
      </c>
      <c r="B2243" s="1" t="n">
        <v>44295</v>
      </c>
      <c r="C2243" s="1" t="n">
        <v>45797</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17077-2021</t>
        </is>
      </c>
      <c r="B2244" s="1" t="n">
        <v>44297</v>
      </c>
      <c r="C2244" s="1" t="n">
        <v>45797</v>
      </c>
      <c r="D2244" t="inlineStr">
        <is>
          <t>ÖREBRO LÄN</t>
        </is>
      </c>
      <c r="E2244" t="inlineStr">
        <is>
          <t>LAXÅ</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17084-2021</t>
        </is>
      </c>
      <c r="B2245" s="1" t="n">
        <v>44297</v>
      </c>
      <c r="C2245" s="1" t="n">
        <v>45797</v>
      </c>
      <c r="D2245" t="inlineStr">
        <is>
          <t>ÖREBRO LÄN</t>
        </is>
      </c>
      <c r="E2245" t="inlineStr">
        <is>
          <t>LAXÅ</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17078-2021</t>
        </is>
      </c>
      <c r="B2246" s="1" t="n">
        <v>44297</v>
      </c>
      <c r="C2246" s="1" t="n">
        <v>45797</v>
      </c>
      <c r="D2246" t="inlineStr">
        <is>
          <t>ÖREBRO LÄN</t>
        </is>
      </c>
      <c r="E2246" t="inlineStr">
        <is>
          <t>LAXÅ</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17076-2021</t>
        </is>
      </c>
      <c r="B2247" s="1" t="n">
        <v>44297</v>
      </c>
      <c r="C2247" s="1" t="n">
        <v>45797</v>
      </c>
      <c r="D2247" t="inlineStr">
        <is>
          <t>ÖREBRO LÄN</t>
        </is>
      </c>
      <c r="E2247" t="inlineStr">
        <is>
          <t>LAXÅ</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17082-2021</t>
        </is>
      </c>
      <c r="B2248" s="1" t="n">
        <v>44297</v>
      </c>
      <c r="C2248" s="1" t="n">
        <v>45797</v>
      </c>
      <c r="D2248" t="inlineStr">
        <is>
          <t>ÖREBRO LÄN</t>
        </is>
      </c>
      <c r="E2248" t="inlineStr">
        <is>
          <t>ASKERSUND</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17241-2021</t>
        </is>
      </c>
      <c r="B2249" s="1" t="n">
        <v>44298</v>
      </c>
      <c r="C2249" s="1" t="n">
        <v>45797</v>
      </c>
      <c r="D2249" t="inlineStr">
        <is>
          <t>ÖREBRO LÄN</t>
        </is>
      </c>
      <c r="E2249" t="inlineStr">
        <is>
          <t>LINDESBERG</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17823-2021</t>
        </is>
      </c>
      <c r="B2250" s="1" t="n">
        <v>44300</v>
      </c>
      <c r="C2250" s="1" t="n">
        <v>45797</v>
      </c>
      <c r="D2250" t="inlineStr">
        <is>
          <t>ÖREBRO LÄN</t>
        </is>
      </c>
      <c r="E2250" t="inlineStr">
        <is>
          <t>LINDESBERG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17826-2021</t>
        </is>
      </c>
      <c r="B2251" s="1" t="n">
        <v>44300</v>
      </c>
      <c r="C2251" s="1" t="n">
        <v>45797</v>
      </c>
      <c r="D2251" t="inlineStr">
        <is>
          <t>ÖREBRO LÄN</t>
        </is>
      </c>
      <c r="E2251" t="inlineStr">
        <is>
          <t>ASKERSUND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17870-2021</t>
        </is>
      </c>
      <c r="B2252" s="1" t="n">
        <v>44300</v>
      </c>
      <c r="C2252" s="1" t="n">
        <v>45797</v>
      </c>
      <c r="D2252" t="inlineStr">
        <is>
          <t>ÖREBRO LÄN</t>
        </is>
      </c>
      <c r="E2252" t="inlineStr">
        <is>
          <t>ASKERSUND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17827-2021</t>
        </is>
      </c>
      <c r="B2253" s="1" t="n">
        <v>44300</v>
      </c>
      <c r="C2253" s="1" t="n">
        <v>45797</v>
      </c>
      <c r="D2253" t="inlineStr">
        <is>
          <t>ÖREBRO LÄN</t>
        </is>
      </c>
      <c r="E2253" t="inlineStr">
        <is>
          <t>LINDESBERG</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17995-2021</t>
        </is>
      </c>
      <c r="B2254" s="1" t="n">
        <v>44301</v>
      </c>
      <c r="C2254" s="1" t="n">
        <v>45797</v>
      </c>
      <c r="D2254" t="inlineStr">
        <is>
          <t>ÖREBRO LÄN</t>
        </is>
      </c>
      <c r="E2254" t="inlineStr">
        <is>
          <t>LINDESBERG</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18080-2021</t>
        </is>
      </c>
      <c r="B2255" s="1" t="n">
        <v>44302</v>
      </c>
      <c r="C2255" s="1" t="n">
        <v>45797</v>
      </c>
      <c r="D2255" t="inlineStr">
        <is>
          <t>ÖREBRO LÄN</t>
        </is>
      </c>
      <c r="E2255" t="inlineStr">
        <is>
          <t>LJUSNARSBERG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18134-2021</t>
        </is>
      </c>
      <c r="B2256" s="1" t="n">
        <v>44302</v>
      </c>
      <c r="C2256" s="1" t="n">
        <v>45797</v>
      </c>
      <c r="D2256" t="inlineStr">
        <is>
          <t>ÖREBRO LÄN</t>
        </is>
      </c>
      <c r="E2256" t="inlineStr">
        <is>
          <t>NORA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18402-2021</t>
        </is>
      </c>
      <c r="B2257" s="1" t="n">
        <v>44305</v>
      </c>
      <c r="C2257" s="1" t="n">
        <v>45797</v>
      </c>
      <c r="D2257" t="inlineStr">
        <is>
          <t>ÖREBRO LÄN</t>
        </is>
      </c>
      <c r="E2257" t="inlineStr">
        <is>
          <t>LINDESBERG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18610-2021</t>
        </is>
      </c>
      <c r="B2258" s="1" t="n">
        <v>44306</v>
      </c>
      <c r="C2258" s="1" t="n">
        <v>45797</v>
      </c>
      <c r="D2258" t="inlineStr">
        <is>
          <t>ÖREBRO LÄN</t>
        </is>
      </c>
      <c r="E2258" t="inlineStr">
        <is>
          <t>LINDESBERG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19070-2021</t>
        </is>
      </c>
      <c r="B2259" s="1" t="n">
        <v>44308</v>
      </c>
      <c r="C2259" s="1" t="n">
        <v>45797</v>
      </c>
      <c r="D2259" t="inlineStr">
        <is>
          <t>ÖREBRO LÄN</t>
        </is>
      </c>
      <c r="E2259" t="inlineStr">
        <is>
          <t>DEGERFORS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19026-2021</t>
        </is>
      </c>
      <c r="B2260" s="1" t="n">
        <v>44308</v>
      </c>
      <c r="C2260" s="1" t="n">
        <v>45797</v>
      </c>
      <c r="D2260" t="inlineStr">
        <is>
          <t>ÖREBRO LÄN</t>
        </is>
      </c>
      <c r="E2260" t="inlineStr">
        <is>
          <t>LINDESBERG</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19033-2021</t>
        </is>
      </c>
      <c r="B2261" s="1" t="n">
        <v>44308</v>
      </c>
      <c r="C2261" s="1" t="n">
        <v>45797</v>
      </c>
      <c r="D2261" t="inlineStr">
        <is>
          <t>ÖREBRO LÄN</t>
        </is>
      </c>
      <c r="E2261" t="inlineStr">
        <is>
          <t>HÄLLEFORS</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19166-2021</t>
        </is>
      </c>
      <c r="B2262" s="1" t="n">
        <v>44308</v>
      </c>
      <c r="C2262" s="1" t="n">
        <v>45797</v>
      </c>
      <c r="D2262" t="inlineStr">
        <is>
          <t>ÖREBRO LÄN</t>
        </is>
      </c>
      <c r="E2262" t="inlineStr">
        <is>
          <t>NORA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19084-2021</t>
        </is>
      </c>
      <c r="B2263" s="1" t="n">
        <v>44308</v>
      </c>
      <c r="C2263" s="1" t="n">
        <v>45797</v>
      </c>
      <c r="D2263" t="inlineStr">
        <is>
          <t>ÖREBRO LÄN</t>
        </is>
      </c>
      <c r="E2263" t="inlineStr">
        <is>
          <t>DEGERFORS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19774-2021</t>
        </is>
      </c>
      <c r="B2264" s="1" t="n">
        <v>44309</v>
      </c>
      <c r="C2264" s="1" t="n">
        <v>45797</v>
      </c>
      <c r="D2264" t="inlineStr">
        <is>
          <t>ÖREBRO LÄN</t>
        </is>
      </c>
      <c r="E2264" t="inlineStr">
        <is>
          <t>LAXÅ</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19468-2021</t>
        </is>
      </c>
      <c r="B2265" s="1" t="n">
        <v>44311</v>
      </c>
      <c r="C2265" s="1" t="n">
        <v>45797</v>
      </c>
      <c r="D2265" t="inlineStr">
        <is>
          <t>ÖREBRO LÄN</t>
        </is>
      </c>
      <c r="E2265" t="inlineStr">
        <is>
          <t>ÖREBRO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19803-2021</t>
        </is>
      </c>
      <c r="B2266" s="1" t="n">
        <v>44313</v>
      </c>
      <c r="C2266" s="1" t="n">
        <v>45797</v>
      </c>
      <c r="D2266" t="inlineStr">
        <is>
          <t>ÖREBRO LÄN</t>
        </is>
      </c>
      <c r="E2266" t="inlineStr">
        <is>
          <t>ÖREBRO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19831-2021</t>
        </is>
      </c>
      <c r="B2267" s="1" t="n">
        <v>44313</v>
      </c>
      <c r="C2267" s="1" t="n">
        <v>45797</v>
      </c>
      <c r="D2267" t="inlineStr">
        <is>
          <t>ÖREBRO LÄN</t>
        </is>
      </c>
      <c r="E2267" t="inlineStr">
        <is>
          <t>ÖREBRO</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20071-2021</t>
        </is>
      </c>
      <c r="B2268" s="1" t="n">
        <v>44314</v>
      </c>
      <c r="C2268" s="1" t="n">
        <v>45797</v>
      </c>
      <c r="D2268" t="inlineStr">
        <is>
          <t>ÖREBRO LÄN</t>
        </is>
      </c>
      <c r="E2268" t="inlineStr">
        <is>
          <t>HÄLLEFORS</t>
        </is>
      </c>
      <c r="F2268" t="inlineStr">
        <is>
          <t>Sveaskog</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20072-2021</t>
        </is>
      </c>
      <c r="B2269" s="1" t="n">
        <v>44314</v>
      </c>
      <c r="C2269" s="1" t="n">
        <v>45797</v>
      </c>
      <c r="D2269" t="inlineStr">
        <is>
          <t>ÖREBRO LÄN</t>
        </is>
      </c>
      <c r="E2269" t="inlineStr">
        <is>
          <t>HÄLLEFORS</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20070-2021</t>
        </is>
      </c>
      <c r="B2270" s="1" t="n">
        <v>44314</v>
      </c>
      <c r="C2270" s="1" t="n">
        <v>45797</v>
      </c>
      <c r="D2270" t="inlineStr">
        <is>
          <t>ÖREBRO LÄN</t>
        </is>
      </c>
      <c r="E2270" t="inlineStr">
        <is>
          <t>HÄLLEFORS</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20244-2021</t>
        </is>
      </c>
      <c r="B2271" s="1" t="n">
        <v>44314</v>
      </c>
      <c r="C2271" s="1" t="n">
        <v>45797</v>
      </c>
      <c r="D2271" t="inlineStr">
        <is>
          <t>ÖREBRO LÄN</t>
        </is>
      </c>
      <c r="E2271" t="inlineStr">
        <is>
          <t>HÄLLEFORS</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20335-2021</t>
        </is>
      </c>
      <c r="B2272" s="1" t="n">
        <v>44315</v>
      </c>
      <c r="C2272" s="1" t="n">
        <v>45797</v>
      </c>
      <c r="D2272" t="inlineStr">
        <is>
          <t>ÖREBRO LÄN</t>
        </is>
      </c>
      <c r="E2272" t="inlineStr">
        <is>
          <t>HALLSBERG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20506-2021</t>
        </is>
      </c>
      <c r="B2273" s="1" t="n">
        <v>44315</v>
      </c>
      <c r="C2273" s="1" t="n">
        <v>45797</v>
      </c>
      <c r="D2273" t="inlineStr">
        <is>
          <t>ÖREBRO LÄN</t>
        </is>
      </c>
      <c r="E2273" t="inlineStr">
        <is>
          <t>ASKERSUND</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20814-2021</t>
        </is>
      </c>
      <c r="B2274" s="1" t="n">
        <v>44317</v>
      </c>
      <c r="C2274" s="1" t="n">
        <v>45797</v>
      </c>
      <c r="D2274" t="inlineStr">
        <is>
          <t>ÖREBRO LÄN</t>
        </is>
      </c>
      <c r="E2274" t="inlineStr">
        <is>
          <t>ASKERSUND</t>
        </is>
      </c>
      <c r="F2274" t="inlineStr">
        <is>
          <t>Sveaskog</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20819-2021</t>
        </is>
      </c>
      <c r="B2275" s="1" t="n">
        <v>44317</v>
      </c>
      <c r="C2275" s="1" t="n">
        <v>45797</v>
      </c>
      <c r="D2275" t="inlineStr">
        <is>
          <t>ÖREBRO LÄN</t>
        </is>
      </c>
      <c r="E2275" t="inlineStr">
        <is>
          <t>LINDESBERG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21035-2021</t>
        </is>
      </c>
      <c r="B2276" s="1" t="n">
        <v>44319</v>
      </c>
      <c r="C2276" s="1" t="n">
        <v>45797</v>
      </c>
      <c r="D2276" t="inlineStr">
        <is>
          <t>ÖREBRO LÄN</t>
        </is>
      </c>
      <c r="E2276" t="inlineStr">
        <is>
          <t>KARLSKOGA</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21084-2021</t>
        </is>
      </c>
      <c r="B2277" s="1" t="n">
        <v>44319</v>
      </c>
      <c r="C2277" s="1" t="n">
        <v>45797</v>
      </c>
      <c r="D2277" t="inlineStr">
        <is>
          <t>ÖREBRO LÄN</t>
        </is>
      </c>
      <c r="E2277" t="inlineStr">
        <is>
          <t>LINDESBERG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21486-2021</t>
        </is>
      </c>
      <c r="B2278" s="1" t="n">
        <v>44321</v>
      </c>
      <c r="C2278" s="1" t="n">
        <v>45797</v>
      </c>
      <c r="D2278" t="inlineStr">
        <is>
          <t>ÖREBRO LÄN</t>
        </is>
      </c>
      <c r="E2278" t="inlineStr">
        <is>
          <t>LEKEBERG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21520-2021</t>
        </is>
      </c>
      <c r="B2279" s="1" t="n">
        <v>44321</v>
      </c>
      <c r="C2279" s="1" t="n">
        <v>45797</v>
      </c>
      <c r="D2279" t="inlineStr">
        <is>
          <t>ÖREBRO LÄN</t>
        </is>
      </c>
      <c r="E2279" t="inlineStr">
        <is>
          <t>LAXÅ</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21539-2021</t>
        </is>
      </c>
      <c r="B2280" s="1" t="n">
        <v>44321</v>
      </c>
      <c r="C2280" s="1" t="n">
        <v>45797</v>
      </c>
      <c r="D2280" t="inlineStr">
        <is>
          <t>ÖREBRO LÄN</t>
        </is>
      </c>
      <c r="E2280" t="inlineStr">
        <is>
          <t>LAXÅ</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21449-2021</t>
        </is>
      </c>
      <c r="B2281" s="1" t="n">
        <v>44321</v>
      </c>
      <c r="C2281" s="1" t="n">
        <v>45797</v>
      </c>
      <c r="D2281" t="inlineStr">
        <is>
          <t>ÖREBRO LÄN</t>
        </is>
      </c>
      <c r="E2281" t="inlineStr">
        <is>
          <t>NORA</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21492-2021</t>
        </is>
      </c>
      <c r="B2282" s="1" t="n">
        <v>44321</v>
      </c>
      <c r="C2282" s="1" t="n">
        <v>45797</v>
      </c>
      <c r="D2282" t="inlineStr">
        <is>
          <t>ÖREBRO LÄN</t>
        </is>
      </c>
      <c r="E2282" t="inlineStr">
        <is>
          <t>KARLSKOGA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21549-2021</t>
        </is>
      </c>
      <c r="B2283" s="1" t="n">
        <v>44321</v>
      </c>
      <c r="C2283" s="1" t="n">
        <v>45797</v>
      </c>
      <c r="D2283" t="inlineStr">
        <is>
          <t>ÖREBRO LÄN</t>
        </is>
      </c>
      <c r="E2283" t="inlineStr">
        <is>
          <t>LAXÅ</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21682-2021</t>
        </is>
      </c>
      <c r="B2284" s="1" t="n">
        <v>44322</v>
      </c>
      <c r="C2284" s="1" t="n">
        <v>45797</v>
      </c>
      <c r="D2284" t="inlineStr">
        <is>
          <t>ÖREBRO LÄN</t>
        </is>
      </c>
      <c r="E2284" t="inlineStr">
        <is>
          <t>KARLSKOGA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21721-2021</t>
        </is>
      </c>
      <c r="B2285" s="1" t="n">
        <v>44322</v>
      </c>
      <c r="C2285" s="1" t="n">
        <v>45797</v>
      </c>
      <c r="D2285" t="inlineStr">
        <is>
          <t>ÖREBRO LÄN</t>
        </is>
      </c>
      <c r="E2285" t="inlineStr">
        <is>
          <t>KARLSKOGA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21771-2021</t>
        </is>
      </c>
      <c r="B2286" s="1" t="n">
        <v>44322</v>
      </c>
      <c r="C2286" s="1" t="n">
        <v>45797</v>
      </c>
      <c r="D2286" t="inlineStr">
        <is>
          <t>ÖREBRO LÄN</t>
        </is>
      </c>
      <c r="E2286" t="inlineStr">
        <is>
          <t>LAXÅ</t>
        </is>
      </c>
      <c r="F2286" t="inlineStr">
        <is>
          <t>Sveaskog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21784-2021</t>
        </is>
      </c>
      <c r="B2287" s="1" t="n">
        <v>44322</v>
      </c>
      <c r="C2287" s="1" t="n">
        <v>45797</v>
      </c>
      <c r="D2287" t="inlineStr">
        <is>
          <t>ÖREBRO LÄN</t>
        </is>
      </c>
      <c r="E2287" t="inlineStr">
        <is>
          <t>KARLSKOGA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21983-2021</t>
        </is>
      </c>
      <c r="B2288" s="1" t="n">
        <v>44323</v>
      </c>
      <c r="C2288" s="1" t="n">
        <v>45797</v>
      </c>
      <c r="D2288" t="inlineStr">
        <is>
          <t>ÖREBRO LÄN</t>
        </is>
      </c>
      <c r="E2288" t="inlineStr">
        <is>
          <t>ÖREBRO</t>
        </is>
      </c>
      <c r="F2288" t="inlineStr">
        <is>
          <t>Övriga Aktiebolag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22116-2021</t>
        </is>
      </c>
      <c r="B2289" s="1" t="n">
        <v>44323</v>
      </c>
      <c r="C2289" s="1" t="n">
        <v>45797</v>
      </c>
      <c r="D2289" t="inlineStr">
        <is>
          <t>ÖREBRO LÄN</t>
        </is>
      </c>
      <c r="E2289" t="inlineStr">
        <is>
          <t>ASKERSUND</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22163-2021</t>
        </is>
      </c>
      <c r="B2290" s="1" t="n">
        <v>44325</v>
      </c>
      <c r="C2290" s="1" t="n">
        <v>45797</v>
      </c>
      <c r="D2290" t="inlineStr">
        <is>
          <t>ÖREBRO LÄN</t>
        </is>
      </c>
      <c r="E2290" t="inlineStr">
        <is>
          <t>LINDESBERG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22483-2021</t>
        </is>
      </c>
      <c r="B2291" s="1" t="n">
        <v>44326</v>
      </c>
      <c r="C2291" s="1" t="n">
        <v>45797</v>
      </c>
      <c r="D2291" t="inlineStr">
        <is>
          <t>ÖREBRO LÄN</t>
        </is>
      </c>
      <c r="E2291" t="inlineStr">
        <is>
          <t>LINDESBERG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22494-2021</t>
        </is>
      </c>
      <c r="B2292" s="1" t="n">
        <v>44326</v>
      </c>
      <c r="C2292" s="1" t="n">
        <v>45797</v>
      </c>
      <c r="D2292" t="inlineStr">
        <is>
          <t>ÖREBRO LÄN</t>
        </is>
      </c>
      <c r="E2292" t="inlineStr">
        <is>
          <t>LINDESBERG</t>
        </is>
      </c>
      <c r="G2292" t="n">
        <v>20.2</v>
      </c>
      <c r="H2292" t="n">
        <v>0</v>
      </c>
      <c r="I2292" t="n">
        <v>0</v>
      </c>
      <c r="J2292" t="n">
        <v>0</v>
      </c>
      <c r="K2292" t="n">
        <v>0</v>
      </c>
      <c r="L2292" t="n">
        <v>0</v>
      </c>
      <c r="M2292" t="n">
        <v>0</v>
      </c>
      <c r="N2292" t="n">
        <v>0</v>
      </c>
      <c r="O2292" t="n">
        <v>0</v>
      </c>
      <c r="P2292" t="n">
        <v>0</v>
      </c>
      <c r="Q2292" t="n">
        <v>0</v>
      </c>
      <c r="R2292" s="2" t="inlineStr"/>
    </row>
    <row r="2293" ht="15" customHeight="1">
      <c r="A2293" t="inlineStr">
        <is>
          <t>A 22624-2021</t>
        </is>
      </c>
      <c r="B2293" s="1" t="n">
        <v>44327</v>
      </c>
      <c r="C2293" s="1" t="n">
        <v>45797</v>
      </c>
      <c r="D2293" t="inlineStr">
        <is>
          <t>ÖREBRO LÄN</t>
        </is>
      </c>
      <c r="E2293" t="inlineStr">
        <is>
          <t>KARLSKOGA</t>
        </is>
      </c>
      <c r="F2293" t="inlineStr">
        <is>
          <t>Kyrkan</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22605-2021</t>
        </is>
      </c>
      <c r="B2294" s="1" t="n">
        <v>44327</v>
      </c>
      <c r="C2294" s="1" t="n">
        <v>45797</v>
      </c>
      <c r="D2294" t="inlineStr">
        <is>
          <t>ÖREBRO LÄN</t>
        </is>
      </c>
      <c r="E2294" t="inlineStr">
        <is>
          <t>LINDESBERG</t>
        </is>
      </c>
      <c r="F2294" t="inlineStr">
        <is>
          <t>Kommuner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22621-2021</t>
        </is>
      </c>
      <c r="B2295" s="1" t="n">
        <v>44327</v>
      </c>
      <c r="C2295" s="1" t="n">
        <v>45797</v>
      </c>
      <c r="D2295" t="inlineStr">
        <is>
          <t>ÖREBRO LÄN</t>
        </is>
      </c>
      <c r="E2295" t="inlineStr">
        <is>
          <t>KARLSKOGA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22819-2021</t>
        </is>
      </c>
      <c r="B2296" s="1" t="n">
        <v>44328</v>
      </c>
      <c r="C2296" s="1" t="n">
        <v>45797</v>
      </c>
      <c r="D2296" t="inlineStr">
        <is>
          <t>ÖREBRO LÄN</t>
        </is>
      </c>
      <c r="E2296" t="inlineStr">
        <is>
          <t>HÄLLEFORS</t>
        </is>
      </c>
      <c r="F2296" t="inlineStr">
        <is>
          <t>Bergvik skog väst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22804-2021</t>
        </is>
      </c>
      <c r="B2297" s="1" t="n">
        <v>44328</v>
      </c>
      <c r="C2297" s="1" t="n">
        <v>45797</v>
      </c>
      <c r="D2297" t="inlineStr">
        <is>
          <t>ÖREBRO LÄN</t>
        </is>
      </c>
      <c r="E2297" t="inlineStr">
        <is>
          <t>LAXÅ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22869-2021</t>
        </is>
      </c>
      <c r="B2298" s="1" t="n">
        <v>44328</v>
      </c>
      <c r="C2298" s="1" t="n">
        <v>45797</v>
      </c>
      <c r="D2298" t="inlineStr">
        <is>
          <t>ÖREBRO LÄN</t>
        </is>
      </c>
      <c r="E2298" t="inlineStr">
        <is>
          <t>LJUSNARSBERG</t>
        </is>
      </c>
      <c r="F2298" t="inlineStr">
        <is>
          <t>Bergvik skog väst AB</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22927-2021</t>
        </is>
      </c>
      <c r="B2299" s="1" t="n">
        <v>44328</v>
      </c>
      <c r="C2299" s="1" t="n">
        <v>45797</v>
      </c>
      <c r="D2299" t="inlineStr">
        <is>
          <t>ÖREBRO LÄN</t>
        </is>
      </c>
      <c r="E2299" t="inlineStr">
        <is>
          <t>LAXÅ</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22810-2021</t>
        </is>
      </c>
      <c r="B2300" s="1" t="n">
        <v>44328</v>
      </c>
      <c r="C2300" s="1" t="n">
        <v>45797</v>
      </c>
      <c r="D2300" t="inlineStr">
        <is>
          <t>ÖREBRO LÄN</t>
        </is>
      </c>
      <c r="E2300" t="inlineStr">
        <is>
          <t>LAXÅ</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22964-2021</t>
        </is>
      </c>
      <c r="B2301" s="1" t="n">
        <v>44328</v>
      </c>
      <c r="C2301" s="1" t="n">
        <v>45797</v>
      </c>
      <c r="D2301" t="inlineStr">
        <is>
          <t>ÖREBRO LÄN</t>
        </is>
      </c>
      <c r="E2301" t="inlineStr">
        <is>
          <t>LAXÅ</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22970-2021</t>
        </is>
      </c>
      <c r="B2302" s="1" t="n">
        <v>44328</v>
      </c>
      <c r="C2302" s="1" t="n">
        <v>45797</v>
      </c>
      <c r="D2302" t="inlineStr">
        <is>
          <t>ÖREBRO LÄN</t>
        </is>
      </c>
      <c r="E2302" t="inlineStr">
        <is>
          <t>LAXÅ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23111-2021</t>
        </is>
      </c>
      <c r="B2303" s="1" t="n">
        <v>44330</v>
      </c>
      <c r="C2303" s="1" t="n">
        <v>45797</v>
      </c>
      <c r="D2303" t="inlineStr">
        <is>
          <t>ÖREBRO LÄN</t>
        </is>
      </c>
      <c r="E2303" t="inlineStr">
        <is>
          <t>LINDESBERG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23159-2021</t>
        </is>
      </c>
      <c r="B2304" s="1" t="n">
        <v>44332</v>
      </c>
      <c r="C2304" s="1" t="n">
        <v>45797</v>
      </c>
      <c r="D2304" t="inlineStr">
        <is>
          <t>ÖREBRO LÄN</t>
        </is>
      </c>
      <c r="E2304" t="inlineStr">
        <is>
          <t>LINDESBERG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23158-2021</t>
        </is>
      </c>
      <c r="B2305" s="1" t="n">
        <v>44332</v>
      </c>
      <c r="C2305" s="1" t="n">
        <v>45797</v>
      </c>
      <c r="D2305" t="inlineStr">
        <is>
          <t>ÖREBRO LÄN</t>
        </is>
      </c>
      <c r="E2305" t="inlineStr">
        <is>
          <t>LINDESBERG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23229-2021</t>
        </is>
      </c>
      <c r="B2306" s="1" t="n">
        <v>44333</v>
      </c>
      <c r="C2306" s="1" t="n">
        <v>45797</v>
      </c>
      <c r="D2306" t="inlineStr">
        <is>
          <t>ÖREBRO LÄN</t>
        </is>
      </c>
      <c r="E2306" t="inlineStr">
        <is>
          <t>LAXÅ</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23196-2021</t>
        </is>
      </c>
      <c r="B2307" s="1" t="n">
        <v>44333</v>
      </c>
      <c r="C2307" s="1" t="n">
        <v>45797</v>
      </c>
      <c r="D2307" t="inlineStr">
        <is>
          <t>ÖREBRO LÄN</t>
        </is>
      </c>
      <c r="E2307" t="inlineStr">
        <is>
          <t>LJUSNARSBERG</t>
        </is>
      </c>
      <c r="F2307" t="inlineStr">
        <is>
          <t>Kyrkan</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23301-2021</t>
        </is>
      </c>
      <c r="B2308" s="1" t="n">
        <v>44333</v>
      </c>
      <c r="C2308" s="1" t="n">
        <v>45797</v>
      </c>
      <c r="D2308" t="inlineStr">
        <is>
          <t>ÖREBRO LÄN</t>
        </is>
      </c>
      <c r="E2308" t="inlineStr">
        <is>
          <t>ASKERSUND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23565-2021</t>
        </is>
      </c>
      <c r="B2309" s="1" t="n">
        <v>44334</v>
      </c>
      <c r="C2309" s="1" t="n">
        <v>45797</v>
      </c>
      <c r="D2309" t="inlineStr">
        <is>
          <t>ÖREBRO LÄN</t>
        </is>
      </c>
      <c r="E2309" t="inlineStr">
        <is>
          <t>LEKEBERG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23606-2021</t>
        </is>
      </c>
      <c r="B2310" s="1" t="n">
        <v>44334</v>
      </c>
      <c r="C2310" s="1" t="n">
        <v>45797</v>
      </c>
      <c r="D2310" t="inlineStr">
        <is>
          <t>ÖREBRO LÄN</t>
        </is>
      </c>
      <c r="E2310" t="inlineStr">
        <is>
          <t>ÖREBRO</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23661-2021</t>
        </is>
      </c>
      <c r="B2311" s="1" t="n">
        <v>44334</v>
      </c>
      <c r="C2311" s="1" t="n">
        <v>45797</v>
      </c>
      <c r="D2311" t="inlineStr">
        <is>
          <t>ÖREBRO LÄN</t>
        </is>
      </c>
      <c r="E2311" t="inlineStr">
        <is>
          <t>LINDESBERG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23720-2021</t>
        </is>
      </c>
      <c r="B2312" s="1" t="n">
        <v>44334</v>
      </c>
      <c r="C2312" s="1" t="n">
        <v>45797</v>
      </c>
      <c r="D2312" t="inlineStr">
        <is>
          <t>ÖREBRO LÄN</t>
        </is>
      </c>
      <c r="E2312" t="inlineStr">
        <is>
          <t>ASKERSUND</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23718-2021</t>
        </is>
      </c>
      <c r="B2313" s="1" t="n">
        <v>44334</v>
      </c>
      <c r="C2313" s="1" t="n">
        <v>45797</v>
      </c>
      <c r="D2313" t="inlineStr">
        <is>
          <t>ÖREBRO LÄN</t>
        </is>
      </c>
      <c r="E2313" t="inlineStr">
        <is>
          <t>ASKERSUND</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23721-2021</t>
        </is>
      </c>
      <c r="B2314" s="1" t="n">
        <v>44334</v>
      </c>
      <c r="C2314" s="1" t="n">
        <v>45797</v>
      </c>
      <c r="D2314" t="inlineStr">
        <is>
          <t>ÖREBRO LÄN</t>
        </is>
      </c>
      <c r="E2314" t="inlineStr">
        <is>
          <t>ASKERSUND</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23856-2021</t>
        </is>
      </c>
      <c r="B2315" s="1" t="n">
        <v>44335</v>
      </c>
      <c r="C2315" s="1" t="n">
        <v>45797</v>
      </c>
      <c r="D2315" t="inlineStr">
        <is>
          <t>ÖREBRO LÄN</t>
        </is>
      </c>
      <c r="E2315" t="inlineStr">
        <is>
          <t>HALLSBERG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24045-2021</t>
        </is>
      </c>
      <c r="B2316" s="1" t="n">
        <v>44336</v>
      </c>
      <c r="C2316" s="1" t="n">
        <v>45797</v>
      </c>
      <c r="D2316" t="inlineStr">
        <is>
          <t>ÖREBRO LÄN</t>
        </is>
      </c>
      <c r="E2316" t="inlineStr">
        <is>
          <t>HALLSBERG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24200-2021</t>
        </is>
      </c>
      <c r="B2317" s="1" t="n">
        <v>44336</v>
      </c>
      <c r="C2317" s="1" t="n">
        <v>45797</v>
      </c>
      <c r="D2317" t="inlineStr">
        <is>
          <t>ÖREBRO LÄN</t>
        </is>
      </c>
      <c r="E2317" t="inlineStr">
        <is>
          <t>LAXÅ</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24818-2021</t>
        </is>
      </c>
      <c r="B2318" s="1" t="n">
        <v>44340</v>
      </c>
      <c r="C2318" s="1" t="n">
        <v>45797</v>
      </c>
      <c r="D2318" t="inlineStr">
        <is>
          <t>ÖREBRO LÄN</t>
        </is>
      </c>
      <c r="E2318" t="inlineStr">
        <is>
          <t>ÖREBRO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24637-2021</t>
        </is>
      </c>
      <c r="B2319" s="1" t="n">
        <v>44340</v>
      </c>
      <c r="C2319" s="1" t="n">
        <v>45797</v>
      </c>
      <c r="D2319" t="inlineStr">
        <is>
          <t>ÖREBRO LÄN</t>
        </is>
      </c>
      <c r="E2319" t="inlineStr">
        <is>
          <t>KARLSKOGA</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24967-2021</t>
        </is>
      </c>
      <c r="B2320" s="1" t="n">
        <v>44341</v>
      </c>
      <c r="C2320" s="1" t="n">
        <v>45797</v>
      </c>
      <c r="D2320" t="inlineStr">
        <is>
          <t>ÖREBRO LÄN</t>
        </is>
      </c>
      <c r="E2320" t="inlineStr">
        <is>
          <t>LAXÅ</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24876-2021</t>
        </is>
      </c>
      <c r="B2321" s="1" t="n">
        <v>44341</v>
      </c>
      <c r="C2321" s="1" t="n">
        <v>45797</v>
      </c>
      <c r="D2321" t="inlineStr">
        <is>
          <t>ÖREBRO LÄN</t>
        </is>
      </c>
      <c r="E2321" t="inlineStr">
        <is>
          <t>HALLSBERG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24897-2021</t>
        </is>
      </c>
      <c r="B2322" s="1" t="n">
        <v>44341</v>
      </c>
      <c r="C2322" s="1" t="n">
        <v>45797</v>
      </c>
      <c r="D2322" t="inlineStr">
        <is>
          <t>ÖREBRO LÄN</t>
        </is>
      </c>
      <c r="E2322" t="inlineStr">
        <is>
          <t>HALLSBERG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25116-2021</t>
        </is>
      </c>
      <c r="B2323" s="1" t="n">
        <v>44341</v>
      </c>
      <c r="C2323" s="1" t="n">
        <v>45797</v>
      </c>
      <c r="D2323" t="inlineStr">
        <is>
          <t>ÖREBRO LÄN</t>
        </is>
      </c>
      <c r="E2323" t="inlineStr">
        <is>
          <t>KARLSKOGA</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25229-2021</t>
        </is>
      </c>
      <c r="B2324" s="1" t="n">
        <v>44342</v>
      </c>
      <c r="C2324" s="1" t="n">
        <v>45797</v>
      </c>
      <c r="D2324" t="inlineStr">
        <is>
          <t>ÖREBRO LÄN</t>
        </is>
      </c>
      <c r="E2324" t="inlineStr">
        <is>
          <t>LINDESBERG</t>
        </is>
      </c>
      <c r="F2324" t="inlineStr">
        <is>
          <t>Kyrkan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25407-2021</t>
        </is>
      </c>
      <c r="B2325" s="1" t="n">
        <v>44342</v>
      </c>
      <c r="C2325" s="1" t="n">
        <v>45797</v>
      </c>
      <c r="D2325" t="inlineStr">
        <is>
          <t>ÖREBRO LÄN</t>
        </is>
      </c>
      <c r="E2325" t="inlineStr">
        <is>
          <t>ÖREBRO</t>
        </is>
      </c>
      <c r="F2325" t="inlineStr">
        <is>
          <t>Kommuner</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25443-2021</t>
        </is>
      </c>
      <c r="B2326" s="1" t="n">
        <v>44342</v>
      </c>
      <c r="C2326" s="1" t="n">
        <v>45797</v>
      </c>
      <c r="D2326" t="inlineStr">
        <is>
          <t>ÖREBRO LÄN</t>
        </is>
      </c>
      <c r="E2326" t="inlineStr">
        <is>
          <t>ÖREBRO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25663-2021</t>
        </is>
      </c>
      <c r="B2327" s="1" t="n">
        <v>44343</v>
      </c>
      <c r="C2327" s="1" t="n">
        <v>45797</v>
      </c>
      <c r="D2327" t="inlineStr">
        <is>
          <t>ÖREBRO LÄN</t>
        </is>
      </c>
      <c r="E2327" t="inlineStr">
        <is>
          <t>ASKERSUND</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25724-2021</t>
        </is>
      </c>
      <c r="B2328" s="1" t="n">
        <v>44343</v>
      </c>
      <c r="C2328" s="1" t="n">
        <v>45797</v>
      </c>
      <c r="D2328" t="inlineStr">
        <is>
          <t>ÖREBRO LÄN</t>
        </is>
      </c>
      <c r="E2328" t="inlineStr">
        <is>
          <t>ASKERSUND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25734-2021</t>
        </is>
      </c>
      <c r="B2329" s="1" t="n">
        <v>44343</v>
      </c>
      <c r="C2329" s="1" t="n">
        <v>45797</v>
      </c>
      <c r="D2329" t="inlineStr">
        <is>
          <t>ÖREBRO LÄN</t>
        </is>
      </c>
      <c r="E2329" t="inlineStr">
        <is>
          <t>HALLSBERG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25661-2021</t>
        </is>
      </c>
      <c r="B2330" s="1" t="n">
        <v>44343</v>
      </c>
      <c r="C2330" s="1" t="n">
        <v>45797</v>
      </c>
      <c r="D2330" t="inlineStr">
        <is>
          <t>ÖREBRO LÄN</t>
        </is>
      </c>
      <c r="E2330" t="inlineStr">
        <is>
          <t>ASKERSUND</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25720-2021</t>
        </is>
      </c>
      <c r="B2331" s="1" t="n">
        <v>44343</v>
      </c>
      <c r="C2331" s="1" t="n">
        <v>45797</v>
      </c>
      <c r="D2331" t="inlineStr">
        <is>
          <t>ÖREBRO LÄN</t>
        </is>
      </c>
      <c r="E2331" t="inlineStr">
        <is>
          <t>ASKERSUND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25749-2021</t>
        </is>
      </c>
      <c r="B2332" s="1" t="n">
        <v>44343</v>
      </c>
      <c r="C2332" s="1" t="n">
        <v>45797</v>
      </c>
      <c r="D2332" t="inlineStr">
        <is>
          <t>ÖREBRO LÄN</t>
        </is>
      </c>
      <c r="E2332" t="inlineStr">
        <is>
          <t>ASKERSUND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25660-2021</t>
        </is>
      </c>
      <c r="B2333" s="1" t="n">
        <v>44343</v>
      </c>
      <c r="C2333" s="1" t="n">
        <v>45797</v>
      </c>
      <c r="D2333" t="inlineStr">
        <is>
          <t>ÖREBRO LÄN</t>
        </is>
      </c>
      <c r="E2333" t="inlineStr">
        <is>
          <t>ÖREBRO</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25710-2021</t>
        </is>
      </c>
      <c r="B2334" s="1" t="n">
        <v>44343</v>
      </c>
      <c r="C2334" s="1" t="n">
        <v>45797</v>
      </c>
      <c r="D2334" t="inlineStr">
        <is>
          <t>ÖREBRO LÄN</t>
        </is>
      </c>
      <c r="E2334" t="inlineStr">
        <is>
          <t>LAXÅ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25718-2021</t>
        </is>
      </c>
      <c r="B2335" s="1" t="n">
        <v>44343</v>
      </c>
      <c r="C2335" s="1" t="n">
        <v>45797</v>
      </c>
      <c r="D2335" t="inlineStr">
        <is>
          <t>ÖREBRO LÄN</t>
        </is>
      </c>
      <c r="E2335" t="inlineStr">
        <is>
          <t>HALLSBERG</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25729-2021</t>
        </is>
      </c>
      <c r="B2336" s="1" t="n">
        <v>44343</v>
      </c>
      <c r="C2336" s="1" t="n">
        <v>45797</v>
      </c>
      <c r="D2336" t="inlineStr">
        <is>
          <t>ÖREBRO LÄN</t>
        </is>
      </c>
      <c r="E2336" t="inlineStr">
        <is>
          <t>ASKERSUND</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25778-2021</t>
        </is>
      </c>
      <c r="B2337" s="1" t="n">
        <v>44343</v>
      </c>
      <c r="C2337" s="1" t="n">
        <v>45797</v>
      </c>
      <c r="D2337" t="inlineStr">
        <is>
          <t>ÖREBRO LÄN</t>
        </is>
      </c>
      <c r="E2337" t="inlineStr">
        <is>
          <t>ÖREBRO</t>
        </is>
      </c>
      <c r="F2337" t="inlineStr">
        <is>
          <t>Övriga Aktiebolag</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25898-2021</t>
        </is>
      </c>
      <c r="B2338" s="1" t="n">
        <v>44344</v>
      </c>
      <c r="C2338" s="1" t="n">
        <v>45797</v>
      </c>
      <c r="D2338" t="inlineStr">
        <is>
          <t>ÖREBRO LÄN</t>
        </is>
      </c>
      <c r="E2338" t="inlineStr">
        <is>
          <t>KARLSKOGA</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25911-2021</t>
        </is>
      </c>
      <c r="B2339" s="1" t="n">
        <v>44344</v>
      </c>
      <c r="C2339" s="1" t="n">
        <v>45797</v>
      </c>
      <c r="D2339" t="inlineStr">
        <is>
          <t>ÖREBRO LÄN</t>
        </is>
      </c>
      <c r="E2339" t="inlineStr">
        <is>
          <t>ASKERSUND</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26118-2021</t>
        </is>
      </c>
      <c r="B2340" s="1" t="n">
        <v>44345</v>
      </c>
      <c r="C2340" s="1" t="n">
        <v>45797</v>
      </c>
      <c r="D2340" t="inlineStr">
        <is>
          <t>ÖREBRO LÄN</t>
        </is>
      </c>
      <c r="E2340" t="inlineStr">
        <is>
          <t>ÖREBRO</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26119-2021</t>
        </is>
      </c>
      <c r="B2341" s="1" t="n">
        <v>44345</v>
      </c>
      <c r="C2341" s="1" t="n">
        <v>45797</v>
      </c>
      <c r="D2341" t="inlineStr">
        <is>
          <t>ÖREBRO LÄN</t>
        </is>
      </c>
      <c r="E2341" t="inlineStr">
        <is>
          <t>ÖREBRO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26117-2021</t>
        </is>
      </c>
      <c r="B2342" s="1" t="n">
        <v>44345</v>
      </c>
      <c r="C2342" s="1" t="n">
        <v>45797</v>
      </c>
      <c r="D2342" t="inlineStr">
        <is>
          <t>ÖREBRO LÄN</t>
        </is>
      </c>
      <c r="E2342" t="inlineStr">
        <is>
          <t>ÖREBRO</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26196-2021</t>
        </is>
      </c>
      <c r="B2343" s="1" t="n">
        <v>44347</v>
      </c>
      <c r="C2343" s="1" t="n">
        <v>45797</v>
      </c>
      <c r="D2343" t="inlineStr">
        <is>
          <t>ÖREBRO LÄN</t>
        </is>
      </c>
      <c r="E2343" t="inlineStr">
        <is>
          <t>KARLSKOGA</t>
        </is>
      </c>
      <c r="F2343" t="inlineStr">
        <is>
          <t>Sveaskog</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26194-2021</t>
        </is>
      </c>
      <c r="B2344" s="1" t="n">
        <v>44347</v>
      </c>
      <c r="C2344" s="1" t="n">
        <v>45797</v>
      </c>
      <c r="D2344" t="inlineStr">
        <is>
          <t>ÖREBRO LÄN</t>
        </is>
      </c>
      <c r="E2344" t="inlineStr">
        <is>
          <t>KARLSKOGA</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26278-2021</t>
        </is>
      </c>
      <c r="B2345" s="1" t="n">
        <v>44347</v>
      </c>
      <c r="C2345" s="1" t="n">
        <v>45797</v>
      </c>
      <c r="D2345" t="inlineStr">
        <is>
          <t>ÖREBRO LÄN</t>
        </is>
      </c>
      <c r="E2345" t="inlineStr">
        <is>
          <t>NORA</t>
        </is>
      </c>
      <c r="F2345" t="inlineStr">
        <is>
          <t>Naturvårdsverket</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26153-2021</t>
        </is>
      </c>
      <c r="B2346" s="1" t="n">
        <v>44347</v>
      </c>
      <c r="C2346" s="1" t="n">
        <v>45797</v>
      </c>
      <c r="D2346" t="inlineStr">
        <is>
          <t>ÖREBRO LÄN</t>
        </is>
      </c>
      <c r="E2346" t="inlineStr">
        <is>
          <t>ÖREBRO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26338-2021</t>
        </is>
      </c>
      <c r="B2347" s="1" t="n">
        <v>44347</v>
      </c>
      <c r="C2347" s="1" t="n">
        <v>45797</v>
      </c>
      <c r="D2347" t="inlineStr">
        <is>
          <t>ÖREBRO LÄN</t>
        </is>
      </c>
      <c r="E2347" t="inlineStr">
        <is>
          <t>ÖREBRO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26527-2021</t>
        </is>
      </c>
      <c r="B2348" s="1" t="n">
        <v>44348</v>
      </c>
      <c r="C2348" s="1" t="n">
        <v>45797</v>
      </c>
      <c r="D2348" t="inlineStr">
        <is>
          <t>ÖREBRO LÄN</t>
        </is>
      </c>
      <c r="E2348" t="inlineStr">
        <is>
          <t>HÄLLEFORS</t>
        </is>
      </c>
      <c r="F2348" t="inlineStr">
        <is>
          <t>Bergvik skog väst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26537-2021</t>
        </is>
      </c>
      <c r="B2349" s="1" t="n">
        <v>44348</v>
      </c>
      <c r="C2349" s="1" t="n">
        <v>45797</v>
      </c>
      <c r="D2349" t="inlineStr">
        <is>
          <t>ÖREBRO LÄN</t>
        </is>
      </c>
      <c r="E2349" t="inlineStr">
        <is>
          <t>HÄLLEFORS</t>
        </is>
      </c>
      <c r="F2349" t="inlineStr">
        <is>
          <t>Bergvik skog väst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26597-2021</t>
        </is>
      </c>
      <c r="B2350" s="1" t="n">
        <v>44348</v>
      </c>
      <c r="C2350" s="1" t="n">
        <v>45797</v>
      </c>
      <c r="D2350" t="inlineStr">
        <is>
          <t>ÖREBRO LÄN</t>
        </is>
      </c>
      <c r="E2350" t="inlineStr">
        <is>
          <t>LJUSNARSBERG</t>
        </is>
      </c>
      <c r="F2350" t="inlineStr">
        <is>
          <t>Bergvik skog väst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26536-2021</t>
        </is>
      </c>
      <c r="B2351" s="1" t="n">
        <v>44348</v>
      </c>
      <c r="C2351" s="1" t="n">
        <v>45797</v>
      </c>
      <c r="D2351" t="inlineStr">
        <is>
          <t>ÖREBRO LÄN</t>
        </is>
      </c>
      <c r="E2351" t="inlineStr">
        <is>
          <t>LJUSNARSBERG</t>
        </is>
      </c>
      <c r="F2351" t="inlineStr">
        <is>
          <t>Bergvik skog väst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26509-2021</t>
        </is>
      </c>
      <c r="B2352" s="1" t="n">
        <v>44348</v>
      </c>
      <c r="C2352" s="1" t="n">
        <v>45797</v>
      </c>
      <c r="D2352" t="inlineStr">
        <is>
          <t>ÖREBRO LÄN</t>
        </is>
      </c>
      <c r="E2352" t="inlineStr">
        <is>
          <t>ÖREBRO</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26549-2021</t>
        </is>
      </c>
      <c r="B2353" s="1" t="n">
        <v>44348</v>
      </c>
      <c r="C2353" s="1" t="n">
        <v>45797</v>
      </c>
      <c r="D2353" t="inlineStr">
        <is>
          <t>ÖREBRO LÄN</t>
        </is>
      </c>
      <c r="E2353" t="inlineStr">
        <is>
          <t>ASKERSUND</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26619-2021</t>
        </is>
      </c>
      <c r="B2354" s="1" t="n">
        <v>44348</v>
      </c>
      <c r="C2354" s="1" t="n">
        <v>45797</v>
      </c>
      <c r="D2354" t="inlineStr">
        <is>
          <t>ÖREBRO LÄN</t>
        </is>
      </c>
      <c r="E2354" t="inlineStr">
        <is>
          <t>LINDESBERG</t>
        </is>
      </c>
      <c r="F2354" t="inlineStr">
        <is>
          <t>Naturvårdsverket</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26620-2021</t>
        </is>
      </c>
      <c r="B2355" s="1" t="n">
        <v>44348</v>
      </c>
      <c r="C2355" s="1" t="n">
        <v>45797</v>
      </c>
      <c r="D2355" t="inlineStr">
        <is>
          <t>ÖREBRO LÄN</t>
        </is>
      </c>
      <c r="E2355" t="inlineStr">
        <is>
          <t>LINDESBERG</t>
        </is>
      </c>
      <c r="F2355" t="inlineStr">
        <is>
          <t>Naturvårdsverket</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27175-2021</t>
        </is>
      </c>
      <c r="B2356" s="1" t="n">
        <v>44350</v>
      </c>
      <c r="C2356" s="1" t="n">
        <v>45797</v>
      </c>
      <c r="D2356" t="inlineStr">
        <is>
          <t>ÖREBRO LÄN</t>
        </is>
      </c>
      <c r="E2356" t="inlineStr">
        <is>
          <t>HÄLLEFORS</t>
        </is>
      </c>
      <c r="F2356" t="inlineStr">
        <is>
          <t>Sveaskog</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27141-2021</t>
        </is>
      </c>
      <c r="B2357" s="1" t="n">
        <v>44350</v>
      </c>
      <c r="C2357" s="1" t="n">
        <v>45797</v>
      </c>
      <c r="D2357" t="inlineStr">
        <is>
          <t>ÖREBRO LÄN</t>
        </is>
      </c>
      <c r="E2357" t="inlineStr">
        <is>
          <t>ÖREBRO</t>
        </is>
      </c>
      <c r="F2357" t="inlineStr">
        <is>
          <t>Kommuner</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27513-2021</t>
        </is>
      </c>
      <c r="B2358" s="1" t="n">
        <v>44351</v>
      </c>
      <c r="C2358" s="1" t="n">
        <v>45797</v>
      </c>
      <c r="D2358" t="inlineStr">
        <is>
          <t>ÖREBRO LÄN</t>
        </is>
      </c>
      <c r="E2358" t="inlineStr">
        <is>
          <t>HÄLLEFORS</t>
        </is>
      </c>
      <c r="F2358" t="inlineStr">
        <is>
          <t>Sveaskog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27502-2021</t>
        </is>
      </c>
      <c r="B2359" s="1" t="n">
        <v>44351</v>
      </c>
      <c r="C2359" s="1" t="n">
        <v>45797</v>
      </c>
      <c r="D2359" t="inlineStr">
        <is>
          <t>ÖREBRO LÄN</t>
        </is>
      </c>
      <c r="E2359" t="inlineStr">
        <is>
          <t>LAXÅ</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27728-2021</t>
        </is>
      </c>
      <c r="B2360" s="1" t="n">
        <v>44354</v>
      </c>
      <c r="C2360" s="1" t="n">
        <v>45797</v>
      </c>
      <c r="D2360" t="inlineStr">
        <is>
          <t>ÖREBRO LÄN</t>
        </is>
      </c>
      <c r="E2360" t="inlineStr">
        <is>
          <t>KARLSKOGA</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27648-2021</t>
        </is>
      </c>
      <c r="B2361" s="1" t="n">
        <v>44354</v>
      </c>
      <c r="C2361" s="1" t="n">
        <v>45797</v>
      </c>
      <c r="D2361" t="inlineStr">
        <is>
          <t>ÖREBRO LÄN</t>
        </is>
      </c>
      <c r="E2361" t="inlineStr">
        <is>
          <t>NORA</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27727-2021</t>
        </is>
      </c>
      <c r="B2362" s="1" t="n">
        <v>44354</v>
      </c>
      <c r="C2362" s="1" t="n">
        <v>45797</v>
      </c>
      <c r="D2362" t="inlineStr">
        <is>
          <t>ÖREBRO LÄN</t>
        </is>
      </c>
      <c r="E2362" t="inlineStr">
        <is>
          <t>KARLSKOGA</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27735-2021</t>
        </is>
      </c>
      <c r="B2363" s="1" t="n">
        <v>44354</v>
      </c>
      <c r="C2363" s="1" t="n">
        <v>45797</v>
      </c>
      <c r="D2363" t="inlineStr">
        <is>
          <t>ÖREBRO LÄN</t>
        </is>
      </c>
      <c r="E2363" t="inlineStr">
        <is>
          <t>KARLSKOGA</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28082-2021</t>
        </is>
      </c>
      <c r="B2364" s="1" t="n">
        <v>44355</v>
      </c>
      <c r="C2364" s="1" t="n">
        <v>45797</v>
      </c>
      <c r="D2364" t="inlineStr">
        <is>
          <t>ÖREBRO LÄN</t>
        </is>
      </c>
      <c r="E2364" t="inlineStr">
        <is>
          <t>LINDESBERG</t>
        </is>
      </c>
      <c r="F2364" t="inlineStr">
        <is>
          <t>Sveaskog</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28689-2021</t>
        </is>
      </c>
      <c r="B2365" s="1" t="n">
        <v>44357</v>
      </c>
      <c r="C2365" s="1" t="n">
        <v>45797</v>
      </c>
      <c r="D2365" t="inlineStr">
        <is>
          <t>ÖREBRO LÄN</t>
        </is>
      </c>
      <c r="E2365" t="inlineStr">
        <is>
          <t>ÖREBRO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28657-2021</t>
        </is>
      </c>
      <c r="B2366" s="1" t="n">
        <v>44357</v>
      </c>
      <c r="C2366" s="1" t="n">
        <v>45797</v>
      </c>
      <c r="D2366" t="inlineStr">
        <is>
          <t>ÖREBRO LÄN</t>
        </is>
      </c>
      <c r="E2366" t="inlineStr">
        <is>
          <t>HÄLLEFORS</t>
        </is>
      </c>
      <c r="F2366" t="inlineStr">
        <is>
          <t>Bergvik skog väst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28741-2021</t>
        </is>
      </c>
      <c r="B2367" s="1" t="n">
        <v>44357</v>
      </c>
      <c r="C2367" s="1" t="n">
        <v>45797</v>
      </c>
      <c r="D2367" t="inlineStr">
        <is>
          <t>ÖREBRO LÄN</t>
        </is>
      </c>
      <c r="E2367" t="inlineStr">
        <is>
          <t>LINDESBERG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28859-2021</t>
        </is>
      </c>
      <c r="B2368" s="1" t="n">
        <v>44357</v>
      </c>
      <c r="C2368" s="1" t="n">
        <v>45797</v>
      </c>
      <c r="D2368" t="inlineStr">
        <is>
          <t>ÖREBRO LÄN</t>
        </is>
      </c>
      <c r="E2368" t="inlineStr">
        <is>
          <t>LAXÅ</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28861-2021</t>
        </is>
      </c>
      <c r="B2369" s="1" t="n">
        <v>44357</v>
      </c>
      <c r="C2369" s="1" t="n">
        <v>45797</v>
      </c>
      <c r="D2369" t="inlineStr">
        <is>
          <t>ÖREBRO LÄN</t>
        </is>
      </c>
      <c r="E2369" t="inlineStr">
        <is>
          <t>LAXÅ</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28858-2021</t>
        </is>
      </c>
      <c r="B2370" s="1" t="n">
        <v>44357</v>
      </c>
      <c r="C2370" s="1" t="n">
        <v>45797</v>
      </c>
      <c r="D2370" t="inlineStr">
        <is>
          <t>ÖREBRO LÄN</t>
        </is>
      </c>
      <c r="E2370" t="inlineStr">
        <is>
          <t>LAXÅ</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28863-2021</t>
        </is>
      </c>
      <c r="B2371" s="1" t="n">
        <v>44357</v>
      </c>
      <c r="C2371" s="1" t="n">
        <v>45797</v>
      </c>
      <c r="D2371" t="inlineStr">
        <is>
          <t>ÖREBRO LÄN</t>
        </is>
      </c>
      <c r="E2371" t="inlineStr">
        <is>
          <t>LAXÅ</t>
        </is>
      </c>
      <c r="F2371" t="inlineStr">
        <is>
          <t>Sveaskog</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28860-2021</t>
        </is>
      </c>
      <c r="B2372" s="1" t="n">
        <v>44357</v>
      </c>
      <c r="C2372" s="1" t="n">
        <v>45797</v>
      </c>
      <c r="D2372" t="inlineStr">
        <is>
          <t>ÖREBRO LÄN</t>
        </is>
      </c>
      <c r="E2372" t="inlineStr">
        <is>
          <t>LAXÅ</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28870-2021</t>
        </is>
      </c>
      <c r="B2373" s="1" t="n">
        <v>44357</v>
      </c>
      <c r="C2373" s="1" t="n">
        <v>45797</v>
      </c>
      <c r="D2373" t="inlineStr">
        <is>
          <t>ÖREBRO LÄN</t>
        </is>
      </c>
      <c r="E2373" t="inlineStr">
        <is>
          <t>ÖREBRO</t>
        </is>
      </c>
      <c r="F2373" t="inlineStr">
        <is>
          <t>Övriga Aktiebolag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28949-2021</t>
        </is>
      </c>
      <c r="B2374" s="1" t="n">
        <v>44358</v>
      </c>
      <c r="C2374" s="1" t="n">
        <v>45797</v>
      </c>
      <c r="D2374" t="inlineStr">
        <is>
          <t>ÖREBRO LÄN</t>
        </is>
      </c>
      <c r="E2374" t="inlineStr">
        <is>
          <t>ASKERSUND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29033-2021</t>
        </is>
      </c>
      <c r="B2375" s="1" t="n">
        <v>44358</v>
      </c>
      <c r="C2375" s="1" t="n">
        <v>45797</v>
      </c>
      <c r="D2375" t="inlineStr">
        <is>
          <t>ÖREBRO LÄN</t>
        </is>
      </c>
      <c r="E2375" t="inlineStr">
        <is>
          <t>ÖREBRO</t>
        </is>
      </c>
      <c r="F2375" t="inlineStr">
        <is>
          <t>Kommuner</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29104-2021</t>
        </is>
      </c>
      <c r="B2376" s="1" t="n">
        <v>44358</v>
      </c>
      <c r="C2376" s="1" t="n">
        <v>45797</v>
      </c>
      <c r="D2376" t="inlineStr">
        <is>
          <t>ÖREBRO LÄN</t>
        </is>
      </c>
      <c r="E2376" t="inlineStr">
        <is>
          <t>ASKERSUND</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29122-2021</t>
        </is>
      </c>
      <c r="B2377" s="1" t="n">
        <v>44358</v>
      </c>
      <c r="C2377" s="1" t="n">
        <v>45797</v>
      </c>
      <c r="D2377" t="inlineStr">
        <is>
          <t>ÖREBRO LÄN</t>
        </is>
      </c>
      <c r="E2377" t="inlineStr">
        <is>
          <t>ASKERSUND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29427-2021</t>
        </is>
      </c>
      <c r="B2378" s="1" t="n">
        <v>44361</v>
      </c>
      <c r="C2378" s="1" t="n">
        <v>45797</v>
      </c>
      <c r="D2378" t="inlineStr">
        <is>
          <t>ÖREBRO LÄN</t>
        </is>
      </c>
      <c r="E2378" t="inlineStr">
        <is>
          <t>LINDESBERG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29503-2021</t>
        </is>
      </c>
      <c r="B2379" s="1" t="n">
        <v>44361</v>
      </c>
      <c r="C2379" s="1" t="n">
        <v>45797</v>
      </c>
      <c r="D2379" t="inlineStr">
        <is>
          <t>ÖREBRO LÄN</t>
        </is>
      </c>
      <c r="E2379" t="inlineStr">
        <is>
          <t>HALLSBERG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29560-2021</t>
        </is>
      </c>
      <c r="B2380" s="1" t="n">
        <v>44361</v>
      </c>
      <c r="C2380" s="1" t="n">
        <v>45797</v>
      </c>
      <c r="D2380" t="inlineStr">
        <is>
          <t>ÖREBRO LÄN</t>
        </is>
      </c>
      <c r="E2380" t="inlineStr">
        <is>
          <t>LAXÅ</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29651-2021</t>
        </is>
      </c>
      <c r="B2381" s="1" t="n">
        <v>44362</v>
      </c>
      <c r="C2381" s="1" t="n">
        <v>45797</v>
      </c>
      <c r="D2381" t="inlineStr">
        <is>
          <t>ÖREBRO LÄN</t>
        </is>
      </c>
      <c r="E2381" t="inlineStr">
        <is>
          <t>LJUSNARSBERG</t>
        </is>
      </c>
      <c r="F2381" t="inlineStr">
        <is>
          <t>Övriga Aktiebolag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29810-2021</t>
        </is>
      </c>
      <c r="B2382" s="1" t="n">
        <v>44362</v>
      </c>
      <c r="C2382" s="1" t="n">
        <v>45797</v>
      </c>
      <c r="D2382" t="inlineStr">
        <is>
          <t>ÖREBRO LÄN</t>
        </is>
      </c>
      <c r="E2382" t="inlineStr">
        <is>
          <t>KARLSKOGA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29839-2021</t>
        </is>
      </c>
      <c r="B2383" s="1" t="n">
        <v>44362</v>
      </c>
      <c r="C2383" s="1" t="n">
        <v>45797</v>
      </c>
      <c r="D2383" t="inlineStr">
        <is>
          <t>ÖREBRO LÄN</t>
        </is>
      </c>
      <c r="E2383" t="inlineStr">
        <is>
          <t>NORA</t>
        </is>
      </c>
      <c r="F2383" t="inlineStr">
        <is>
          <t>Övriga Aktiebolag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30122-2021</t>
        </is>
      </c>
      <c r="B2384" s="1" t="n">
        <v>44363</v>
      </c>
      <c r="C2384" s="1" t="n">
        <v>45797</v>
      </c>
      <c r="D2384" t="inlineStr">
        <is>
          <t>ÖREBRO LÄN</t>
        </is>
      </c>
      <c r="E2384" t="inlineStr">
        <is>
          <t>LINDESBERG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30078-2021</t>
        </is>
      </c>
      <c r="B2385" s="1" t="n">
        <v>44363</v>
      </c>
      <c r="C2385" s="1" t="n">
        <v>45797</v>
      </c>
      <c r="D2385" t="inlineStr">
        <is>
          <t>ÖREBRO LÄN</t>
        </is>
      </c>
      <c r="E2385" t="inlineStr">
        <is>
          <t>LAXÅ</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30148-2021</t>
        </is>
      </c>
      <c r="B2386" s="1" t="n">
        <v>44363</v>
      </c>
      <c r="C2386" s="1" t="n">
        <v>45797</v>
      </c>
      <c r="D2386" t="inlineStr">
        <is>
          <t>ÖREBRO LÄN</t>
        </is>
      </c>
      <c r="E2386" t="inlineStr">
        <is>
          <t>LJUSNARSBERG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30603-2021</t>
        </is>
      </c>
      <c r="B2387" s="1" t="n">
        <v>44365</v>
      </c>
      <c r="C2387" s="1" t="n">
        <v>45797</v>
      </c>
      <c r="D2387" t="inlineStr">
        <is>
          <t>ÖREBRO LÄN</t>
        </is>
      </c>
      <c r="E2387" t="inlineStr">
        <is>
          <t>LEKEBERG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30835-2021</t>
        </is>
      </c>
      <c r="B2388" s="1" t="n">
        <v>44365</v>
      </c>
      <c r="C2388" s="1" t="n">
        <v>45797</v>
      </c>
      <c r="D2388" t="inlineStr">
        <is>
          <t>ÖREBRO LÄN</t>
        </is>
      </c>
      <c r="E2388" t="inlineStr">
        <is>
          <t>KUMLA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30864-2021</t>
        </is>
      </c>
      <c r="B2389" s="1" t="n">
        <v>44365</v>
      </c>
      <c r="C2389" s="1" t="n">
        <v>45797</v>
      </c>
      <c r="D2389" t="inlineStr">
        <is>
          <t>ÖREBRO LÄN</t>
        </is>
      </c>
      <c r="E2389" t="inlineStr">
        <is>
          <t>KUMLA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31050-2021</t>
        </is>
      </c>
      <c r="B2390" s="1" t="n">
        <v>44368</v>
      </c>
      <c r="C2390" s="1" t="n">
        <v>45797</v>
      </c>
      <c r="D2390" t="inlineStr">
        <is>
          <t>ÖREBRO LÄN</t>
        </is>
      </c>
      <c r="E2390" t="inlineStr">
        <is>
          <t>LJUSNARSBERG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31225-2021</t>
        </is>
      </c>
      <c r="B2391" s="1" t="n">
        <v>44368</v>
      </c>
      <c r="C2391" s="1" t="n">
        <v>45797</v>
      </c>
      <c r="D2391" t="inlineStr">
        <is>
          <t>ÖREBRO LÄN</t>
        </is>
      </c>
      <c r="E2391" t="inlineStr">
        <is>
          <t>ASKERSUND</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31235-2021</t>
        </is>
      </c>
      <c r="B2392" s="1" t="n">
        <v>44368</v>
      </c>
      <c r="C2392" s="1" t="n">
        <v>45797</v>
      </c>
      <c r="D2392" t="inlineStr">
        <is>
          <t>ÖREBRO LÄN</t>
        </is>
      </c>
      <c r="E2392" t="inlineStr">
        <is>
          <t>ÖREBRO</t>
        </is>
      </c>
      <c r="F2392" t="inlineStr">
        <is>
          <t>Övriga Aktiebolag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31492-2021</t>
        </is>
      </c>
      <c r="B2393" s="1" t="n">
        <v>44369</v>
      </c>
      <c r="C2393" s="1" t="n">
        <v>45797</v>
      </c>
      <c r="D2393" t="inlineStr">
        <is>
          <t>ÖREBRO LÄN</t>
        </is>
      </c>
      <c r="E2393" t="inlineStr">
        <is>
          <t>HALLSBERG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31549-2021</t>
        </is>
      </c>
      <c r="B2394" s="1" t="n">
        <v>44369</v>
      </c>
      <c r="C2394" s="1" t="n">
        <v>45797</v>
      </c>
      <c r="D2394" t="inlineStr">
        <is>
          <t>ÖREBRO LÄN</t>
        </is>
      </c>
      <c r="E2394" t="inlineStr">
        <is>
          <t>LJUSNARSBERG</t>
        </is>
      </c>
      <c r="F2394" t="inlineStr">
        <is>
          <t>Bergvik skog väst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31480-2021</t>
        </is>
      </c>
      <c r="B2395" s="1" t="n">
        <v>44369</v>
      </c>
      <c r="C2395" s="1" t="n">
        <v>45797</v>
      </c>
      <c r="D2395" t="inlineStr">
        <is>
          <t>ÖREBRO LÄN</t>
        </is>
      </c>
      <c r="E2395" t="inlineStr">
        <is>
          <t>HALLSBERG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32262-2021</t>
        </is>
      </c>
      <c r="B2396" s="1" t="n">
        <v>44371</v>
      </c>
      <c r="C2396" s="1" t="n">
        <v>45797</v>
      </c>
      <c r="D2396" t="inlineStr">
        <is>
          <t>ÖREBRO LÄN</t>
        </is>
      </c>
      <c r="E2396" t="inlineStr">
        <is>
          <t>LINDESBERG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32405-2021</t>
        </is>
      </c>
      <c r="B2397" s="1" t="n">
        <v>44371</v>
      </c>
      <c r="C2397" s="1" t="n">
        <v>45797</v>
      </c>
      <c r="D2397" t="inlineStr">
        <is>
          <t>ÖREBRO LÄN</t>
        </is>
      </c>
      <c r="E2397" t="inlineStr">
        <is>
          <t>KARLSKOGA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32425-2021</t>
        </is>
      </c>
      <c r="B2398" s="1" t="n">
        <v>44371</v>
      </c>
      <c r="C2398" s="1" t="n">
        <v>45797</v>
      </c>
      <c r="D2398" t="inlineStr">
        <is>
          <t>ÖREBRO LÄN</t>
        </is>
      </c>
      <c r="E2398" t="inlineStr">
        <is>
          <t>KARLSKOGA</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32408-2021</t>
        </is>
      </c>
      <c r="B2399" s="1" t="n">
        <v>44371</v>
      </c>
      <c r="C2399" s="1" t="n">
        <v>45797</v>
      </c>
      <c r="D2399" t="inlineStr">
        <is>
          <t>ÖREBRO LÄN</t>
        </is>
      </c>
      <c r="E2399" t="inlineStr">
        <is>
          <t>KARLSKOGA</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32410-2021</t>
        </is>
      </c>
      <c r="B2400" s="1" t="n">
        <v>44371</v>
      </c>
      <c r="C2400" s="1" t="n">
        <v>45797</v>
      </c>
      <c r="D2400" t="inlineStr">
        <is>
          <t>ÖREBRO LÄN</t>
        </is>
      </c>
      <c r="E2400" t="inlineStr">
        <is>
          <t>KARLSKOGA</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32567-2021</t>
        </is>
      </c>
      <c r="B2401" s="1" t="n">
        <v>44375</v>
      </c>
      <c r="C2401" s="1" t="n">
        <v>45797</v>
      </c>
      <c r="D2401" t="inlineStr">
        <is>
          <t>ÖREBRO LÄN</t>
        </is>
      </c>
      <c r="E2401" t="inlineStr">
        <is>
          <t>NORA</t>
        </is>
      </c>
      <c r="F2401" t="inlineStr">
        <is>
          <t>Sveaskog</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32582-2021</t>
        </is>
      </c>
      <c r="B2402" s="1" t="n">
        <v>44375</v>
      </c>
      <c r="C2402" s="1" t="n">
        <v>45797</v>
      </c>
      <c r="D2402" t="inlineStr">
        <is>
          <t>ÖREBRO LÄN</t>
        </is>
      </c>
      <c r="E2402" t="inlineStr">
        <is>
          <t>DEGERFORS</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32615-2021</t>
        </is>
      </c>
      <c r="B2403" s="1" t="n">
        <v>44375</v>
      </c>
      <c r="C2403" s="1" t="n">
        <v>45797</v>
      </c>
      <c r="D2403" t="inlineStr">
        <is>
          <t>ÖREBRO LÄN</t>
        </is>
      </c>
      <c r="E2403" t="inlineStr">
        <is>
          <t>LINDESBERG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32590-2021</t>
        </is>
      </c>
      <c r="B2404" s="1" t="n">
        <v>44375</v>
      </c>
      <c r="C2404" s="1" t="n">
        <v>45797</v>
      </c>
      <c r="D2404" t="inlineStr">
        <is>
          <t>ÖREBRO LÄN</t>
        </is>
      </c>
      <c r="E2404" t="inlineStr">
        <is>
          <t>DEGERFORS</t>
        </is>
      </c>
      <c r="F2404" t="inlineStr">
        <is>
          <t>Sveaskog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32604-2021</t>
        </is>
      </c>
      <c r="B2405" s="1" t="n">
        <v>44375</v>
      </c>
      <c r="C2405" s="1" t="n">
        <v>45797</v>
      </c>
      <c r="D2405" t="inlineStr">
        <is>
          <t>ÖREBRO LÄN</t>
        </is>
      </c>
      <c r="E2405" t="inlineStr">
        <is>
          <t>NORA</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32729-2021</t>
        </is>
      </c>
      <c r="B2406" s="1" t="n">
        <v>44375</v>
      </c>
      <c r="C2406" s="1" t="n">
        <v>45797</v>
      </c>
      <c r="D2406" t="inlineStr">
        <is>
          <t>ÖREBRO LÄN</t>
        </is>
      </c>
      <c r="E2406" t="inlineStr">
        <is>
          <t>DEGERFORS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32788-2021</t>
        </is>
      </c>
      <c r="B2407" s="1" t="n">
        <v>44375</v>
      </c>
      <c r="C2407" s="1" t="n">
        <v>45797</v>
      </c>
      <c r="D2407" t="inlineStr">
        <is>
          <t>ÖREBRO LÄN</t>
        </is>
      </c>
      <c r="E2407" t="inlineStr">
        <is>
          <t>LINDESBERG</t>
        </is>
      </c>
      <c r="F2407" t="inlineStr">
        <is>
          <t>Sveaskog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32800-2021</t>
        </is>
      </c>
      <c r="B2408" s="1" t="n">
        <v>44375</v>
      </c>
      <c r="C2408" s="1" t="n">
        <v>45797</v>
      </c>
      <c r="D2408" t="inlineStr">
        <is>
          <t>ÖREBRO LÄN</t>
        </is>
      </c>
      <c r="E2408" t="inlineStr">
        <is>
          <t>LINDESBERG</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33058-2021</t>
        </is>
      </c>
      <c r="B2409" s="1" t="n">
        <v>44375</v>
      </c>
      <c r="C2409" s="1" t="n">
        <v>45797</v>
      </c>
      <c r="D2409" t="inlineStr">
        <is>
          <t>ÖREBRO LÄN</t>
        </is>
      </c>
      <c r="E2409" t="inlineStr">
        <is>
          <t>LINDESBERG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33031-2021</t>
        </is>
      </c>
      <c r="B2410" s="1" t="n">
        <v>44376</v>
      </c>
      <c r="C2410" s="1" t="n">
        <v>45797</v>
      </c>
      <c r="D2410" t="inlineStr">
        <is>
          <t>ÖREBRO LÄN</t>
        </is>
      </c>
      <c r="E2410" t="inlineStr">
        <is>
          <t>LJUSNARSBERG</t>
        </is>
      </c>
      <c r="F2410" t="inlineStr">
        <is>
          <t>Bergvik skog väst AB</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33060-2021</t>
        </is>
      </c>
      <c r="B2411" s="1" t="n">
        <v>44376</v>
      </c>
      <c r="C2411" s="1" t="n">
        <v>45797</v>
      </c>
      <c r="D2411" t="inlineStr">
        <is>
          <t>ÖREBRO LÄN</t>
        </is>
      </c>
      <c r="E2411" t="inlineStr">
        <is>
          <t>LJUSNARSBERG</t>
        </is>
      </c>
      <c r="F2411" t="inlineStr">
        <is>
          <t>Bergvik skog väst AB</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33084-2021</t>
        </is>
      </c>
      <c r="B2412" s="1" t="n">
        <v>44376</v>
      </c>
      <c r="C2412" s="1" t="n">
        <v>45797</v>
      </c>
      <c r="D2412" t="inlineStr">
        <is>
          <t>ÖREBRO LÄN</t>
        </is>
      </c>
      <c r="E2412" t="inlineStr">
        <is>
          <t>LINDESBERG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33167-2021</t>
        </is>
      </c>
      <c r="B2413" s="1" t="n">
        <v>44376</v>
      </c>
      <c r="C2413" s="1" t="n">
        <v>45797</v>
      </c>
      <c r="D2413" t="inlineStr">
        <is>
          <t>ÖREBRO LÄN</t>
        </is>
      </c>
      <c r="E2413" t="inlineStr">
        <is>
          <t>ASKERSUND</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33157-2021</t>
        </is>
      </c>
      <c r="B2414" s="1" t="n">
        <v>44376</v>
      </c>
      <c r="C2414" s="1" t="n">
        <v>45797</v>
      </c>
      <c r="D2414" t="inlineStr">
        <is>
          <t>ÖREBRO LÄN</t>
        </is>
      </c>
      <c r="E2414" t="inlineStr">
        <is>
          <t>ASKERSUND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33151-2021</t>
        </is>
      </c>
      <c r="B2415" s="1" t="n">
        <v>44376</v>
      </c>
      <c r="C2415" s="1" t="n">
        <v>45797</v>
      </c>
      <c r="D2415" t="inlineStr">
        <is>
          <t>ÖREBRO LÄN</t>
        </is>
      </c>
      <c r="E2415" t="inlineStr">
        <is>
          <t>ASKERSUND</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33309-2021</t>
        </is>
      </c>
      <c r="B2416" s="1" t="n">
        <v>44377</v>
      </c>
      <c r="C2416" s="1" t="n">
        <v>45797</v>
      </c>
      <c r="D2416" t="inlineStr">
        <is>
          <t>ÖREBRO LÄN</t>
        </is>
      </c>
      <c r="E2416" t="inlineStr">
        <is>
          <t>LINDESBERG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33290-2021</t>
        </is>
      </c>
      <c r="B2417" s="1" t="n">
        <v>44377</v>
      </c>
      <c r="C2417" s="1" t="n">
        <v>45797</v>
      </c>
      <c r="D2417" t="inlineStr">
        <is>
          <t>ÖREBRO LÄN</t>
        </is>
      </c>
      <c r="E2417" t="inlineStr">
        <is>
          <t>HALLSBERG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33322-2021</t>
        </is>
      </c>
      <c r="B2418" s="1" t="n">
        <v>44377</v>
      </c>
      <c r="C2418" s="1" t="n">
        <v>45797</v>
      </c>
      <c r="D2418" t="inlineStr">
        <is>
          <t>ÖREBRO LÄN</t>
        </is>
      </c>
      <c r="E2418" t="inlineStr">
        <is>
          <t>LINDESBERG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33419-2021</t>
        </is>
      </c>
      <c r="B2419" s="1" t="n">
        <v>44377</v>
      </c>
      <c r="C2419" s="1" t="n">
        <v>45797</v>
      </c>
      <c r="D2419" t="inlineStr">
        <is>
          <t>ÖREBRO LÄN</t>
        </is>
      </c>
      <c r="E2419" t="inlineStr">
        <is>
          <t>LINDESBERG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33654-2021</t>
        </is>
      </c>
      <c r="B2420" s="1" t="n">
        <v>44378</v>
      </c>
      <c r="C2420" s="1" t="n">
        <v>45797</v>
      </c>
      <c r="D2420" t="inlineStr">
        <is>
          <t>ÖREBRO LÄN</t>
        </is>
      </c>
      <c r="E2420" t="inlineStr">
        <is>
          <t>LAXÅ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33782-2021</t>
        </is>
      </c>
      <c r="B2421" s="1" t="n">
        <v>44378</v>
      </c>
      <c r="C2421" s="1" t="n">
        <v>45797</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33716-2021</t>
        </is>
      </c>
      <c r="B2422" s="1" t="n">
        <v>44378</v>
      </c>
      <c r="C2422" s="1" t="n">
        <v>45797</v>
      </c>
      <c r="D2422" t="inlineStr">
        <is>
          <t>ÖREBRO LÄN</t>
        </is>
      </c>
      <c r="E2422" t="inlineStr">
        <is>
          <t>LINDESBERG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33723-2021</t>
        </is>
      </c>
      <c r="B2423" s="1" t="n">
        <v>44378</v>
      </c>
      <c r="C2423" s="1" t="n">
        <v>45797</v>
      </c>
      <c r="D2423" t="inlineStr">
        <is>
          <t>ÖREBRO LÄN</t>
        </is>
      </c>
      <c r="E2423" t="inlineStr">
        <is>
          <t>LINDESBERG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33707-2021</t>
        </is>
      </c>
      <c r="B2424" s="1" t="n">
        <v>44378</v>
      </c>
      <c r="C2424" s="1" t="n">
        <v>45797</v>
      </c>
      <c r="D2424" t="inlineStr">
        <is>
          <t>ÖREBRO LÄN</t>
        </is>
      </c>
      <c r="E2424" t="inlineStr">
        <is>
          <t>LINDESBERG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33721-2021</t>
        </is>
      </c>
      <c r="B2425" s="1" t="n">
        <v>44378</v>
      </c>
      <c r="C2425" s="1" t="n">
        <v>45797</v>
      </c>
      <c r="D2425" t="inlineStr">
        <is>
          <t>ÖREBRO LÄN</t>
        </is>
      </c>
      <c r="E2425" t="inlineStr">
        <is>
          <t>LINDESBERG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33779-2021</t>
        </is>
      </c>
      <c r="B2426" s="1" t="n">
        <v>44378</v>
      </c>
      <c r="C2426" s="1" t="n">
        <v>45797</v>
      </c>
      <c r="D2426" t="inlineStr">
        <is>
          <t>ÖREBRO LÄN</t>
        </is>
      </c>
      <c r="E2426" t="inlineStr">
        <is>
          <t>ÖREBRO</t>
        </is>
      </c>
      <c r="F2426" t="inlineStr">
        <is>
          <t>Kommuner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33814-2021</t>
        </is>
      </c>
      <c r="B2427" s="1" t="n">
        <v>44378</v>
      </c>
      <c r="C2427" s="1" t="n">
        <v>45797</v>
      </c>
      <c r="D2427" t="inlineStr">
        <is>
          <t>ÖREBRO LÄN</t>
        </is>
      </c>
      <c r="E2427" t="inlineStr">
        <is>
          <t>ÖREBRO</t>
        </is>
      </c>
      <c r="F2427" t="inlineStr">
        <is>
          <t>Kommuner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33865-2021</t>
        </is>
      </c>
      <c r="B2428" s="1" t="n">
        <v>44378</v>
      </c>
      <c r="C2428" s="1" t="n">
        <v>45797</v>
      </c>
      <c r="D2428" t="inlineStr">
        <is>
          <t>ÖREBRO LÄN</t>
        </is>
      </c>
      <c r="E2428" t="inlineStr">
        <is>
          <t>ÖREBRO</t>
        </is>
      </c>
      <c r="F2428" t="inlineStr">
        <is>
          <t>Kommuner</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33863-2021</t>
        </is>
      </c>
      <c r="B2429" s="1" t="n">
        <v>44378</v>
      </c>
      <c r="C2429" s="1" t="n">
        <v>45797</v>
      </c>
      <c r="D2429" t="inlineStr">
        <is>
          <t>ÖREBRO LÄN</t>
        </is>
      </c>
      <c r="E2429" t="inlineStr">
        <is>
          <t>LAXÅ</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33785-2021</t>
        </is>
      </c>
      <c r="B2430" s="1" t="n">
        <v>44378</v>
      </c>
      <c r="C2430" s="1" t="n">
        <v>45797</v>
      </c>
      <c r="D2430" t="inlineStr">
        <is>
          <t>ÖREBRO LÄN</t>
        </is>
      </c>
      <c r="E2430" t="inlineStr">
        <is>
          <t>LINDESBERG</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33820-2021</t>
        </is>
      </c>
      <c r="B2431" s="1" t="n">
        <v>44378</v>
      </c>
      <c r="C2431" s="1" t="n">
        <v>45797</v>
      </c>
      <c r="D2431" t="inlineStr">
        <is>
          <t>ÖREBRO LÄN</t>
        </is>
      </c>
      <c r="E2431" t="inlineStr">
        <is>
          <t>LEKEBERG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33848-2021</t>
        </is>
      </c>
      <c r="B2432" s="1" t="n">
        <v>44378</v>
      </c>
      <c r="C2432" s="1" t="n">
        <v>45797</v>
      </c>
      <c r="D2432" t="inlineStr">
        <is>
          <t>ÖREBRO LÄN</t>
        </is>
      </c>
      <c r="E2432" t="inlineStr">
        <is>
          <t>LAXÅ</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33862-2021</t>
        </is>
      </c>
      <c r="B2433" s="1" t="n">
        <v>44378</v>
      </c>
      <c r="C2433" s="1" t="n">
        <v>45797</v>
      </c>
      <c r="D2433" t="inlineStr">
        <is>
          <t>ÖREBRO LÄN</t>
        </is>
      </c>
      <c r="E2433" t="inlineStr">
        <is>
          <t>LAXÅ</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34082-2021</t>
        </is>
      </c>
      <c r="B2434" s="1" t="n">
        <v>44379</v>
      </c>
      <c r="C2434" s="1" t="n">
        <v>45797</v>
      </c>
      <c r="D2434" t="inlineStr">
        <is>
          <t>ÖREBRO LÄN</t>
        </is>
      </c>
      <c r="E2434" t="inlineStr">
        <is>
          <t>LAXÅ</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34143-2021</t>
        </is>
      </c>
      <c r="B2435" s="1" t="n">
        <v>44379</v>
      </c>
      <c r="C2435" s="1" t="n">
        <v>45797</v>
      </c>
      <c r="D2435" t="inlineStr">
        <is>
          <t>ÖREBRO LÄN</t>
        </is>
      </c>
      <c r="E2435" t="inlineStr">
        <is>
          <t>LAXÅ</t>
        </is>
      </c>
      <c r="F2435" t="inlineStr">
        <is>
          <t>Sveaskog</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34158-2021</t>
        </is>
      </c>
      <c r="B2436" s="1" t="n">
        <v>44379</v>
      </c>
      <c r="C2436" s="1" t="n">
        <v>45797</v>
      </c>
      <c r="D2436" t="inlineStr">
        <is>
          <t>ÖREBRO LÄN</t>
        </is>
      </c>
      <c r="E2436" t="inlineStr">
        <is>
          <t>LAXÅ</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34161-2021</t>
        </is>
      </c>
      <c r="B2437" s="1" t="n">
        <v>44379</v>
      </c>
      <c r="C2437" s="1" t="n">
        <v>45797</v>
      </c>
      <c r="D2437" t="inlineStr">
        <is>
          <t>ÖREBRO LÄN</t>
        </is>
      </c>
      <c r="E2437" t="inlineStr">
        <is>
          <t>LAXÅ</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34114-2021</t>
        </is>
      </c>
      <c r="B2438" s="1" t="n">
        <v>44379</v>
      </c>
      <c r="C2438" s="1" t="n">
        <v>45797</v>
      </c>
      <c r="D2438" t="inlineStr">
        <is>
          <t>ÖREBRO LÄN</t>
        </is>
      </c>
      <c r="E2438" t="inlineStr">
        <is>
          <t>LINDESBERG</t>
        </is>
      </c>
      <c r="F2438" t="inlineStr">
        <is>
          <t>Sveaskog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34137-2021</t>
        </is>
      </c>
      <c r="B2439" s="1" t="n">
        <v>44379</v>
      </c>
      <c r="C2439" s="1" t="n">
        <v>45797</v>
      </c>
      <c r="D2439" t="inlineStr">
        <is>
          <t>ÖREBRO LÄN</t>
        </is>
      </c>
      <c r="E2439" t="inlineStr">
        <is>
          <t>LAXÅ</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34515-2021</t>
        </is>
      </c>
      <c r="B2440" s="1" t="n">
        <v>44379</v>
      </c>
      <c r="C2440" s="1" t="n">
        <v>45797</v>
      </c>
      <c r="D2440" t="inlineStr">
        <is>
          <t>ÖREBRO LÄN</t>
        </is>
      </c>
      <c r="E2440" t="inlineStr">
        <is>
          <t>LAXÅ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34156-2021</t>
        </is>
      </c>
      <c r="B2441" s="1" t="n">
        <v>44379</v>
      </c>
      <c r="C2441" s="1" t="n">
        <v>45797</v>
      </c>
      <c r="D2441" t="inlineStr">
        <is>
          <t>ÖREBRO LÄN</t>
        </is>
      </c>
      <c r="E2441" t="inlineStr">
        <is>
          <t>LAXÅ</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34457-2021</t>
        </is>
      </c>
      <c r="B2442" s="1" t="n">
        <v>44381</v>
      </c>
      <c r="C2442" s="1" t="n">
        <v>45797</v>
      </c>
      <c r="D2442" t="inlineStr">
        <is>
          <t>ÖREBRO LÄN</t>
        </is>
      </c>
      <c r="E2442" t="inlineStr">
        <is>
          <t>KARLSKOGA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34460-2021</t>
        </is>
      </c>
      <c r="B2443" s="1" t="n">
        <v>44381</v>
      </c>
      <c r="C2443" s="1" t="n">
        <v>45797</v>
      </c>
      <c r="D2443" t="inlineStr">
        <is>
          <t>ÖREBRO LÄN</t>
        </is>
      </c>
      <c r="E2443" t="inlineStr">
        <is>
          <t>KARLSKOGA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34690-2021</t>
        </is>
      </c>
      <c r="B2444" s="1" t="n">
        <v>44382</v>
      </c>
      <c r="C2444" s="1" t="n">
        <v>45797</v>
      </c>
      <c r="D2444" t="inlineStr">
        <is>
          <t>ÖREBRO LÄN</t>
        </is>
      </c>
      <c r="E2444" t="inlineStr">
        <is>
          <t>DEGERFORS</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34585-2021</t>
        </is>
      </c>
      <c r="B2445" s="1" t="n">
        <v>44382</v>
      </c>
      <c r="C2445" s="1" t="n">
        <v>45797</v>
      </c>
      <c r="D2445" t="inlineStr">
        <is>
          <t>ÖREBRO LÄN</t>
        </is>
      </c>
      <c r="E2445" t="inlineStr">
        <is>
          <t>KARLSKOGA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34668-2021</t>
        </is>
      </c>
      <c r="B2446" s="1" t="n">
        <v>44382</v>
      </c>
      <c r="C2446" s="1" t="n">
        <v>45797</v>
      </c>
      <c r="D2446" t="inlineStr">
        <is>
          <t>ÖREBRO LÄN</t>
        </is>
      </c>
      <c r="E2446" t="inlineStr">
        <is>
          <t>LAXÅ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34695-2021</t>
        </is>
      </c>
      <c r="B2447" s="1" t="n">
        <v>44382</v>
      </c>
      <c r="C2447" s="1" t="n">
        <v>45797</v>
      </c>
      <c r="D2447" t="inlineStr">
        <is>
          <t>ÖREBRO LÄN</t>
        </is>
      </c>
      <c r="E2447" t="inlineStr">
        <is>
          <t>DEGERFORS</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34898-2021</t>
        </is>
      </c>
      <c r="B2448" s="1" t="n">
        <v>44383</v>
      </c>
      <c r="C2448" s="1" t="n">
        <v>45797</v>
      </c>
      <c r="D2448" t="inlineStr">
        <is>
          <t>ÖREBRO LÄN</t>
        </is>
      </c>
      <c r="E2448" t="inlineStr">
        <is>
          <t>HÄLLEFORS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34928-2021</t>
        </is>
      </c>
      <c r="B2449" s="1" t="n">
        <v>44383</v>
      </c>
      <c r="C2449" s="1" t="n">
        <v>45797</v>
      </c>
      <c r="D2449" t="inlineStr">
        <is>
          <t>ÖREBRO LÄN</t>
        </is>
      </c>
      <c r="E2449" t="inlineStr">
        <is>
          <t>NORA</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34893-2021</t>
        </is>
      </c>
      <c r="B2450" s="1" t="n">
        <v>44383</v>
      </c>
      <c r="C2450" s="1" t="n">
        <v>45797</v>
      </c>
      <c r="D2450" t="inlineStr">
        <is>
          <t>ÖREBRO LÄN</t>
        </is>
      </c>
      <c r="E2450" t="inlineStr">
        <is>
          <t>HÄLLEFORS</t>
        </is>
      </c>
      <c r="F2450" t="inlineStr">
        <is>
          <t>Bergvik skog väst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34925-2021</t>
        </is>
      </c>
      <c r="B2451" s="1" t="n">
        <v>44383</v>
      </c>
      <c r="C2451" s="1" t="n">
        <v>45797</v>
      </c>
      <c r="D2451" t="inlineStr">
        <is>
          <t>ÖREBRO LÄN</t>
        </is>
      </c>
      <c r="E2451" t="inlineStr">
        <is>
          <t>NORA</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35017-2021</t>
        </is>
      </c>
      <c r="B2452" s="1" t="n">
        <v>44383</v>
      </c>
      <c r="C2452" s="1" t="n">
        <v>45797</v>
      </c>
      <c r="D2452" t="inlineStr">
        <is>
          <t>ÖREBRO LÄN</t>
        </is>
      </c>
      <c r="E2452" t="inlineStr">
        <is>
          <t>LINDESBERG</t>
        </is>
      </c>
      <c r="G2452" t="n">
        <v>32.5</v>
      </c>
      <c r="H2452" t="n">
        <v>0</v>
      </c>
      <c r="I2452" t="n">
        <v>0</v>
      </c>
      <c r="J2452" t="n">
        <v>0</v>
      </c>
      <c r="K2452" t="n">
        <v>0</v>
      </c>
      <c r="L2452" t="n">
        <v>0</v>
      </c>
      <c r="M2452" t="n">
        <v>0</v>
      </c>
      <c r="N2452" t="n">
        <v>0</v>
      </c>
      <c r="O2452" t="n">
        <v>0</v>
      </c>
      <c r="P2452" t="n">
        <v>0</v>
      </c>
      <c r="Q2452" t="n">
        <v>0</v>
      </c>
      <c r="R2452" s="2" t="inlineStr"/>
    </row>
    <row r="2453" ht="15" customHeight="1">
      <c r="A2453" t="inlineStr">
        <is>
          <t>A 35222-2021</t>
        </is>
      </c>
      <c r="B2453" s="1" t="n">
        <v>44384</v>
      </c>
      <c r="C2453" s="1" t="n">
        <v>45797</v>
      </c>
      <c r="D2453" t="inlineStr">
        <is>
          <t>ÖREBRO LÄN</t>
        </is>
      </c>
      <c r="E2453" t="inlineStr">
        <is>
          <t>LINDESBERG</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35330-2021</t>
        </is>
      </c>
      <c r="B2454" s="1" t="n">
        <v>44384</v>
      </c>
      <c r="C2454" s="1" t="n">
        <v>45797</v>
      </c>
      <c r="D2454" t="inlineStr">
        <is>
          <t>ÖREBRO LÄN</t>
        </is>
      </c>
      <c r="E2454" t="inlineStr">
        <is>
          <t>NORA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35546-2021</t>
        </is>
      </c>
      <c r="B2455" s="1" t="n">
        <v>44385</v>
      </c>
      <c r="C2455" s="1" t="n">
        <v>45797</v>
      </c>
      <c r="D2455" t="inlineStr">
        <is>
          <t>ÖREBRO LÄN</t>
        </is>
      </c>
      <c r="E2455" t="inlineStr">
        <is>
          <t>LEKEBERG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35450-2021</t>
        </is>
      </c>
      <c r="B2456" s="1" t="n">
        <v>44385</v>
      </c>
      <c r="C2456" s="1" t="n">
        <v>45797</v>
      </c>
      <c r="D2456" t="inlineStr">
        <is>
          <t>ÖREBRO LÄN</t>
        </is>
      </c>
      <c r="E2456" t="inlineStr">
        <is>
          <t>ASKERSUND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35594-2021</t>
        </is>
      </c>
      <c r="B2457" s="1" t="n">
        <v>44386</v>
      </c>
      <c r="C2457" s="1" t="n">
        <v>45797</v>
      </c>
      <c r="D2457" t="inlineStr">
        <is>
          <t>ÖREBRO LÄN</t>
        </is>
      </c>
      <c r="E2457" t="inlineStr">
        <is>
          <t>HÄLLEFORS</t>
        </is>
      </c>
      <c r="F2457" t="inlineStr">
        <is>
          <t>Bergvik skog väst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35605-2021</t>
        </is>
      </c>
      <c r="B2458" s="1" t="n">
        <v>44386</v>
      </c>
      <c r="C2458" s="1" t="n">
        <v>45797</v>
      </c>
      <c r="D2458" t="inlineStr">
        <is>
          <t>ÖREBRO LÄN</t>
        </is>
      </c>
      <c r="E2458" t="inlineStr">
        <is>
          <t>NORA</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35794-2021</t>
        </is>
      </c>
      <c r="B2459" s="1" t="n">
        <v>44386</v>
      </c>
      <c r="C2459" s="1" t="n">
        <v>45797</v>
      </c>
      <c r="D2459" t="inlineStr">
        <is>
          <t>ÖREBRO LÄN</t>
        </is>
      </c>
      <c r="E2459" t="inlineStr">
        <is>
          <t>LJUSNARSBERG</t>
        </is>
      </c>
      <c r="G2459" t="n">
        <v>37.5</v>
      </c>
      <c r="H2459" t="n">
        <v>0</v>
      </c>
      <c r="I2459" t="n">
        <v>0</v>
      </c>
      <c r="J2459" t="n">
        <v>0</v>
      </c>
      <c r="K2459" t="n">
        <v>0</v>
      </c>
      <c r="L2459" t="n">
        <v>0</v>
      </c>
      <c r="M2459" t="n">
        <v>0</v>
      </c>
      <c r="N2459" t="n">
        <v>0</v>
      </c>
      <c r="O2459" t="n">
        <v>0</v>
      </c>
      <c r="P2459" t="n">
        <v>0</v>
      </c>
      <c r="Q2459" t="n">
        <v>0</v>
      </c>
      <c r="R2459" s="2" t="inlineStr"/>
    </row>
    <row r="2460" ht="15" customHeight="1">
      <c r="A2460" t="inlineStr">
        <is>
          <t>A 35608-2021</t>
        </is>
      </c>
      <c r="B2460" s="1" t="n">
        <v>44386</v>
      </c>
      <c r="C2460" s="1" t="n">
        <v>45797</v>
      </c>
      <c r="D2460" t="inlineStr">
        <is>
          <t>ÖREBRO LÄN</t>
        </is>
      </c>
      <c r="E2460" t="inlineStr">
        <is>
          <t>NORA</t>
        </is>
      </c>
      <c r="F2460" t="inlineStr">
        <is>
          <t>Sveaskog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35739-2021</t>
        </is>
      </c>
      <c r="B2461" s="1" t="n">
        <v>44386</v>
      </c>
      <c r="C2461" s="1" t="n">
        <v>45797</v>
      </c>
      <c r="D2461" t="inlineStr">
        <is>
          <t>ÖREBRO LÄN</t>
        </is>
      </c>
      <c r="E2461" t="inlineStr">
        <is>
          <t>LINDESBERG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35796-2021</t>
        </is>
      </c>
      <c r="B2462" s="1" t="n">
        <v>44386</v>
      </c>
      <c r="C2462" s="1" t="n">
        <v>45797</v>
      </c>
      <c r="D2462" t="inlineStr">
        <is>
          <t>ÖREBRO LÄN</t>
        </is>
      </c>
      <c r="E2462" t="inlineStr">
        <is>
          <t>ASKERSUND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35836-2021</t>
        </is>
      </c>
      <c r="B2463" s="1" t="n">
        <v>44386</v>
      </c>
      <c r="C2463" s="1" t="n">
        <v>45797</v>
      </c>
      <c r="D2463" t="inlineStr">
        <is>
          <t>ÖREBRO LÄN</t>
        </is>
      </c>
      <c r="E2463" t="inlineStr">
        <is>
          <t>ÖREBRO</t>
        </is>
      </c>
      <c r="F2463" t="inlineStr">
        <is>
          <t>Kommuner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35990-2021</t>
        </is>
      </c>
      <c r="B2464" s="1" t="n">
        <v>44389</v>
      </c>
      <c r="C2464" s="1" t="n">
        <v>45797</v>
      </c>
      <c r="D2464" t="inlineStr">
        <is>
          <t>ÖREBRO LÄN</t>
        </is>
      </c>
      <c r="E2464" t="inlineStr">
        <is>
          <t>LINDESBERG</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36015-2021</t>
        </is>
      </c>
      <c r="B2465" s="1" t="n">
        <v>44389</v>
      </c>
      <c r="C2465" s="1" t="n">
        <v>45797</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36024-2021</t>
        </is>
      </c>
      <c r="B2466" s="1" t="n">
        <v>44389</v>
      </c>
      <c r="C2466" s="1" t="n">
        <v>45797</v>
      </c>
      <c r="D2466" t="inlineStr">
        <is>
          <t>ÖREBRO LÄN</t>
        </is>
      </c>
      <c r="E2466" t="inlineStr">
        <is>
          <t>LINDESBERG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36080-2021</t>
        </is>
      </c>
      <c r="B2467" s="1" t="n">
        <v>44389</v>
      </c>
      <c r="C2467" s="1" t="n">
        <v>45797</v>
      </c>
      <c r="D2467" t="inlineStr">
        <is>
          <t>ÖREBRO LÄN</t>
        </is>
      </c>
      <c r="E2467" t="inlineStr">
        <is>
          <t>ASKERSUND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36001-2021</t>
        </is>
      </c>
      <c r="B2468" s="1" t="n">
        <v>44389</v>
      </c>
      <c r="C2468" s="1" t="n">
        <v>45797</v>
      </c>
      <c r="D2468" t="inlineStr">
        <is>
          <t>ÖREBRO LÄN</t>
        </is>
      </c>
      <c r="E2468" t="inlineStr">
        <is>
          <t>LINDESBERG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36018-2021</t>
        </is>
      </c>
      <c r="B2469" s="1" t="n">
        <v>44389</v>
      </c>
      <c r="C2469" s="1" t="n">
        <v>45797</v>
      </c>
      <c r="D2469" t="inlineStr">
        <is>
          <t>ÖREBRO LÄN</t>
        </is>
      </c>
      <c r="E2469" t="inlineStr">
        <is>
          <t>LINDESBERG</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36170-2021</t>
        </is>
      </c>
      <c r="B2470" s="1" t="n">
        <v>44389</v>
      </c>
      <c r="C2470" s="1" t="n">
        <v>45797</v>
      </c>
      <c r="D2470" t="inlineStr">
        <is>
          <t>ÖREBRO LÄN</t>
        </is>
      </c>
      <c r="E2470" t="inlineStr">
        <is>
          <t>LINDESBERG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36221-2021</t>
        </is>
      </c>
      <c r="B2471" s="1" t="n">
        <v>44389</v>
      </c>
      <c r="C2471" s="1" t="n">
        <v>45797</v>
      </c>
      <c r="D2471" t="inlineStr">
        <is>
          <t>ÖREBRO LÄN</t>
        </is>
      </c>
      <c r="E2471" t="inlineStr">
        <is>
          <t>LINDESBERG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36220-2021</t>
        </is>
      </c>
      <c r="B2472" s="1" t="n">
        <v>44389</v>
      </c>
      <c r="C2472" s="1" t="n">
        <v>45797</v>
      </c>
      <c r="D2472" t="inlineStr">
        <is>
          <t>ÖREBRO LÄN</t>
        </is>
      </c>
      <c r="E2472" t="inlineStr">
        <is>
          <t>LINDESBERG</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36504-2021</t>
        </is>
      </c>
      <c r="B2473" s="1" t="n">
        <v>44391</v>
      </c>
      <c r="C2473" s="1" t="n">
        <v>45797</v>
      </c>
      <c r="D2473" t="inlineStr">
        <is>
          <t>ÖREBRO LÄN</t>
        </is>
      </c>
      <c r="E2473" t="inlineStr">
        <is>
          <t>ASKERSUND</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36591-2021</t>
        </is>
      </c>
      <c r="B2474" s="1" t="n">
        <v>44391</v>
      </c>
      <c r="C2474" s="1" t="n">
        <v>45797</v>
      </c>
      <c r="D2474" t="inlineStr">
        <is>
          <t>ÖREBRO LÄN</t>
        </is>
      </c>
      <c r="E2474" t="inlineStr">
        <is>
          <t>HALLSBERG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36503-2021</t>
        </is>
      </c>
      <c r="B2475" s="1" t="n">
        <v>44391</v>
      </c>
      <c r="C2475" s="1" t="n">
        <v>45797</v>
      </c>
      <c r="D2475" t="inlineStr">
        <is>
          <t>ÖREBRO LÄN</t>
        </is>
      </c>
      <c r="E2475" t="inlineStr">
        <is>
          <t>ASKERSUND</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36547-2021</t>
        </is>
      </c>
      <c r="B2476" s="1" t="n">
        <v>44391</v>
      </c>
      <c r="C2476" s="1" t="n">
        <v>45797</v>
      </c>
      <c r="D2476" t="inlineStr">
        <is>
          <t>ÖREBRO LÄN</t>
        </is>
      </c>
      <c r="E2476" t="inlineStr">
        <is>
          <t>LJUSNARSBERG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36596-2021</t>
        </is>
      </c>
      <c r="B2477" s="1" t="n">
        <v>44391</v>
      </c>
      <c r="C2477" s="1" t="n">
        <v>45797</v>
      </c>
      <c r="D2477" t="inlineStr">
        <is>
          <t>ÖREBRO LÄN</t>
        </is>
      </c>
      <c r="E2477" t="inlineStr">
        <is>
          <t>ASKERSUND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36900-2021</t>
        </is>
      </c>
      <c r="B2478" s="1" t="n">
        <v>44393</v>
      </c>
      <c r="C2478" s="1" t="n">
        <v>45797</v>
      </c>
      <c r="D2478" t="inlineStr">
        <is>
          <t>ÖREBRO LÄN</t>
        </is>
      </c>
      <c r="E2478" t="inlineStr">
        <is>
          <t>LAXÅ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36908-2021</t>
        </is>
      </c>
      <c r="B2479" s="1" t="n">
        <v>44393</v>
      </c>
      <c r="C2479" s="1" t="n">
        <v>45797</v>
      </c>
      <c r="D2479" t="inlineStr">
        <is>
          <t>ÖREBRO LÄN</t>
        </is>
      </c>
      <c r="E2479" t="inlineStr">
        <is>
          <t>LAXÅ</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36884-2021</t>
        </is>
      </c>
      <c r="B2480" s="1" t="n">
        <v>44393</v>
      </c>
      <c r="C2480" s="1" t="n">
        <v>45797</v>
      </c>
      <c r="D2480" t="inlineStr">
        <is>
          <t>ÖREBRO LÄN</t>
        </is>
      </c>
      <c r="E2480" t="inlineStr">
        <is>
          <t>LAXÅ</t>
        </is>
      </c>
      <c r="F2480" t="inlineStr">
        <is>
          <t>Sveaskog</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36880-2021</t>
        </is>
      </c>
      <c r="B2481" s="1" t="n">
        <v>44393</v>
      </c>
      <c r="C2481" s="1" t="n">
        <v>45797</v>
      </c>
      <c r="D2481" t="inlineStr">
        <is>
          <t>ÖREBRO LÄN</t>
        </is>
      </c>
      <c r="E2481" t="inlineStr">
        <is>
          <t>LAXÅ</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36889-2021</t>
        </is>
      </c>
      <c r="B2482" s="1" t="n">
        <v>44393</v>
      </c>
      <c r="C2482" s="1" t="n">
        <v>45797</v>
      </c>
      <c r="D2482" t="inlineStr">
        <is>
          <t>ÖREBRO LÄN</t>
        </is>
      </c>
      <c r="E2482" t="inlineStr">
        <is>
          <t>LAXÅ</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36902-2021</t>
        </is>
      </c>
      <c r="B2483" s="1" t="n">
        <v>44393</v>
      </c>
      <c r="C2483" s="1" t="n">
        <v>45797</v>
      </c>
      <c r="D2483" t="inlineStr">
        <is>
          <t>ÖREBRO LÄN</t>
        </is>
      </c>
      <c r="E2483" t="inlineStr">
        <is>
          <t>LAXÅ</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36910-2021</t>
        </is>
      </c>
      <c r="B2484" s="1" t="n">
        <v>44393</v>
      </c>
      <c r="C2484" s="1" t="n">
        <v>45797</v>
      </c>
      <c r="D2484" t="inlineStr">
        <is>
          <t>ÖREBRO LÄN</t>
        </is>
      </c>
      <c r="E2484" t="inlineStr">
        <is>
          <t>LAXÅ</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36925-2021</t>
        </is>
      </c>
      <c r="B2485" s="1" t="n">
        <v>44393</v>
      </c>
      <c r="C2485" s="1" t="n">
        <v>45797</v>
      </c>
      <c r="D2485" t="inlineStr">
        <is>
          <t>ÖREBRO LÄN</t>
        </is>
      </c>
      <c r="E2485" t="inlineStr">
        <is>
          <t>LAXÅ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36897-2021</t>
        </is>
      </c>
      <c r="B2486" s="1" t="n">
        <v>44393</v>
      </c>
      <c r="C2486" s="1" t="n">
        <v>45797</v>
      </c>
      <c r="D2486" t="inlineStr">
        <is>
          <t>ÖREBRO LÄN</t>
        </is>
      </c>
      <c r="E2486" t="inlineStr">
        <is>
          <t>LAXÅ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36901-2021</t>
        </is>
      </c>
      <c r="B2487" s="1" t="n">
        <v>44393</v>
      </c>
      <c r="C2487" s="1" t="n">
        <v>45797</v>
      </c>
      <c r="D2487" t="inlineStr">
        <is>
          <t>ÖREBRO LÄN</t>
        </is>
      </c>
      <c r="E2487" t="inlineStr">
        <is>
          <t>LAXÅ</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36909-2021</t>
        </is>
      </c>
      <c r="B2488" s="1" t="n">
        <v>44393</v>
      </c>
      <c r="C2488" s="1" t="n">
        <v>45797</v>
      </c>
      <c r="D2488" t="inlineStr">
        <is>
          <t>ÖREBRO LÄN</t>
        </is>
      </c>
      <c r="E2488" t="inlineStr">
        <is>
          <t>LAXÅ</t>
        </is>
      </c>
      <c r="F2488" t="inlineStr">
        <is>
          <t>Sveaskog</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36928-2021</t>
        </is>
      </c>
      <c r="B2489" s="1" t="n">
        <v>44393</v>
      </c>
      <c r="C2489" s="1" t="n">
        <v>45797</v>
      </c>
      <c r="D2489" t="inlineStr">
        <is>
          <t>ÖREBRO LÄN</t>
        </is>
      </c>
      <c r="E2489" t="inlineStr">
        <is>
          <t>LAXÅ</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36891-2021</t>
        </is>
      </c>
      <c r="B2490" s="1" t="n">
        <v>44393</v>
      </c>
      <c r="C2490" s="1" t="n">
        <v>45797</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36899-2021</t>
        </is>
      </c>
      <c r="B2491" s="1" t="n">
        <v>44393</v>
      </c>
      <c r="C2491" s="1" t="n">
        <v>45797</v>
      </c>
      <c r="D2491" t="inlineStr">
        <is>
          <t>ÖREBRO LÄN</t>
        </is>
      </c>
      <c r="E2491" t="inlineStr">
        <is>
          <t>LAXÅ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36906-2021</t>
        </is>
      </c>
      <c r="B2492" s="1" t="n">
        <v>44393</v>
      </c>
      <c r="C2492" s="1" t="n">
        <v>45797</v>
      </c>
      <c r="D2492" t="inlineStr">
        <is>
          <t>ÖREBRO LÄN</t>
        </is>
      </c>
      <c r="E2492" t="inlineStr">
        <is>
          <t>LAXÅ</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36911-2021</t>
        </is>
      </c>
      <c r="B2493" s="1" t="n">
        <v>44393</v>
      </c>
      <c r="C2493" s="1" t="n">
        <v>45797</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36926-2021</t>
        </is>
      </c>
      <c r="B2494" s="1" t="n">
        <v>44393</v>
      </c>
      <c r="C2494" s="1" t="n">
        <v>45797</v>
      </c>
      <c r="D2494" t="inlineStr">
        <is>
          <t>ÖREBRO LÄN</t>
        </is>
      </c>
      <c r="E2494" t="inlineStr">
        <is>
          <t>LAXÅ</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36963-2021</t>
        </is>
      </c>
      <c r="B2495" s="1" t="n">
        <v>44393</v>
      </c>
      <c r="C2495" s="1" t="n">
        <v>45797</v>
      </c>
      <c r="D2495" t="inlineStr">
        <is>
          <t>ÖREBRO LÄN</t>
        </is>
      </c>
      <c r="E2495" t="inlineStr">
        <is>
          <t>DEGERFORS</t>
        </is>
      </c>
      <c r="F2495" t="inlineStr">
        <is>
          <t>Sveaskog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37028-2021</t>
        </is>
      </c>
      <c r="B2496" s="1" t="n">
        <v>44393</v>
      </c>
      <c r="C2496" s="1" t="n">
        <v>45797</v>
      </c>
      <c r="D2496" t="inlineStr">
        <is>
          <t>ÖREBRO LÄN</t>
        </is>
      </c>
      <c r="E2496" t="inlineStr">
        <is>
          <t>HÄLLEFORS</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37122-2021</t>
        </is>
      </c>
      <c r="B2497" s="1" t="n">
        <v>44396</v>
      </c>
      <c r="C2497" s="1" t="n">
        <v>45797</v>
      </c>
      <c r="D2497" t="inlineStr">
        <is>
          <t>ÖREBRO LÄN</t>
        </is>
      </c>
      <c r="E2497" t="inlineStr">
        <is>
          <t>DEGERFORS</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37277-2021</t>
        </is>
      </c>
      <c r="B2498" s="1" t="n">
        <v>44397</v>
      </c>
      <c r="C2498" s="1" t="n">
        <v>45797</v>
      </c>
      <c r="D2498" t="inlineStr">
        <is>
          <t>ÖREBRO LÄN</t>
        </is>
      </c>
      <c r="E2498" t="inlineStr">
        <is>
          <t>ASKERSUND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37294-2021</t>
        </is>
      </c>
      <c r="B2499" s="1" t="n">
        <v>44397</v>
      </c>
      <c r="C2499" s="1" t="n">
        <v>45797</v>
      </c>
      <c r="D2499" t="inlineStr">
        <is>
          <t>ÖREBRO LÄN</t>
        </is>
      </c>
      <c r="E2499" t="inlineStr">
        <is>
          <t>ASKERSUND</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37302-2021</t>
        </is>
      </c>
      <c r="B2500" s="1" t="n">
        <v>44397</v>
      </c>
      <c r="C2500" s="1" t="n">
        <v>45797</v>
      </c>
      <c r="D2500" t="inlineStr">
        <is>
          <t>ÖREBRO LÄN</t>
        </is>
      </c>
      <c r="E2500" t="inlineStr">
        <is>
          <t>DEGERFORS</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37393-2021</t>
        </is>
      </c>
      <c r="B2501" s="1" t="n">
        <v>44398</v>
      </c>
      <c r="C2501" s="1" t="n">
        <v>45797</v>
      </c>
      <c r="D2501" t="inlineStr">
        <is>
          <t>ÖREBRO LÄN</t>
        </is>
      </c>
      <c r="E2501" t="inlineStr">
        <is>
          <t>ASKERSUND</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37395-2021</t>
        </is>
      </c>
      <c r="B2502" s="1" t="n">
        <v>44398</v>
      </c>
      <c r="C2502" s="1" t="n">
        <v>45797</v>
      </c>
      <c r="D2502" t="inlineStr">
        <is>
          <t>ÖREBRO LÄN</t>
        </is>
      </c>
      <c r="E2502" t="inlineStr">
        <is>
          <t>ÖREBRO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37491-2021</t>
        </is>
      </c>
      <c r="B2503" s="1" t="n">
        <v>44399</v>
      </c>
      <c r="C2503" s="1" t="n">
        <v>45797</v>
      </c>
      <c r="D2503" t="inlineStr">
        <is>
          <t>ÖREBRO LÄN</t>
        </is>
      </c>
      <c r="E2503" t="inlineStr">
        <is>
          <t>LEKEBERG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38131-2021</t>
        </is>
      </c>
      <c r="B2504" s="1" t="n">
        <v>44404</v>
      </c>
      <c r="C2504" s="1" t="n">
        <v>45797</v>
      </c>
      <c r="D2504" t="inlineStr">
        <is>
          <t>ÖREBRO LÄN</t>
        </is>
      </c>
      <c r="E2504" t="inlineStr">
        <is>
          <t>HALLSBERG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38133-2021</t>
        </is>
      </c>
      <c r="B2505" s="1" t="n">
        <v>44404</v>
      </c>
      <c r="C2505" s="1" t="n">
        <v>45797</v>
      </c>
      <c r="D2505" t="inlineStr">
        <is>
          <t>ÖREBRO LÄN</t>
        </is>
      </c>
      <c r="E2505" t="inlineStr">
        <is>
          <t>ÖREBRO</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38268-2021</t>
        </is>
      </c>
      <c r="B2506" s="1" t="n">
        <v>44405</v>
      </c>
      <c r="C2506" s="1" t="n">
        <v>45797</v>
      </c>
      <c r="D2506" t="inlineStr">
        <is>
          <t>ÖREBRO LÄN</t>
        </is>
      </c>
      <c r="E2506" t="inlineStr">
        <is>
          <t>LAXÅ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38421-2021</t>
        </is>
      </c>
      <c r="B2507" s="1" t="n">
        <v>44407</v>
      </c>
      <c r="C2507" s="1" t="n">
        <v>45797</v>
      </c>
      <c r="D2507" t="inlineStr">
        <is>
          <t>ÖREBRO LÄN</t>
        </is>
      </c>
      <c r="E2507" t="inlineStr">
        <is>
          <t>DEGERFORS</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38484-2021</t>
        </is>
      </c>
      <c r="B2508" s="1" t="n">
        <v>44407</v>
      </c>
      <c r="C2508" s="1" t="n">
        <v>45797</v>
      </c>
      <c r="D2508" t="inlineStr">
        <is>
          <t>ÖREBRO LÄN</t>
        </is>
      </c>
      <c r="E2508" t="inlineStr">
        <is>
          <t>ASKERSUND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38761-2021</t>
        </is>
      </c>
      <c r="B2509" s="1" t="n">
        <v>44410</v>
      </c>
      <c r="C2509" s="1" t="n">
        <v>45797</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38736-2021</t>
        </is>
      </c>
      <c r="B2510" s="1" t="n">
        <v>44410</v>
      </c>
      <c r="C2510" s="1" t="n">
        <v>45797</v>
      </c>
      <c r="D2510" t="inlineStr">
        <is>
          <t>ÖREBRO LÄN</t>
        </is>
      </c>
      <c r="E2510" t="inlineStr">
        <is>
          <t>NORA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38762-2021</t>
        </is>
      </c>
      <c r="B2511" s="1" t="n">
        <v>44410</v>
      </c>
      <c r="C2511" s="1" t="n">
        <v>45797</v>
      </c>
      <c r="D2511" t="inlineStr">
        <is>
          <t>ÖREBRO LÄN</t>
        </is>
      </c>
      <c r="E2511" t="inlineStr">
        <is>
          <t>LINDESBERG</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38798-2021</t>
        </is>
      </c>
      <c r="B2512" s="1" t="n">
        <v>44410</v>
      </c>
      <c r="C2512" s="1" t="n">
        <v>45797</v>
      </c>
      <c r="D2512" t="inlineStr">
        <is>
          <t>ÖREBRO LÄN</t>
        </is>
      </c>
      <c r="E2512" t="inlineStr">
        <is>
          <t>NORA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38757-2021</t>
        </is>
      </c>
      <c r="B2513" s="1" t="n">
        <v>44410</v>
      </c>
      <c r="C2513" s="1" t="n">
        <v>45797</v>
      </c>
      <c r="D2513" t="inlineStr">
        <is>
          <t>ÖREBRO LÄN</t>
        </is>
      </c>
      <c r="E2513" t="inlineStr">
        <is>
          <t>LINDESBERG</t>
        </is>
      </c>
      <c r="F2513" t="inlineStr">
        <is>
          <t>Sveaskog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38927-2021</t>
        </is>
      </c>
      <c r="B2514" s="1" t="n">
        <v>44411</v>
      </c>
      <c r="C2514" s="1" t="n">
        <v>45797</v>
      </c>
      <c r="D2514" t="inlineStr">
        <is>
          <t>ÖREBRO LÄN</t>
        </is>
      </c>
      <c r="E2514" t="inlineStr">
        <is>
          <t>HALLSBERG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38908-2021</t>
        </is>
      </c>
      <c r="B2515" s="1" t="n">
        <v>44411</v>
      </c>
      <c r="C2515" s="1" t="n">
        <v>45797</v>
      </c>
      <c r="D2515" t="inlineStr">
        <is>
          <t>ÖREBRO LÄN</t>
        </is>
      </c>
      <c r="E2515" t="inlineStr">
        <is>
          <t>HÄLLEFORS</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39061-2021</t>
        </is>
      </c>
      <c r="B2516" s="1" t="n">
        <v>44412</v>
      </c>
      <c r="C2516" s="1" t="n">
        <v>45797</v>
      </c>
      <c r="D2516" t="inlineStr">
        <is>
          <t>ÖREBRO LÄN</t>
        </is>
      </c>
      <c r="E2516" t="inlineStr">
        <is>
          <t>ASKERSUND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39057-2021</t>
        </is>
      </c>
      <c r="B2517" s="1" t="n">
        <v>44412</v>
      </c>
      <c r="C2517" s="1" t="n">
        <v>45797</v>
      </c>
      <c r="D2517" t="inlineStr">
        <is>
          <t>ÖREBRO LÄN</t>
        </is>
      </c>
      <c r="E2517" t="inlineStr">
        <is>
          <t>HALLSBERG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39187-2021</t>
        </is>
      </c>
      <c r="B2518" s="1" t="n">
        <v>44412</v>
      </c>
      <c r="C2518" s="1" t="n">
        <v>45797</v>
      </c>
      <c r="D2518" t="inlineStr">
        <is>
          <t>ÖREBRO LÄN</t>
        </is>
      </c>
      <c r="E2518" t="inlineStr">
        <is>
          <t>LJUSNARSBERG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39597-2021</t>
        </is>
      </c>
      <c r="B2519" s="1" t="n">
        <v>44413</v>
      </c>
      <c r="C2519" s="1" t="n">
        <v>45797</v>
      </c>
      <c r="D2519" t="inlineStr">
        <is>
          <t>ÖREBRO LÄN</t>
        </is>
      </c>
      <c r="E2519" t="inlineStr">
        <is>
          <t>ASKERSUND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39605-2021</t>
        </is>
      </c>
      <c r="B2520" s="1" t="n">
        <v>44413</v>
      </c>
      <c r="C2520" s="1" t="n">
        <v>45797</v>
      </c>
      <c r="D2520" t="inlineStr">
        <is>
          <t>ÖREBRO LÄN</t>
        </is>
      </c>
      <c r="E2520" t="inlineStr">
        <is>
          <t>ASKERSUND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39466-2021</t>
        </is>
      </c>
      <c r="B2521" s="1" t="n">
        <v>44414</v>
      </c>
      <c r="C2521" s="1" t="n">
        <v>45797</v>
      </c>
      <c r="D2521" t="inlineStr">
        <is>
          <t>ÖREBRO LÄN</t>
        </is>
      </c>
      <c r="E2521" t="inlineStr">
        <is>
          <t>HALLSBERG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39450-2021</t>
        </is>
      </c>
      <c r="B2522" s="1" t="n">
        <v>44414</v>
      </c>
      <c r="C2522" s="1" t="n">
        <v>45797</v>
      </c>
      <c r="D2522" t="inlineStr">
        <is>
          <t>ÖREBRO LÄN</t>
        </is>
      </c>
      <c r="E2522" t="inlineStr">
        <is>
          <t>HALLSBERG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40126-2021</t>
        </is>
      </c>
      <c r="B2523" s="1" t="n">
        <v>44418</v>
      </c>
      <c r="C2523" s="1" t="n">
        <v>45797</v>
      </c>
      <c r="D2523" t="inlineStr">
        <is>
          <t>ÖREBRO LÄN</t>
        </is>
      </c>
      <c r="E2523" t="inlineStr">
        <is>
          <t>NORA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40099-2021</t>
        </is>
      </c>
      <c r="B2524" s="1" t="n">
        <v>44418</v>
      </c>
      <c r="C2524" s="1" t="n">
        <v>45797</v>
      </c>
      <c r="D2524" t="inlineStr">
        <is>
          <t>ÖREBRO LÄN</t>
        </is>
      </c>
      <c r="E2524" t="inlineStr">
        <is>
          <t>LINDESBERG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40197-2021</t>
        </is>
      </c>
      <c r="B2525" s="1" t="n">
        <v>44418</v>
      </c>
      <c r="C2525" s="1" t="n">
        <v>45797</v>
      </c>
      <c r="D2525" t="inlineStr">
        <is>
          <t>ÖREBRO LÄN</t>
        </is>
      </c>
      <c r="E2525" t="inlineStr">
        <is>
          <t>LINDESBERG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40195-2021</t>
        </is>
      </c>
      <c r="B2526" s="1" t="n">
        <v>44418</v>
      </c>
      <c r="C2526" s="1" t="n">
        <v>45797</v>
      </c>
      <c r="D2526" t="inlineStr">
        <is>
          <t>ÖREBRO LÄN</t>
        </is>
      </c>
      <c r="E2526" t="inlineStr">
        <is>
          <t>LINDESBERG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40193-2021</t>
        </is>
      </c>
      <c r="B2527" s="1" t="n">
        <v>44418</v>
      </c>
      <c r="C2527" s="1" t="n">
        <v>45797</v>
      </c>
      <c r="D2527" t="inlineStr">
        <is>
          <t>ÖREBRO LÄN</t>
        </is>
      </c>
      <c r="E2527" t="inlineStr">
        <is>
          <t>LINDESBERG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40198-2021</t>
        </is>
      </c>
      <c r="B2528" s="1" t="n">
        <v>44418</v>
      </c>
      <c r="C2528" s="1" t="n">
        <v>45797</v>
      </c>
      <c r="D2528" t="inlineStr">
        <is>
          <t>ÖREBRO LÄN</t>
        </is>
      </c>
      <c r="E2528" t="inlineStr">
        <is>
          <t>LINDESBERG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40196-2021</t>
        </is>
      </c>
      <c r="B2529" s="1" t="n">
        <v>44418</v>
      </c>
      <c r="C2529" s="1" t="n">
        <v>45797</v>
      </c>
      <c r="D2529" t="inlineStr">
        <is>
          <t>ÖREBRO LÄN</t>
        </is>
      </c>
      <c r="E2529" t="inlineStr">
        <is>
          <t>LINDESBERG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40312-2021</t>
        </is>
      </c>
      <c r="B2530" s="1" t="n">
        <v>44419</v>
      </c>
      <c r="C2530" s="1" t="n">
        <v>45797</v>
      </c>
      <c r="D2530" t="inlineStr">
        <is>
          <t>ÖREBRO LÄN</t>
        </is>
      </c>
      <c r="E2530" t="inlineStr">
        <is>
          <t>ÖREBRO</t>
        </is>
      </c>
      <c r="F2530" t="inlineStr">
        <is>
          <t>Övriga Aktiebolag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40338-2021</t>
        </is>
      </c>
      <c r="B2531" s="1" t="n">
        <v>44419</v>
      </c>
      <c r="C2531" s="1" t="n">
        <v>45797</v>
      </c>
      <c r="D2531" t="inlineStr">
        <is>
          <t>ÖREBRO LÄN</t>
        </is>
      </c>
      <c r="E2531" t="inlineStr">
        <is>
          <t>NORA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40404-2021</t>
        </is>
      </c>
      <c r="B2532" s="1" t="n">
        <v>44419</v>
      </c>
      <c r="C2532" s="1" t="n">
        <v>45797</v>
      </c>
      <c r="D2532" t="inlineStr">
        <is>
          <t>ÖREBRO LÄN</t>
        </is>
      </c>
      <c r="E2532" t="inlineStr">
        <is>
          <t>ASKERSUND</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40399-2021</t>
        </is>
      </c>
      <c r="B2533" s="1" t="n">
        <v>44419</v>
      </c>
      <c r="C2533" s="1" t="n">
        <v>45797</v>
      </c>
      <c r="D2533" t="inlineStr">
        <is>
          <t>ÖREBRO LÄN</t>
        </is>
      </c>
      <c r="E2533" t="inlineStr">
        <is>
          <t>ASKERSUND</t>
        </is>
      </c>
      <c r="F2533" t="inlineStr">
        <is>
          <t>Sveaskog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40597-2021</t>
        </is>
      </c>
      <c r="B2534" s="1" t="n">
        <v>44420</v>
      </c>
      <c r="C2534" s="1" t="n">
        <v>45797</v>
      </c>
      <c r="D2534" t="inlineStr">
        <is>
          <t>ÖREBRO LÄN</t>
        </is>
      </c>
      <c r="E2534" t="inlineStr">
        <is>
          <t>ÖREBRO</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40605-2021</t>
        </is>
      </c>
      <c r="B2535" s="1" t="n">
        <v>44420</v>
      </c>
      <c r="C2535" s="1" t="n">
        <v>45797</v>
      </c>
      <c r="D2535" t="inlineStr">
        <is>
          <t>ÖREBRO LÄN</t>
        </is>
      </c>
      <c r="E2535" t="inlineStr">
        <is>
          <t>ÖREBRO</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40589-2021</t>
        </is>
      </c>
      <c r="B2536" s="1" t="n">
        <v>44420</v>
      </c>
      <c r="C2536" s="1" t="n">
        <v>45797</v>
      </c>
      <c r="D2536" t="inlineStr">
        <is>
          <t>ÖREBRO LÄN</t>
        </is>
      </c>
      <c r="E2536" t="inlineStr">
        <is>
          <t>ASKERSUND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40588-2021</t>
        </is>
      </c>
      <c r="B2537" s="1" t="n">
        <v>44420</v>
      </c>
      <c r="C2537" s="1" t="n">
        <v>45797</v>
      </c>
      <c r="D2537" t="inlineStr">
        <is>
          <t>ÖREBRO LÄN</t>
        </is>
      </c>
      <c r="E2537" t="inlineStr">
        <is>
          <t>ÖREBRO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40643-2021</t>
        </is>
      </c>
      <c r="B2538" s="1" t="n">
        <v>44420</v>
      </c>
      <c r="C2538" s="1" t="n">
        <v>45797</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40607-2021</t>
        </is>
      </c>
      <c r="B2539" s="1" t="n">
        <v>44420</v>
      </c>
      <c r="C2539" s="1" t="n">
        <v>45797</v>
      </c>
      <c r="D2539" t="inlineStr">
        <is>
          <t>ÖREBRO LÄN</t>
        </is>
      </c>
      <c r="E2539" t="inlineStr">
        <is>
          <t>HALLSBERG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40710-2021</t>
        </is>
      </c>
      <c r="B2540" s="1" t="n">
        <v>44420</v>
      </c>
      <c r="C2540" s="1" t="n">
        <v>45797</v>
      </c>
      <c r="D2540" t="inlineStr">
        <is>
          <t>ÖREBRO LÄN</t>
        </is>
      </c>
      <c r="E2540" t="inlineStr">
        <is>
          <t>NORA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40646-2021</t>
        </is>
      </c>
      <c r="B2541" s="1" t="n">
        <v>44420</v>
      </c>
      <c r="C2541" s="1" t="n">
        <v>45797</v>
      </c>
      <c r="D2541" t="inlineStr">
        <is>
          <t>ÖREBRO LÄN</t>
        </is>
      </c>
      <c r="E2541" t="inlineStr">
        <is>
          <t>NORA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40666-2021</t>
        </is>
      </c>
      <c r="B2542" s="1" t="n">
        <v>44420</v>
      </c>
      <c r="C2542" s="1" t="n">
        <v>45797</v>
      </c>
      <c r="D2542" t="inlineStr">
        <is>
          <t>ÖREBRO LÄN</t>
        </is>
      </c>
      <c r="E2542" t="inlineStr">
        <is>
          <t>LINDESBERG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40692-2021</t>
        </is>
      </c>
      <c r="B2543" s="1" t="n">
        <v>44420</v>
      </c>
      <c r="C2543" s="1" t="n">
        <v>45797</v>
      </c>
      <c r="D2543" t="inlineStr">
        <is>
          <t>ÖREBRO LÄN</t>
        </is>
      </c>
      <c r="E2543" t="inlineStr">
        <is>
          <t>LINDESBERG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40758-2021</t>
        </is>
      </c>
      <c r="B2544" s="1" t="n">
        <v>44420</v>
      </c>
      <c r="C2544" s="1" t="n">
        <v>45797</v>
      </c>
      <c r="D2544" t="inlineStr">
        <is>
          <t>ÖREBRO LÄN</t>
        </is>
      </c>
      <c r="E2544" t="inlineStr">
        <is>
          <t>LINDESBERG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40735-2021</t>
        </is>
      </c>
      <c r="B2545" s="1" t="n">
        <v>44420</v>
      </c>
      <c r="C2545" s="1" t="n">
        <v>45797</v>
      </c>
      <c r="D2545" t="inlineStr">
        <is>
          <t>ÖREBRO LÄN</t>
        </is>
      </c>
      <c r="E2545" t="inlineStr">
        <is>
          <t>LINDESBERG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40984-2021</t>
        </is>
      </c>
      <c r="B2546" s="1" t="n">
        <v>44421</v>
      </c>
      <c r="C2546" s="1" t="n">
        <v>45797</v>
      </c>
      <c r="D2546" t="inlineStr">
        <is>
          <t>ÖREBRO LÄN</t>
        </is>
      </c>
      <c r="E2546" t="inlineStr">
        <is>
          <t>HALLSBERG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41026-2021</t>
        </is>
      </c>
      <c r="B2547" s="1" t="n">
        <v>44421</v>
      </c>
      <c r="C2547" s="1" t="n">
        <v>45797</v>
      </c>
      <c r="D2547" t="inlineStr">
        <is>
          <t>ÖREBRO LÄN</t>
        </is>
      </c>
      <c r="E2547" t="inlineStr">
        <is>
          <t>KARLSKOGA</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40980-2021</t>
        </is>
      </c>
      <c r="B2548" s="1" t="n">
        <v>44421</v>
      </c>
      <c r="C2548" s="1" t="n">
        <v>45797</v>
      </c>
      <c r="D2548" t="inlineStr">
        <is>
          <t>ÖREBRO LÄN</t>
        </is>
      </c>
      <c r="E2548" t="inlineStr">
        <is>
          <t>LAXÅ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40987-2021</t>
        </is>
      </c>
      <c r="B2549" s="1" t="n">
        <v>44421</v>
      </c>
      <c r="C2549" s="1" t="n">
        <v>45797</v>
      </c>
      <c r="D2549" t="inlineStr">
        <is>
          <t>ÖREBRO LÄN</t>
        </is>
      </c>
      <c r="E2549" t="inlineStr">
        <is>
          <t>HALLSBERG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40964-2021</t>
        </is>
      </c>
      <c r="B2550" s="1" t="n">
        <v>44421</v>
      </c>
      <c r="C2550" s="1" t="n">
        <v>45797</v>
      </c>
      <c r="D2550" t="inlineStr">
        <is>
          <t>ÖREBRO LÄN</t>
        </is>
      </c>
      <c r="E2550" t="inlineStr">
        <is>
          <t>KUMLA</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40974-2021</t>
        </is>
      </c>
      <c r="B2551" s="1" t="n">
        <v>44421</v>
      </c>
      <c r="C2551" s="1" t="n">
        <v>45797</v>
      </c>
      <c r="D2551" t="inlineStr">
        <is>
          <t>ÖREBRO LÄN</t>
        </is>
      </c>
      <c r="E2551" t="inlineStr">
        <is>
          <t>KUMLA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41096-2021</t>
        </is>
      </c>
      <c r="B2552" s="1" t="n">
        <v>44422</v>
      </c>
      <c r="C2552" s="1" t="n">
        <v>45797</v>
      </c>
      <c r="D2552" t="inlineStr">
        <is>
          <t>ÖREBRO LÄN</t>
        </is>
      </c>
      <c r="E2552" t="inlineStr">
        <is>
          <t>ASKERSUND</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41095-2021</t>
        </is>
      </c>
      <c r="B2553" s="1" t="n">
        <v>44422</v>
      </c>
      <c r="C2553" s="1" t="n">
        <v>45797</v>
      </c>
      <c r="D2553" t="inlineStr">
        <is>
          <t>ÖREBRO LÄN</t>
        </is>
      </c>
      <c r="E2553" t="inlineStr">
        <is>
          <t>ASKERSUND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41094-2021</t>
        </is>
      </c>
      <c r="B2554" s="1" t="n">
        <v>44422</v>
      </c>
      <c r="C2554" s="1" t="n">
        <v>45797</v>
      </c>
      <c r="D2554" t="inlineStr">
        <is>
          <t>ÖREBRO LÄN</t>
        </is>
      </c>
      <c r="E2554" t="inlineStr">
        <is>
          <t>ASKERSUND</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41249-2021</t>
        </is>
      </c>
      <c r="B2555" s="1" t="n">
        <v>44424</v>
      </c>
      <c r="C2555" s="1" t="n">
        <v>45797</v>
      </c>
      <c r="D2555" t="inlineStr">
        <is>
          <t>ÖREBRO LÄN</t>
        </is>
      </c>
      <c r="E2555" t="inlineStr">
        <is>
          <t>ASKERSUND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41269-2021</t>
        </is>
      </c>
      <c r="B2556" s="1" t="n">
        <v>44424</v>
      </c>
      <c r="C2556" s="1" t="n">
        <v>45797</v>
      </c>
      <c r="D2556" t="inlineStr">
        <is>
          <t>ÖREBRO LÄN</t>
        </is>
      </c>
      <c r="E2556" t="inlineStr">
        <is>
          <t>LEKEBERG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41252-2021</t>
        </is>
      </c>
      <c r="B2557" s="1" t="n">
        <v>44424</v>
      </c>
      <c r="C2557" s="1" t="n">
        <v>45797</v>
      </c>
      <c r="D2557" t="inlineStr">
        <is>
          <t>ÖREBRO LÄN</t>
        </is>
      </c>
      <c r="E2557" t="inlineStr">
        <is>
          <t>ASKERSUND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41326-2021</t>
        </is>
      </c>
      <c r="B2558" s="1" t="n">
        <v>44424</v>
      </c>
      <c r="C2558" s="1" t="n">
        <v>45797</v>
      </c>
      <c r="D2558" t="inlineStr">
        <is>
          <t>ÖREBRO LÄN</t>
        </is>
      </c>
      <c r="E2558" t="inlineStr">
        <is>
          <t>ÖREBRO</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41343-2021</t>
        </is>
      </c>
      <c r="B2559" s="1" t="n">
        <v>44424</v>
      </c>
      <c r="C2559" s="1" t="n">
        <v>45797</v>
      </c>
      <c r="D2559" t="inlineStr">
        <is>
          <t>ÖREBRO LÄN</t>
        </is>
      </c>
      <c r="E2559" t="inlineStr">
        <is>
          <t>LINDESBERG</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41410-2021</t>
        </is>
      </c>
      <c r="B2560" s="1" t="n">
        <v>44424</v>
      </c>
      <c r="C2560" s="1" t="n">
        <v>45797</v>
      </c>
      <c r="D2560" t="inlineStr">
        <is>
          <t>ÖREBRO LÄN</t>
        </is>
      </c>
      <c r="E2560" t="inlineStr">
        <is>
          <t>HALLSBERG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41453-2021</t>
        </is>
      </c>
      <c r="B2561" s="1" t="n">
        <v>44424</v>
      </c>
      <c r="C2561" s="1" t="n">
        <v>45797</v>
      </c>
      <c r="D2561" t="inlineStr">
        <is>
          <t>ÖREBRO LÄN</t>
        </is>
      </c>
      <c r="E2561" t="inlineStr">
        <is>
          <t>LJUSNARSBERG</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41576-2021</t>
        </is>
      </c>
      <c r="B2562" s="1" t="n">
        <v>44425</v>
      </c>
      <c r="C2562" s="1" t="n">
        <v>45797</v>
      </c>
      <c r="D2562" t="inlineStr">
        <is>
          <t>ÖREBRO LÄN</t>
        </is>
      </c>
      <c r="E2562" t="inlineStr">
        <is>
          <t>LINDESBERG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41582-2021</t>
        </is>
      </c>
      <c r="B2563" s="1" t="n">
        <v>44425</v>
      </c>
      <c r="C2563" s="1" t="n">
        <v>45797</v>
      </c>
      <c r="D2563" t="inlineStr">
        <is>
          <t>ÖREBRO LÄN</t>
        </is>
      </c>
      <c r="E2563" t="inlineStr">
        <is>
          <t>LINDESBERG</t>
        </is>
      </c>
      <c r="F2563" t="inlineStr">
        <is>
          <t>Sveaskog</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41676-2021</t>
        </is>
      </c>
      <c r="B2564" s="1" t="n">
        <v>44425</v>
      </c>
      <c r="C2564" s="1" t="n">
        <v>45797</v>
      </c>
      <c r="D2564" t="inlineStr">
        <is>
          <t>ÖREBRO LÄN</t>
        </is>
      </c>
      <c r="E2564" t="inlineStr">
        <is>
          <t>NORA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41571-2021</t>
        </is>
      </c>
      <c r="B2565" s="1" t="n">
        <v>44425</v>
      </c>
      <c r="C2565" s="1" t="n">
        <v>45797</v>
      </c>
      <c r="D2565" t="inlineStr">
        <is>
          <t>ÖREBRO LÄN</t>
        </is>
      </c>
      <c r="E2565" t="inlineStr">
        <is>
          <t>LINDESBERG</t>
        </is>
      </c>
      <c r="F2565" t="inlineStr">
        <is>
          <t>Sveaskog</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41580-2021</t>
        </is>
      </c>
      <c r="B2566" s="1" t="n">
        <v>44425</v>
      </c>
      <c r="C2566" s="1" t="n">
        <v>45797</v>
      </c>
      <c r="D2566" t="inlineStr">
        <is>
          <t>ÖREBRO LÄN</t>
        </is>
      </c>
      <c r="E2566" t="inlineStr">
        <is>
          <t>LINDESBERG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41577-2021</t>
        </is>
      </c>
      <c r="B2567" s="1" t="n">
        <v>44425</v>
      </c>
      <c r="C2567" s="1" t="n">
        <v>45797</v>
      </c>
      <c r="D2567" t="inlineStr">
        <is>
          <t>ÖREBRO LÄN</t>
        </is>
      </c>
      <c r="E2567" t="inlineStr">
        <is>
          <t>LINDESBERG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41777-2021</t>
        </is>
      </c>
      <c r="B2568" s="1" t="n">
        <v>44425</v>
      </c>
      <c r="C2568" s="1" t="n">
        <v>45797</v>
      </c>
      <c r="D2568" t="inlineStr">
        <is>
          <t>ÖREBRO LÄN</t>
        </is>
      </c>
      <c r="E2568" t="inlineStr">
        <is>
          <t>KARLSKOGA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41779-2021</t>
        </is>
      </c>
      <c r="B2569" s="1" t="n">
        <v>44425</v>
      </c>
      <c r="C2569" s="1" t="n">
        <v>45797</v>
      </c>
      <c r="D2569" t="inlineStr">
        <is>
          <t>ÖREBRO LÄN</t>
        </is>
      </c>
      <c r="E2569" t="inlineStr">
        <is>
          <t>KARLSKOGA</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41669-2021</t>
        </is>
      </c>
      <c r="B2570" s="1" t="n">
        <v>44425</v>
      </c>
      <c r="C2570" s="1" t="n">
        <v>45797</v>
      </c>
      <c r="D2570" t="inlineStr">
        <is>
          <t>ÖREBRO LÄN</t>
        </is>
      </c>
      <c r="E2570" t="inlineStr">
        <is>
          <t>NORA</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41775-2021</t>
        </is>
      </c>
      <c r="B2571" s="1" t="n">
        <v>44425</v>
      </c>
      <c r="C2571" s="1" t="n">
        <v>45797</v>
      </c>
      <c r="D2571" t="inlineStr">
        <is>
          <t>ÖREBRO LÄN</t>
        </is>
      </c>
      <c r="E2571" t="inlineStr">
        <is>
          <t>KARLSKOGA</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41762-2021</t>
        </is>
      </c>
      <c r="B2572" s="1" t="n">
        <v>44425</v>
      </c>
      <c r="C2572" s="1" t="n">
        <v>45797</v>
      </c>
      <c r="D2572" t="inlineStr">
        <is>
          <t>ÖREBRO LÄN</t>
        </is>
      </c>
      <c r="E2572" t="inlineStr">
        <is>
          <t>ASKERSUND</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42081-2021</t>
        </is>
      </c>
      <c r="B2573" s="1" t="n">
        <v>44426</v>
      </c>
      <c r="C2573" s="1" t="n">
        <v>45797</v>
      </c>
      <c r="D2573" t="inlineStr">
        <is>
          <t>ÖREBRO LÄN</t>
        </is>
      </c>
      <c r="E2573" t="inlineStr">
        <is>
          <t>LINDESBERG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42122-2021</t>
        </is>
      </c>
      <c r="B2574" s="1" t="n">
        <v>44426</v>
      </c>
      <c r="C2574" s="1" t="n">
        <v>45797</v>
      </c>
      <c r="D2574" t="inlineStr">
        <is>
          <t>ÖREBRO LÄN</t>
        </is>
      </c>
      <c r="E2574" t="inlineStr">
        <is>
          <t>DEGERFORS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42178-2021</t>
        </is>
      </c>
      <c r="B2575" s="1" t="n">
        <v>44426</v>
      </c>
      <c r="C2575" s="1" t="n">
        <v>45797</v>
      </c>
      <c r="D2575" t="inlineStr">
        <is>
          <t>ÖREBRO LÄN</t>
        </is>
      </c>
      <c r="E2575" t="inlineStr">
        <is>
          <t>LINDESBERG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42184-2021</t>
        </is>
      </c>
      <c r="B2576" s="1" t="n">
        <v>44426</v>
      </c>
      <c r="C2576" s="1" t="n">
        <v>45797</v>
      </c>
      <c r="D2576" t="inlineStr">
        <is>
          <t>ÖREBRO LÄN</t>
        </is>
      </c>
      <c r="E2576" t="inlineStr">
        <is>
          <t>LAXÅ</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42198-2021</t>
        </is>
      </c>
      <c r="B2577" s="1" t="n">
        <v>44426</v>
      </c>
      <c r="C2577" s="1" t="n">
        <v>45797</v>
      </c>
      <c r="D2577" t="inlineStr">
        <is>
          <t>ÖREBRO LÄN</t>
        </is>
      </c>
      <c r="E2577" t="inlineStr">
        <is>
          <t>ASKERSUND</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42185-2021</t>
        </is>
      </c>
      <c r="B2578" s="1" t="n">
        <v>44426</v>
      </c>
      <c r="C2578" s="1" t="n">
        <v>45797</v>
      </c>
      <c r="D2578" t="inlineStr">
        <is>
          <t>ÖREBRO LÄN</t>
        </is>
      </c>
      <c r="E2578" t="inlineStr">
        <is>
          <t>LAXÅ</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42189-2021</t>
        </is>
      </c>
      <c r="B2579" s="1" t="n">
        <v>44426</v>
      </c>
      <c r="C2579" s="1" t="n">
        <v>45797</v>
      </c>
      <c r="D2579" t="inlineStr">
        <is>
          <t>ÖREBRO LÄN</t>
        </is>
      </c>
      <c r="E2579" t="inlineStr">
        <is>
          <t>LAXÅ</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42395-2021</t>
        </is>
      </c>
      <c r="B2580" s="1" t="n">
        <v>44427</v>
      </c>
      <c r="C2580" s="1" t="n">
        <v>45797</v>
      </c>
      <c r="D2580" t="inlineStr">
        <is>
          <t>ÖREBRO LÄN</t>
        </is>
      </c>
      <c r="E2580" t="inlineStr">
        <is>
          <t>LAXÅ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42510-2021</t>
        </is>
      </c>
      <c r="B2581" s="1" t="n">
        <v>44427</v>
      </c>
      <c r="C2581" s="1" t="n">
        <v>45797</v>
      </c>
      <c r="D2581" t="inlineStr">
        <is>
          <t>ÖREBRO LÄN</t>
        </is>
      </c>
      <c r="E2581" t="inlineStr">
        <is>
          <t>LINDESBERG</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42511-2021</t>
        </is>
      </c>
      <c r="B2582" s="1" t="n">
        <v>44427</v>
      </c>
      <c r="C2582" s="1" t="n">
        <v>45797</v>
      </c>
      <c r="D2582" t="inlineStr">
        <is>
          <t>ÖREBRO LÄN</t>
        </is>
      </c>
      <c r="E2582" t="inlineStr">
        <is>
          <t>LINDESBERG</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42518-2021</t>
        </is>
      </c>
      <c r="B2583" s="1" t="n">
        <v>44427</v>
      </c>
      <c r="C2583" s="1" t="n">
        <v>45797</v>
      </c>
      <c r="D2583" t="inlineStr">
        <is>
          <t>ÖREBRO LÄN</t>
        </is>
      </c>
      <c r="E2583" t="inlineStr">
        <is>
          <t>ÖREBRO</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42741-2021</t>
        </is>
      </c>
      <c r="B2584" s="1" t="n">
        <v>44428</v>
      </c>
      <c r="C2584" s="1" t="n">
        <v>45797</v>
      </c>
      <c r="D2584" t="inlineStr">
        <is>
          <t>ÖREBRO LÄN</t>
        </is>
      </c>
      <c r="E2584" t="inlineStr">
        <is>
          <t>NORA</t>
        </is>
      </c>
      <c r="F2584" t="inlineStr">
        <is>
          <t>Sveaskog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42743-2021</t>
        </is>
      </c>
      <c r="B2585" s="1" t="n">
        <v>44428</v>
      </c>
      <c r="C2585" s="1" t="n">
        <v>45797</v>
      </c>
      <c r="D2585" t="inlineStr">
        <is>
          <t>ÖREBRO LÄN</t>
        </is>
      </c>
      <c r="E2585" t="inlineStr">
        <is>
          <t>NORA</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42777-2021</t>
        </is>
      </c>
      <c r="B2586" s="1" t="n">
        <v>44428</v>
      </c>
      <c r="C2586" s="1" t="n">
        <v>45797</v>
      </c>
      <c r="D2586" t="inlineStr">
        <is>
          <t>ÖREBRO LÄN</t>
        </is>
      </c>
      <c r="E2586" t="inlineStr">
        <is>
          <t>ÖREBRO</t>
        </is>
      </c>
      <c r="F2586" t="inlineStr">
        <is>
          <t>Övriga Aktiebolag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42740-2021</t>
        </is>
      </c>
      <c r="B2587" s="1" t="n">
        <v>44428</v>
      </c>
      <c r="C2587" s="1" t="n">
        <v>45797</v>
      </c>
      <c r="D2587" t="inlineStr">
        <is>
          <t>ÖREBRO LÄN</t>
        </is>
      </c>
      <c r="E2587" t="inlineStr">
        <is>
          <t>NORA</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42844-2021</t>
        </is>
      </c>
      <c r="B2588" s="1" t="n">
        <v>44430</v>
      </c>
      <c r="C2588" s="1" t="n">
        <v>45797</v>
      </c>
      <c r="D2588" t="inlineStr">
        <is>
          <t>ÖREBRO LÄN</t>
        </is>
      </c>
      <c r="E2588" t="inlineStr">
        <is>
          <t>ASKERSUND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42841-2021</t>
        </is>
      </c>
      <c r="B2589" s="1" t="n">
        <v>44430</v>
      </c>
      <c r="C2589" s="1" t="n">
        <v>45797</v>
      </c>
      <c r="D2589" t="inlineStr">
        <is>
          <t>ÖREBRO LÄN</t>
        </is>
      </c>
      <c r="E2589" t="inlineStr">
        <is>
          <t>ASKERSUND</t>
        </is>
      </c>
      <c r="G2589" t="n">
        <v>14.1</v>
      </c>
      <c r="H2589" t="n">
        <v>0</v>
      </c>
      <c r="I2589" t="n">
        <v>0</v>
      </c>
      <c r="J2589" t="n">
        <v>0</v>
      </c>
      <c r="K2589" t="n">
        <v>0</v>
      </c>
      <c r="L2589" t="n">
        <v>0</v>
      </c>
      <c r="M2589" t="n">
        <v>0</v>
      </c>
      <c r="N2589" t="n">
        <v>0</v>
      </c>
      <c r="O2589" t="n">
        <v>0</v>
      </c>
      <c r="P2589" t="n">
        <v>0</v>
      </c>
      <c r="Q2589" t="n">
        <v>0</v>
      </c>
      <c r="R2589" s="2" t="inlineStr"/>
    </row>
    <row r="2590" ht="15" customHeight="1">
      <c r="A2590" t="inlineStr">
        <is>
          <t>A 42830-2021</t>
        </is>
      </c>
      <c r="B2590" s="1" t="n">
        <v>44430</v>
      </c>
      <c r="C2590" s="1" t="n">
        <v>45797</v>
      </c>
      <c r="D2590" t="inlineStr">
        <is>
          <t>ÖREBRO LÄN</t>
        </is>
      </c>
      <c r="E2590" t="inlineStr">
        <is>
          <t>ASKERSUND</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42839-2021</t>
        </is>
      </c>
      <c r="B2591" s="1" t="n">
        <v>44430</v>
      </c>
      <c r="C2591" s="1" t="n">
        <v>45797</v>
      </c>
      <c r="D2591" t="inlineStr">
        <is>
          <t>ÖREBRO LÄN</t>
        </is>
      </c>
      <c r="E2591" t="inlineStr">
        <is>
          <t>ASKERSUND</t>
        </is>
      </c>
      <c r="G2591" t="n">
        <v>10.7</v>
      </c>
      <c r="H2591" t="n">
        <v>0</v>
      </c>
      <c r="I2591" t="n">
        <v>0</v>
      </c>
      <c r="J2591" t="n">
        <v>0</v>
      </c>
      <c r="K2591" t="n">
        <v>0</v>
      </c>
      <c r="L2591" t="n">
        <v>0</v>
      </c>
      <c r="M2591" t="n">
        <v>0</v>
      </c>
      <c r="N2591" t="n">
        <v>0</v>
      </c>
      <c r="O2591" t="n">
        <v>0</v>
      </c>
      <c r="P2591" t="n">
        <v>0</v>
      </c>
      <c r="Q2591" t="n">
        <v>0</v>
      </c>
      <c r="R2591" s="2" t="inlineStr"/>
    </row>
    <row r="2592" ht="15" customHeight="1">
      <c r="A2592" t="inlineStr">
        <is>
          <t>A 43081-2021</t>
        </is>
      </c>
      <c r="B2592" s="1" t="n">
        <v>44431</v>
      </c>
      <c r="C2592" s="1" t="n">
        <v>45797</v>
      </c>
      <c r="D2592" t="inlineStr">
        <is>
          <t>ÖREBRO LÄN</t>
        </is>
      </c>
      <c r="E2592" t="inlineStr">
        <is>
          <t>LINDESBERG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42945-2021</t>
        </is>
      </c>
      <c r="B2593" s="1" t="n">
        <v>44431</v>
      </c>
      <c r="C2593" s="1" t="n">
        <v>45797</v>
      </c>
      <c r="D2593" t="inlineStr">
        <is>
          <t>ÖREBRO LÄN</t>
        </is>
      </c>
      <c r="E2593" t="inlineStr">
        <is>
          <t>LEKEBERG</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42899-2021</t>
        </is>
      </c>
      <c r="B2594" s="1" t="n">
        <v>44431</v>
      </c>
      <c r="C2594" s="1" t="n">
        <v>45797</v>
      </c>
      <c r="D2594" t="inlineStr">
        <is>
          <t>ÖREBRO LÄN</t>
        </is>
      </c>
      <c r="E2594" t="inlineStr">
        <is>
          <t>NORA</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43066-2021</t>
        </is>
      </c>
      <c r="B2595" s="1" t="n">
        <v>44431</v>
      </c>
      <c r="C2595" s="1" t="n">
        <v>45797</v>
      </c>
      <c r="D2595" t="inlineStr">
        <is>
          <t>ÖREBRO LÄN</t>
        </is>
      </c>
      <c r="E2595" t="inlineStr">
        <is>
          <t>LINDESBERG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43154-2021</t>
        </is>
      </c>
      <c r="B2596" s="1" t="n">
        <v>44431</v>
      </c>
      <c r="C2596" s="1" t="n">
        <v>45797</v>
      </c>
      <c r="D2596" t="inlineStr">
        <is>
          <t>ÖREBRO LÄN</t>
        </is>
      </c>
      <c r="E2596" t="inlineStr">
        <is>
          <t>LINDESBERG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43139-2021</t>
        </is>
      </c>
      <c r="B2597" s="1" t="n">
        <v>44431</v>
      </c>
      <c r="C2597" s="1" t="n">
        <v>45797</v>
      </c>
      <c r="D2597" t="inlineStr">
        <is>
          <t>ÖREBRO LÄN</t>
        </is>
      </c>
      <c r="E2597" t="inlineStr">
        <is>
          <t>ASKERSUND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43153-2021</t>
        </is>
      </c>
      <c r="B2598" s="1" t="n">
        <v>44431</v>
      </c>
      <c r="C2598" s="1" t="n">
        <v>45797</v>
      </c>
      <c r="D2598" t="inlineStr">
        <is>
          <t>ÖREBRO LÄN</t>
        </is>
      </c>
      <c r="E2598" t="inlineStr">
        <is>
          <t>LINDESBERG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43257-2021</t>
        </is>
      </c>
      <c r="B2599" s="1" t="n">
        <v>44432</v>
      </c>
      <c r="C2599" s="1" t="n">
        <v>45797</v>
      </c>
      <c r="D2599" t="inlineStr">
        <is>
          <t>ÖREBRO LÄN</t>
        </is>
      </c>
      <c r="E2599" t="inlineStr">
        <is>
          <t>KUMLA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43262-2021</t>
        </is>
      </c>
      <c r="B2600" s="1" t="n">
        <v>44432</v>
      </c>
      <c r="C2600" s="1" t="n">
        <v>45797</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43393-2021</t>
        </is>
      </c>
      <c r="B2601" s="1" t="n">
        <v>44432</v>
      </c>
      <c r="C2601" s="1" t="n">
        <v>45797</v>
      </c>
      <c r="D2601" t="inlineStr">
        <is>
          <t>ÖREBRO LÄN</t>
        </is>
      </c>
      <c r="E2601" t="inlineStr">
        <is>
          <t>DEGERFORS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43415-2021</t>
        </is>
      </c>
      <c r="B2602" s="1" t="n">
        <v>44432</v>
      </c>
      <c r="C2602" s="1" t="n">
        <v>45797</v>
      </c>
      <c r="D2602" t="inlineStr">
        <is>
          <t>ÖREBRO LÄN</t>
        </is>
      </c>
      <c r="E2602" t="inlineStr">
        <is>
          <t>ASKERSUND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43453-2021</t>
        </is>
      </c>
      <c r="B2603" s="1" t="n">
        <v>44432</v>
      </c>
      <c r="C2603" s="1" t="n">
        <v>45797</v>
      </c>
      <c r="D2603" t="inlineStr">
        <is>
          <t>ÖREBRO LÄN</t>
        </is>
      </c>
      <c r="E2603" t="inlineStr">
        <is>
          <t>LINDESBERG</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43421-2021</t>
        </is>
      </c>
      <c r="B2604" s="1" t="n">
        <v>44432</v>
      </c>
      <c r="C2604" s="1" t="n">
        <v>45797</v>
      </c>
      <c r="D2604" t="inlineStr">
        <is>
          <t>ÖREBRO LÄN</t>
        </is>
      </c>
      <c r="E2604" t="inlineStr">
        <is>
          <t>ASKERSUND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43452-2021</t>
        </is>
      </c>
      <c r="B2605" s="1" t="n">
        <v>44432</v>
      </c>
      <c r="C2605" s="1" t="n">
        <v>45797</v>
      </c>
      <c r="D2605" t="inlineStr">
        <is>
          <t>ÖREBRO LÄN</t>
        </is>
      </c>
      <c r="E2605" t="inlineStr">
        <is>
          <t>LINDESBERG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43796-2021</t>
        </is>
      </c>
      <c r="B2606" s="1" t="n">
        <v>44433</v>
      </c>
      <c r="C2606" s="1" t="n">
        <v>45797</v>
      </c>
      <c r="D2606" t="inlineStr">
        <is>
          <t>ÖREBRO LÄN</t>
        </is>
      </c>
      <c r="E2606" t="inlineStr">
        <is>
          <t>LAXÅ</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43682-2021</t>
        </is>
      </c>
      <c r="B2607" s="1" t="n">
        <v>44433</v>
      </c>
      <c r="C2607" s="1" t="n">
        <v>45797</v>
      </c>
      <c r="D2607" t="inlineStr">
        <is>
          <t>ÖREBRO LÄN</t>
        </is>
      </c>
      <c r="E2607" t="inlineStr">
        <is>
          <t>LEKEBERG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44006-2021</t>
        </is>
      </c>
      <c r="B2608" s="1" t="n">
        <v>44434</v>
      </c>
      <c r="C2608" s="1" t="n">
        <v>45797</v>
      </c>
      <c r="D2608" t="inlineStr">
        <is>
          <t>ÖREBRO LÄN</t>
        </is>
      </c>
      <c r="E2608" t="inlineStr">
        <is>
          <t>LINDESBERG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43928-2021</t>
        </is>
      </c>
      <c r="B2609" s="1" t="n">
        <v>44434</v>
      </c>
      <c r="C2609" s="1" t="n">
        <v>45797</v>
      </c>
      <c r="D2609" t="inlineStr">
        <is>
          <t>ÖREBRO LÄN</t>
        </is>
      </c>
      <c r="E2609" t="inlineStr">
        <is>
          <t>LINDESBERG</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44043-2021</t>
        </is>
      </c>
      <c r="B2610" s="1" t="n">
        <v>44434</v>
      </c>
      <c r="C2610" s="1" t="n">
        <v>45797</v>
      </c>
      <c r="D2610" t="inlineStr">
        <is>
          <t>ÖREBRO LÄN</t>
        </is>
      </c>
      <c r="E2610" t="inlineStr">
        <is>
          <t>ÖREBRO</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44146-2021</t>
        </is>
      </c>
      <c r="B2611" s="1" t="n">
        <v>44434</v>
      </c>
      <c r="C2611" s="1" t="n">
        <v>45797</v>
      </c>
      <c r="D2611" t="inlineStr">
        <is>
          <t>ÖREBRO LÄN</t>
        </is>
      </c>
      <c r="E2611" t="inlineStr">
        <is>
          <t>ÖREBRO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44099-2021</t>
        </is>
      </c>
      <c r="B2612" s="1" t="n">
        <v>44434</v>
      </c>
      <c r="C2612" s="1" t="n">
        <v>45797</v>
      </c>
      <c r="D2612" t="inlineStr">
        <is>
          <t>ÖREBRO LÄN</t>
        </is>
      </c>
      <c r="E2612" t="inlineStr">
        <is>
          <t>LAXÅ</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44150-2021</t>
        </is>
      </c>
      <c r="B2613" s="1" t="n">
        <v>44434</v>
      </c>
      <c r="C2613" s="1" t="n">
        <v>45797</v>
      </c>
      <c r="D2613" t="inlineStr">
        <is>
          <t>ÖREBRO LÄN</t>
        </is>
      </c>
      <c r="E2613" t="inlineStr">
        <is>
          <t>ASKERSUND</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44227-2021</t>
        </is>
      </c>
      <c r="B2614" s="1" t="n">
        <v>44435</v>
      </c>
      <c r="C2614" s="1" t="n">
        <v>45797</v>
      </c>
      <c r="D2614" t="inlineStr">
        <is>
          <t>ÖREBRO LÄN</t>
        </is>
      </c>
      <c r="E2614" t="inlineStr">
        <is>
          <t>HALLSBERG</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44197-2021</t>
        </is>
      </c>
      <c r="B2615" s="1" t="n">
        <v>44434</v>
      </c>
      <c r="C2615" s="1" t="n">
        <v>45797</v>
      </c>
      <c r="D2615" t="inlineStr">
        <is>
          <t>ÖREBRO LÄN</t>
        </is>
      </c>
      <c r="E2615" t="inlineStr">
        <is>
          <t>LINDESBERG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44228-2021</t>
        </is>
      </c>
      <c r="B2616" s="1" t="n">
        <v>44435</v>
      </c>
      <c r="C2616" s="1" t="n">
        <v>45797</v>
      </c>
      <c r="D2616" t="inlineStr">
        <is>
          <t>ÖREBRO LÄN</t>
        </is>
      </c>
      <c r="E2616" t="inlineStr">
        <is>
          <t>HALLSBERG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44322-2021</t>
        </is>
      </c>
      <c r="B2617" s="1" t="n">
        <v>44435</v>
      </c>
      <c r="C2617" s="1" t="n">
        <v>45797</v>
      </c>
      <c r="D2617" t="inlineStr">
        <is>
          <t>ÖREBRO LÄN</t>
        </is>
      </c>
      <c r="E2617" t="inlineStr">
        <is>
          <t>HÄLLEFORS</t>
        </is>
      </c>
      <c r="G2617" t="n">
        <v>10.9</v>
      </c>
      <c r="H2617" t="n">
        <v>0</v>
      </c>
      <c r="I2617" t="n">
        <v>0</v>
      </c>
      <c r="J2617" t="n">
        <v>0</v>
      </c>
      <c r="K2617" t="n">
        <v>0</v>
      </c>
      <c r="L2617" t="n">
        <v>0</v>
      </c>
      <c r="M2617" t="n">
        <v>0</v>
      </c>
      <c r="N2617" t="n">
        <v>0</v>
      </c>
      <c r="O2617" t="n">
        <v>0</v>
      </c>
      <c r="P2617" t="n">
        <v>0</v>
      </c>
      <c r="Q2617" t="n">
        <v>0</v>
      </c>
      <c r="R2617" s="2" t="inlineStr"/>
    </row>
    <row r="2618" ht="15" customHeight="1">
      <c r="A2618" t="inlineStr">
        <is>
          <t>A 44343-2021</t>
        </is>
      </c>
      <c r="B2618" s="1" t="n">
        <v>44435</v>
      </c>
      <c r="C2618" s="1" t="n">
        <v>45797</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44293-2021</t>
        </is>
      </c>
      <c r="B2619" s="1" t="n">
        <v>44435</v>
      </c>
      <c r="C2619" s="1" t="n">
        <v>45797</v>
      </c>
      <c r="D2619" t="inlineStr">
        <is>
          <t>ÖREBRO LÄN</t>
        </is>
      </c>
      <c r="E2619" t="inlineStr">
        <is>
          <t>LJUSNARSBERG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44282-2021</t>
        </is>
      </c>
      <c r="B2620" s="1" t="n">
        <v>44435</v>
      </c>
      <c r="C2620" s="1" t="n">
        <v>45797</v>
      </c>
      <c r="D2620" t="inlineStr">
        <is>
          <t>ÖREBRO LÄN</t>
        </is>
      </c>
      <c r="E2620" t="inlineStr">
        <is>
          <t>LJUSNARSBERG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44528-2021</t>
        </is>
      </c>
      <c r="B2621" s="1" t="n">
        <v>44435</v>
      </c>
      <c r="C2621" s="1" t="n">
        <v>45797</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44560-2021</t>
        </is>
      </c>
      <c r="B2622" s="1" t="n">
        <v>44435</v>
      </c>
      <c r="C2622" s="1" t="n">
        <v>45797</v>
      </c>
      <c r="D2622" t="inlineStr">
        <is>
          <t>ÖREBRO LÄN</t>
        </is>
      </c>
      <c r="E2622" t="inlineStr">
        <is>
          <t>ÖREBRO</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44675-2021</t>
        </is>
      </c>
      <c r="B2623" s="1" t="n">
        <v>44438</v>
      </c>
      <c r="C2623" s="1" t="n">
        <v>45797</v>
      </c>
      <c r="D2623" t="inlineStr">
        <is>
          <t>ÖREBRO LÄN</t>
        </is>
      </c>
      <c r="E2623" t="inlineStr">
        <is>
          <t>LINDESBERG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44677-2021</t>
        </is>
      </c>
      <c r="B2624" s="1" t="n">
        <v>44438</v>
      </c>
      <c r="C2624" s="1" t="n">
        <v>45797</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44735-2021</t>
        </is>
      </c>
      <c r="B2625" s="1" t="n">
        <v>44438</v>
      </c>
      <c r="C2625" s="1" t="n">
        <v>45797</v>
      </c>
      <c r="D2625" t="inlineStr">
        <is>
          <t>ÖREBRO LÄN</t>
        </is>
      </c>
      <c r="E2625" t="inlineStr">
        <is>
          <t>DEGERFORS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44788-2021</t>
        </is>
      </c>
      <c r="B2626" s="1" t="n">
        <v>44438</v>
      </c>
      <c r="C2626" s="1" t="n">
        <v>45797</v>
      </c>
      <c r="D2626" t="inlineStr">
        <is>
          <t>ÖREBRO LÄN</t>
        </is>
      </c>
      <c r="E2626" t="inlineStr">
        <is>
          <t>LJUSNARSBERG</t>
        </is>
      </c>
      <c r="F2626" t="inlineStr">
        <is>
          <t>Bergvik skog väst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44723-2021</t>
        </is>
      </c>
      <c r="B2627" s="1" t="n">
        <v>44438</v>
      </c>
      <c r="C2627" s="1" t="n">
        <v>45797</v>
      </c>
      <c r="D2627" t="inlineStr">
        <is>
          <t>ÖREBRO LÄN</t>
        </is>
      </c>
      <c r="E2627" t="inlineStr">
        <is>
          <t>KARLSKOGA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44807-2021</t>
        </is>
      </c>
      <c r="B2628" s="1" t="n">
        <v>44438</v>
      </c>
      <c r="C2628" s="1" t="n">
        <v>45797</v>
      </c>
      <c r="D2628" t="inlineStr">
        <is>
          <t>ÖREBRO LÄN</t>
        </is>
      </c>
      <c r="E2628" t="inlineStr">
        <is>
          <t>LJUSNARSBERG</t>
        </is>
      </c>
      <c r="F2628" t="inlineStr">
        <is>
          <t>Bergvik skog väst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44850-2021</t>
        </is>
      </c>
      <c r="B2629" s="1" t="n">
        <v>44438</v>
      </c>
      <c r="C2629" s="1" t="n">
        <v>45797</v>
      </c>
      <c r="D2629" t="inlineStr">
        <is>
          <t>ÖREBRO LÄN</t>
        </is>
      </c>
      <c r="E2629" t="inlineStr">
        <is>
          <t>LJUSNARSBERG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44972-2021</t>
        </is>
      </c>
      <c r="B2630" s="1" t="n">
        <v>44438</v>
      </c>
      <c r="C2630" s="1" t="n">
        <v>45797</v>
      </c>
      <c r="D2630" t="inlineStr">
        <is>
          <t>ÖREBRO LÄN</t>
        </is>
      </c>
      <c r="E2630" t="inlineStr">
        <is>
          <t>ASKERSUND</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44976-2021</t>
        </is>
      </c>
      <c r="B2631" s="1" t="n">
        <v>44438</v>
      </c>
      <c r="C2631" s="1" t="n">
        <v>45797</v>
      </c>
      <c r="D2631" t="inlineStr">
        <is>
          <t>ÖREBRO LÄN</t>
        </is>
      </c>
      <c r="E2631" t="inlineStr">
        <is>
          <t>ASKERSUND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44905-2021</t>
        </is>
      </c>
      <c r="B2632" s="1" t="n">
        <v>44438</v>
      </c>
      <c r="C2632" s="1" t="n">
        <v>45797</v>
      </c>
      <c r="D2632" t="inlineStr">
        <is>
          <t>ÖREBRO LÄN</t>
        </is>
      </c>
      <c r="E2632" t="inlineStr">
        <is>
          <t>HÄLLEFORS</t>
        </is>
      </c>
      <c r="F2632" t="inlineStr">
        <is>
          <t>Sveaskog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44858-2021</t>
        </is>
      </c>
      <c r="B2633" s="1" t="n">
        <v>44438</v>
      </c>
      <c r="C2633" s="1" t="n">
        <v>45797</v>
      </c>
      <c r="D2633" t="inlineStr">
        <is>
          <t>ÖREBRO LÄN</t>
        </is>
      </c>
      <c r="E2633" t="inlineStr">
        <is>
          <t>LJUSNARSBERG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44938-2021</t>
        </is>
      </c>
      <c r="B2634" s="1" t="n">
        <v>44438</v>
      </c>
      <c r="C2634" s="1" t="n">
        <v>45797</v>
      </c>
      <c r="D2634" t="inlineStr">
        <is>
          <t>ÖREBRO LÄN</t>
        </is>
      </c>
      <c r="E2634" t="inlineStr">
        <is>
          <t>ASKERSUND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44978-2021</t>
        </is>
      </c>
      <c r="B2635" s="1" t="n">
        <v>44438</v>
      </c>
      <c r="C2635" s="1" t="n">
        <v>45797</v>
      </c>
      <c r="D2635" t="inlineStr">
        <is>
          <t>ÖREBRO LÄN</t>
        </is>
      </c>
      <c r="E2635" t="inlineStr">
        <is>
          <t>ASKERSUND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45117-2021</t>
        </is>
      </c>
      <c r="B2636" s="1" t="n">
        <v>44439</v>
      </c>
      <c r="C2636" s="1" t="n">
        <v>45797</v>
      </c>
      <c r="D2636" t="inlineStr">
        <is>
          <t>ÖREBRO LÄN</t>
        </is>
      </c>
      <c r="E2636" t="inlineStr">
        <is>
          <t>KARLSKOGA</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45324-2021</t>
        </is>
      </c>
      <c r="B2637" s="1" t="n">
        <v>44439</v>
      </c>
      <c r="C2637" s="1" t="n">
        <v>45797</v>
      </c>
      <c r="D2637" t="inlineStr">
        <is>
          <t>ÖREBRO LÄN</t>
        </is>
      </c>
      <c r="E2637" t="inlineStr">
        <is>
          <t>LINDESBERG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45495-2021</t>
        </is>
      </c>
      <c r="B2638" s="1" t="n">
        <v>44440</v>
      </c>
      <c r="C2638" s="1" t="n">
        <v>45797</v>
      </c>
      <c r="D2638" t="inlineStr">
        <is>
          <t>ÖREBRO LÄN</t>
        </is>
      </c>
      <c r="E2638" t="inlineStr">
        <is>
          <t>KUMLA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45797-2021</t>
        </is>
      </c>
      <c r="B2639" s="1" t="n">
        <v>44441</v>
      </c>
      <c r="C2639" s="1" t="n">
        <v>45797</v>
      </c>
      <c r="D2639" t="inlineStr">
        <is>
          <t>ÖREBRO LÄN</t>
        </is>
      </c>
      <c r="E2639" t="inlineStr">
        <is>
          <t>LJUSNARSBERG</t>
        </is>
      </c>
      <c r="G2639" t="n">
        <v>9.9</v>
      </c>
      <c r="H2639" t="n">
        <v>0</v>
      </c>
      <c r="I2639" t="n">
        <v>0</v>
      </c>
      <c r="J2639" t="n">
        <v>0</v>
      </c>
      <c r="K2639" t="n">
        <v>0</v>
      </c>
      <c r="L2639" t="n">
        <v>0</v>
      </c>
      <c r="M2639" t="n">
        <v>0</v>
      </c>
      <c r="N2639" t="n">
        <v>0</v>
      </c>
      <c r="O2639" t="n">
        <v>0</v>
      </c>
      <c r="P2639" t="n">
        <v>0</v>
      </c>
      <c r="Q2639" t="n">
        <v>0</v>
      </c>
      <c r="R2639" s="2" t="inlineStr"/>
    </row>
    <row r="2640" ht="15" customHeight="1">
      <c r="A2640" t="inlineStr">
        <is>
          <t>A 45859-2021</t>
        </is>
      </c>
      <c r="B2640" s="1" t="n">
        <v>44441</v>
      </c>
      <c r="C2640" s="1" t="n">
        <v>45797</v>
      </c>
      <c r="D2640" t="inlineStr">
        <is>
          <t>ÖREBRO LÄN</t>
        </is>
      </c>
      <c r="E2640" t="inlineStr">
        <is>
          <t>LJUSNARSBERG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45961-2021</t>
        </is>
      </c>
      <c r="B2641" s="1" t="n">
        <v>44441</v>
      </c>
      <c r="C2641" s="1" t="n">
        <v>45797</v>
      </c>
      <c r="D2641" t="inlineStr">
        <is>
          <t>ÖREBRO LÄN</t>
        </is>
      </c>
      <c r="E2641" t="inlineStr">
        <is>
          <t>LINDESBERG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45978-2021</t>
        </is>
      </c>
      <c r="B2642" s="1" t="n">
        <v>44441</v>
      </c>
      <c r="C2642" s="1" t="n">
        <v>45797</v>
      </c>
      <c r="D2642" t="inlineStr">
        <is>
          <t>ÖREBRO LÄN</t>
        </is>
      </c>
      <c r="E2642" t="inlineStr">
        <is>
          <t>LINDESBERG</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46134-2021</t>
        </is>
      </c>
      <c r="B2643" s="1" t="n">
        <v>44441</v>
      </c>
      <c r="C2643" s="1" t="n">
        <v>45797</v>
      </c>
      <c r="D2643" t="inlineStr">
        <is>
          <t>ÖREBRO LÄN</t>
        </is>
      </c>
      <c r="E2643" t="inlineStr">
        <is>
          <t>LAXÅ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46263-2021</t>
        </is>
      </c>
      <c r="B2644" s="1" t="n">
        <v>44442</v>
      </c>
      <c r="C2644" s="1" t="n">
        <v>45797</v>
      </c>
      <c r="D2644" t="inlineStr">
        <is>
          <t>ÖREBRO LÄN</t>
        </is>
      </c>
      <c r="E2644" t="inlineStr">
        <is>
          <t>LJUSNARSBERG</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46174-2021</t>
        </is>
      </c>
      <c r="B2645" s="1" t="n">
        <v>44442</v>
      </c>
      <c r="C2645" s="1" t="n">
        <v>45797</v>
      </c>
      <c r="D2645" t="inlineStr">
        <is>
          <t>ÖREBRO LÄN</t>
        </is>
      </c>
      <c r="E2645" t="inlineStr">
        <is>
          <t>ASKERSUND</t>
        </is>
      </c>
      <c r="G2645" t="n">
        <v>15.7</v>
      </c>
      <c r="H2645" t="n">
        <v>0</v>
      </c>
      <c r="I2645" t="n">
        <v>0</v>
      </c>
      <c r="J2645" t="n">
        <v>0</v>
      </c>
      <c r="K2645" t="n">
        <v>0</v>
      </c>
      <c r="L2645" t="n">
        <v>0</v>
      </c>
      <c r="M2645" t="n">
        <v>0</v>
      </c>
      <c r="N2645" t="n">
        <v>0</v>
      </c>
      <c r="O2645" t="n">
        <v>0</v>
      </c>
      <c r="P2645" t="n">
        <v>0</v>
      </c>
      <c r="Q2645" t="n">
        <v>0</v>
      </c>
      <c r="R2645" s="2" t="inlineStr"/>
    </row>
    <row r="2646" ht="15" customHeight="1">
      <c r="A2646" t="inlineStr">
        <is>
          <t>A 46335-2021</t>
        </is>
      </c>
      <c r="B2646" s="1" t="n">
        <v>44442</v>
      </c>
      <c r="C2646" s="1" t="n">
        <v>45797</v>
      </c>
      <c r="D2646" t="inlineStr">
        <is>
          <t>ÖREBRO LÄN</t>
        </is>
      </c>
      <c r="E2646" t="inlineStr">
        <is>
          <t>HÄLLEFORS</t>
        </is>
      </c>
      <c r="F2646" t="inlineStr">
        <is>
          <t>Bergvik skog väst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46280-2021</t>
        </is>
      </c>
      <c r="B2647" s="1" t="n">
        <v>44442</v>
      </c>
      <c r="C2647" s="1" t="n">
        <v>45797</v>
      </c>
      <c r="D2647" t="inlineStr">
        <is>
          <t>ÖREBRO LÄN</t>
        </is>
      </c>
      <c r="E2647" t="inlineStr">
        <is>
          <t>HÄLLEFORS</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46398-2021</t>
        </is>
      </c>
      <c r="B2648" s="1" t="n">
        <v>44443</v>
      </c>
      <c r="C2648" s="1" t="n">
        <v>45797</v>
      </c>
      <c r="D2648" t="inlineStr">
        <is>
          <t>ÖREBRO LÄN</t>
        </is>
      </c>
      <c r="E2648" t="inlineStr">
        <is>
          <t>LEKEBERG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46400-2021</t>
        </is>
      </c>
      <c r="B2649" s="1" t="n">
        <v>44443</v>
      </c>
      <c r="C2649" s="1" t="n">
        <v>45797</v>
      </c>
      <c r="D2649" t="inlineStr">
        <is>
          <t>ÖREBRO LÄN</t>
        </is>
      </c>
      <c r="E2649" t="inlineStr">
        <is>
          <t>LEKEBERG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46397-2021</t>
        </is>
      </c>
      <c r="B2650" s="1" t="n">
        <v>44443</v>
      </c>
      <c r="C2650" s="1" t="n">
        <v>45797</v>
      </c>
      <c r="D2650" t="inlineStr">
        <is>
          <t>ÖREBRO LÄN</t>
        </is>
      </c>
      <c r="E2650" t="inlineStr">
        <is>
          <t>LEKEBERG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46410-2021</t>
        </is>
      </c>
      <c r="B2651" s="1" t="n">
        <v>44444</v>
      </c>
      <c r="C2651" s="1" t="n">
        <v>45797</v>
      </c>
      <c r="D2651" t="inlineStr">
        <is>
          <t>ÖREBRO LÄN</t>
        </is>
      </c>
      <c r="E2651" t="inlineStr">
        <is>
          <t>NORA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46487-2021</t>
        </is>
      </c>
      <c r="B2652" s="1" t="n">
        <v>44445</v>
      </c>
      <c r="C2652" s="1" t="n">
        <v>45797</v>
      </c>
      <c r="D2652" t="inlineStr">
        <is>
          <t>ÖREBRO LÄN</t>
        </is>
      </c>
      <c r="E2652" t="inlineStr">
        <is>
          <t>LAXÅ</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46614-2021</t>
        </is>
      </c>
      <c r="B2653" s="1" t="n">
        <v>44445</v>
      </c>
      <c r="C2653" s="1" t="n">
        <v>45797</v>
      </c>
      <c r="D2653" t="inlineStr">
        <is>
          <t>ÖREBRO LÄN</t>
        </is>
      </c>
      <c r="E2653" t="inlineStr">
        <is>
          <t>LINDESBERG</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46603-2021</t>
        </is>
      </c>
      <c r="B2654" s="1" t="n">
        <v>44445</v>
      </c>
      <c r="C2654" s="1" t="n">
        <v>45797</v>
      </c>
      <c r="D2654" t="inlineStr">
        <is>
          <t>ÖREBRO LÄN</t>
        </is>
      </c>
      <c r="E2654" t="inlineStr">
        <is>
          <t>LINDESBERG</t>
        </is>
      </c>
      <c r="F2654" t="inlineStr">
        <is>
          <t>Sveaskog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46570-2021</t>
        </is>
      </c>
      <c r="B2655" s="1" t="n">
        <v>44445</v>
      </c>
      <c r="C2655" s="1" t="n">
        <v>45797</v>
      </c>
      <c r="D2655" t="inlineStr">
        <is>
          <t>ÖREBRO LÄN</t>
        </is>
      </c>
      <c r="E2655" t="inlineStr">
        <is>
          <t>LINDESBERG</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46484-2021</t>
        </is>
      </c>
      <c r="B2656" s="1" t="n">
        <v>44445</v>
      </c>
      <c r="C2656" s="1" t="n">
        <v>45797</v>
      </c>
      <c r="D2656" t="inlineStr">
        <is>
          <t>ÖREBRO LÄN</t>
        </is>
      </c>
      <c r="E2656" t="inlineStr">
        <is>
          <t>LAXÅ</t>
        </is>
      </c>
      <c r="F2656" t="inlineStr">
        <is>
          <t>Sveaskog</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46544-2021</t>
        </is>
      </c>
      <c r="B2657" s="1" t="n">
        <v>44445</v>
      </c>
      <c r="C2657" s="1" t="n">
        <v>45797</v>
      </c>
      <c r="D2657" t="inlineStr">
        <is>
          <t>ÖREBRO LÄN</t>
        </is>
      </c>
      <c r="E2657" t="inlineStr">
        <is>
          <t>NORA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46605-2021</t>
        </is>
      </c>
      <c r="B2658" s="1" t="n">
        <v>44445</v>
      </c>
      <c r="C2658" s="1" t="n">
        <v>45797</v>
      </c>
      <c r="D2658" t="inlineStr">
        <is>
          <t>ÖREBRO LÄN</t>
        </is>
      </c>
      <c r="E2658" t="inlineStr">
        <is>
          <t>KARLSKOGA</t>
        </is>
      </c>
      <c r="F2658" t="inlineStr">
        <is>
          <t>Sveaskog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46593-2021</t>
        </is>
      </c>
      <c r="B2659" s="1" t="n">
        <v>44445</v>
      </c>
      <c r="C2659" s="1" t="n">
        <v>45797</v>
      </c>
      <c r="D2659" t="inlineStr">
        <is>
          <t>ÖREBRO LÄN</t>
        </is>
      </c>
      <c r="E2659" t="inlineStr">
        <is>
          <t>LINDESBERG</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46607-2021</t>
        </is>
      </c>
      <c r="B2660" s="1" t="n">
        <v>44445</v>
      </c>
      <c r="C2660" s="1" t="n">
        <v>45797</v>
      </c>
      <c r="D2660" t="inlineStr">
        <is>
          <t>ÖREBRO LÄN</t>
        </is>
      </c>
      <c r="E2660" t="inlineStr">
        <is>
          <t>LINDESBERG</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46620-2021</t>
        </is>
      </c>
      <c r="B2661" s="1" t="n">
        <v>44445</v>
      </c>
      <c r="C2661" s="1" t="n">
        <v>45797</v>
      </c>
      <c r="D2661" t="inlineStr">
        <is>
          <t>ÖREBRO LÄN</t>
        </is>
      </c>
      <c r="E2661" t="inlineStr">
        <is>
          <t>LINDESBERG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46630-2021</t>
        </is>
      </c>
      <c r="B2662" s="1" t="n">
        <v>44445</v>
      </c>
      <c r="C2662" s="1" t="n">
        <v>45797</v>
      </c>
      <c r="D2662" t="inlineStr">
        <is>
          <t>ÖREBRO LÄN</t>
        </is>
      </c>
      <c r="E2662" t="inlineStr">
        <is>
          <t>ASKERSUND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46757-2021</t>
        </is>
      </c>
      <c r="B2663" s="1" t="n">
        <v>44445</v>
      </c>
      <c r="C2663" s="1" t="n">
        <v>45797</v>
      </c>
      <c r="D2663" t="inlineStr">
        <is>
          <t>ÖREBRO LÄN</t>
        </is>
      </c>
      <c r="E2663" t="inlineStr">
        <is>
          <t>ÖREBRO</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47044-2021</t>
        </is>
      </c>
      <c r="B2664" s="1" t="n">
        <v>44446</v>
      </c>
      <c r="C2664" s="1" t="n">
        <v>45797</v>
      </c>
      <c r="D2664" t="inlineStr">
        <is>
          <t>ÖREBRO LÄN</t>
        </is>
      </c>
      <c r="E2664" t="inlineStr">
        <is>
          <t>LINDESBERG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47061-2021</t>
        </is>
      </c>
      <c r="B2665" s="1" t="n">
        <v>44446</v>
      </c>
      <c r="C2665" s="1" t="n">
        <v>45797</v>
      </c>
      <c r="D2665" t="inlineStr">
        <is>
          <t>ÖREBRO LÄN</t>
        </is>
      </c>
      <c r="E2665" t="inlineStr">
        <is>
          <t>LINDESBERG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46954-2021</t>
        </is>
      </c>
      <c r="B2666" s="1" t="n">
        <v>44446</v>
      </c>
      <c r="C2666" s="1" t="n">
        <v>45797</v>
      </c>
      <c r="D2666" t="inlineStr">
        <is>
          <t>ÖREBRO LÄN</t>
        </is>
      </c>
      <c r="E2666" t="inlineStr">
        <is>
          <t>ASKERSUND</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46966-2021</t>
        </is>
      </c>
      <c r="B2667" s="1" t="n">
        <v>44446</v>
      </c>
      <c r="C2667" s="1" t="n">
        <v>45797</v>
      </c>
      <c r="D2667" t="inlineStr">
        <is>
          <t>ÖREBRO LÄN</t>
        </is>
      </c>
      <c r="E2667" t="inlineStr">
        <is>
          <t>ASKERSUND</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47130-2021</t>
        </is>
      </c>
      <c r="B2668" s="1" t="n">
        <v>44446</v>
      </c>
      <c r="C2668" s="1" t="n">
        <v>45797</v>
      </c>
      <c r="D2668" t="inlineStr">
        <is>
          <t>ÖREBRO LÄN</t>
        </is>
      </c>
      <c r="E2668" t="inlineStr">
        <is>
          <t>ÖREBRO</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47336-2021</t>
        </is>
      </c>
      <c r="B2669" s="1" t="n">
        <v>44447</v>
      </c>
      <c r="C2669" s="1" t="n">
        <v>45797</v>
      </c>
      <c r="D2669" t="inlineStr">
        <is>
          <t>ÖREBRO LÄN</t>
        </is>
      </c>
      <c r="E2669" t="inlineStr">
        <is>
          <t>LINDESBERG</t>
        </is>
      </c>
      <c r="F2669" t="inlineStr">
        <is>
          <t>Kommuner</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47400-2021</t>
        </is>
      </c>
      <c r="B2670" s="1" t="n">
        <v>44447</v>
      </c>
      <c r="C2670" s="1" t="n">
        <v>45797</v>
      </c>
      <c r="D2670" t="inlineStr">
        <is>
          <t>ÖREBRO LÄN</t>
        </is>
      </c>
      <c r="E2670" t="inlineStr">
        <is>
          <t>LINDESBERG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47425-2021</t>
        </is>
      </c>
      <c r="B2671" s="1" t="n">
        <v>44447</v>
      </c>
      <c r="C2671" s="1" t="n">
        <v>45797</v>
      </c>
      <c r="D2671" t="inlineStr">
        <is>
          <t>ÖREBRO LÄN</t>
        </is>
      </c>
      <c r="E2671" t="inlineStr">
        <is>
          <t>LINDESBERG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47517-2021</t>
        </is>
      </c>
      <c r="B2672" s="1" t="n">
        <v>44447</v>
      </c>
      <c r="C2672" s="1" t="n">
        <v>45797</v>
      </c>
      <c r="D2672" t="inlineStr">
        <is>
          <t>ÖREBRO LÄN</t>
        </is>
      </c>
      <c r="E2672" t="inlineStr">
        <is>
          <t>ASKERSUND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47669-2021</t>
        </is>
      </c>
      <c r="B2673" s="1" t="n">
        <v>44448</v>
      </c>
      <c r="C2673" s="1" t="n">
        <v>45797</v>
      </c>
      <c r="D2673" t="inlineStr">
        <is>
          <t>ÖREBRO LÄN</t>
        </is>
      </c>
      <c r="E2673" t="inlineStr">
        <is>
          <t>KARLSKOGA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47597-2021</t>
        </is>
      </c>
      <c r="B2674" s="1" t="n">
        <v>44448</v>
      </c>
      <c r="C2674" s="1" t="n">
        <v>45797</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47794-2021</t>
        </is>
      </c>
      <c r="B2675" s="1" t="n">
        <v>44448</v>
      </c>
      <c r="C2675" s="1" t="n">
        <v>45797</v>
      </c>
      <c r="D2675" t="inlineStr">
        <is>
          <t>ÖREBRO LÄN</t>
        </is>
      </c>
      <c r="E2675" t="inlineStr">
        <is>
          <t>NORA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47788-2021</t>
        </is>
      </c>
      <c r="B2676" s="1" t="n">
        <v>44448</v>
      </c>
      <c r="C2676" s="1" t="n">
        <v>45797</v>
      </c>
      <c r="D2676" t="inlineStr">
        <is>
          <t>ÖREBRO LÄN</t>
        </is>
      </c>
      <c r="E2676" t="inlineStr">
        <is>
          <t>NORA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47973-2021</t>
        </is>
      </c>
      <c r="B2677" s="1" t="n">
        <v>44449</v>
      </c>
      <c r="C2677" s="1" t="n">
        <v>45797</v>
      </c>
      <c r="D2677" t="inlineStr">
        <is>
          <t>ÖREBRO LÄN</t>
        </is>
      </c>
      <c r="E2677" t="inlineStr">
        <is>
          <t>ÖREBRO</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48089-2021</t>
        </is>
      </c>
      <c r="B2678" s="1" t="n">
        <v>44449</v>
      </c>
      <c r="C2678" s="1" t="n">
        <v>45797</v>
      </c>
      <c r="D2678" t="inlineStr">
        <is>
          <t>ÖREBRO LÄN</t>
        </is>
      </c>
      <c r="E2678" t="inlineStr">
        <is>
          <t>ASKERSUND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48105-2021</t>
        </is>
      </c>
      <c r="B2679" s="1" t="n">
        <v>44449</v>
      </c>
      <c r="C2679" s="1" t="n">
        <v>45797</v>
      </c>
      <c r="D2679" t="inlineStr">
        <is>
          <t>ÖREBRO LÄN</t>
        </is>
      </c>
      <c r="E2679" t="inlineStr">
        <is>
          <t>NORA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48154-2021</t>
        </is>
      </c>
      <c r="B2680" s="1" t="n">
        <v>44449</v>
      </c>
      <c r="C2680" s="1" t="n">
        <v>45797</v>
      </c>
      <c r="D2680" t="inlineStr">
        <is>
          <t>ÖREBRO LÄN</t>
        </is>
      </c>
      <c r="E2680" t="inlineStr">
        <is>
          <t>LINDESBERG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48216-2021</t>
        </is>
      </c>
      <c r="B2681" s="1" t="n">
        <v>44449</v>
      </c>
      <c r="C2681" s="1" t="n">
        <v>45797</v>
      </c>
      <c r="D2681" t="inlineStr">
        <is>
          <t>ÖREBRO LÄN</t>
        </is>
      </c>
      <c r="E2681" t="inlineStr">
        <is>
          <t>LAXÅ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48265-2021</t>
        </is>
      </c>
      <c r="B2682" s="1" t="n">
        <v>44449</v>
      </c>
      <c r="C2682" s="1" t="n">
        <v>45797</v>
      </c>
      <c r="D2682" t="inlineStr">
        <is>
          <t>ÖREBRO LÄN</t>
        </is>
      </c>
      <c r="E2682" t="inlineStr">
        <is>
          <t>LINDESBERG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48409-2021</t>
        </is>
      </c>
      <c r="B2683" s="1" t="n">
        <v>44449</v>
      </c>
      <c r="C2683" s="1" t="n">
        <v>45797</v>
      </c>
      <c r="D2683" t="inlineStr">
        <is>
          <t>ÖREBRO LÄN</t>
        </is>
      </c>
      <c r="E2683" t="inlineStr">
        <is>
          <t>ASKERSUND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48268-2021</t>
        </is>
      </c>
      <c r="B2684" s="1" t="n">
        <v>44449</v>
      </c>
      <c r="C2684" s="1" t="n">
        <v>45797</v>
      </c>
      <c r="D2684" t="inlineStr">
        <is>
          <t>ÖREBRO LÄN</t>
        </is>
      </c>
      <c r="E2684" t="inlineStr">
        <is>
          <t>LEKEBERG</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48428-2021</t>
        </is>
      </c>
      <c r="B2685" s="1" t="n">
        <v>44449</v>
      </c>
      <c r="C2685" s="1" t="n">
        <v>45797</v>
      </c>
      <c r="D2685" t="inlineStr">
        <is>
          <t>ÖREBRO LÄN</t>
        </is>
      </c>
      <c r="E2685" t="inlineStr">
        <is>
          <t>ASKERSUND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48270-2021</t>
        </is>
      </c>
      <c r="B2686" s="1" t="n">
        <v>44449</v>
      </c>
      <c r="C2686" s="1" t="n">
        <v>45797</v>
      </c>
      <c r="D2686" t="inlineStr">
        <is>
          <t>ÖREBRO LÄN</t>
        </is>
      </c>
      <c r="E2686" t="inlineStr">
        <is>
          <t>LEKEBERG</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48296-2021</t>
        </is>
      </c>
      <c r="B2687" s="1" t="n">
        <v>44450</v>
      </c>
      <c r="C2687" s="1" t="n">
        <v>45797</v>
      </c>
      <c r="D2687" t="inlineStr">
        <is>
          <t>ÖREBRO LÄN</t>
        </is>
      </c>
      <c r="E2687" t="inlineStr">
        <is>
          <t>LEKEBERG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48365-2021</t>
        </is>
      </c>
      <c r="B2688" s="1" t="n">
        <v>44451</v>
      </c>
      <c r="C2688" s="1" t="n">
        <v>45797</v>
      </c>
      <c r="D2688" t="inlineStr">
        <is>
          <t>ÖREBRO LÄN</t>
        </is>
      </c>
      <c r="E2688" t="inlineStr">
        <is>
          <t>LINDESBERG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48363-2021</t>
        </is>
      </c>
      <c r="B2689" s="1" t="n">
        <v>44451</v>
      </c>
      <c r="C2689" s="1" t="n">
        <v>45797</v>
      </c>
      <c r="D2689" t="inlineStr">
        <is>
          <t>ÖREBRO LÄN</t>
        </is>
      </c>
      <c r="E2689" t="inlineStr">
        <is>
          <t>LINDESBERG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48463-2021</t>
        </is>
      </c>
      <c r="B2690" s="1" t="n">
        <v>44452</v>
      </c>
      <c r="C2690" s="1" t="n">
        <v>45797</v>
      </c>
      <c r="D2690" t="inlineStr">
        <is>
          <t>ÖREBRO LÄN</t>
        </is>
      </c>
      <c r="E2690" t="inlineStr">
        <is>
          <t>ASKERSUND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48458-2021</t>
        </is>
      </c>
      <c r="B2691" s="1" t="n">
        <v>44452</v>
      </c>
      <c r="C2691" s="1" t="n">
        <v>45797</v>
      </c>
      <c r="D2691" t="inlineStr">
        <is>
          <t>ÖREBRO LÄN</t>
        </is>
      </c>
      <c r="E2691" t="inlineStr">
        <is>
          <t>ASKERSUND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48744-2021</t>
        </is>
      </c>
      <c r="B2692" s="1" t="n">
        <v>44452</v>
      </c>
      <c r="C2692" s="1" t="n">
        <v>45797</v>
      </c>
      <c r="D2692" t="inlineStr">
        <is>
          <t>ÖREBRO LÄN</t>
        </is>
      </c>
      <c r="E2692" t="inlineStr">
        <is>
          <t>LJUSNARSBERG</t>
        </is>
      </c>
      <c r="F2692" t="inlineStr">
        <is>
          <t>Bergvik skog väst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48694-2021</t>
        </is>
      </c>
      <c r="B2693" s="1" t="n">
        <v>44452</v>
      </c>
      <c r="C2693" s="1" t="n">
        <v>45797</v>
      </c>
      <c r="D2693" t="inlineStr">
        <is>
          <t>ÖREBRO LÄN</t>
        </is>
      </c>
      <c r="E2693" t="inlineStr">
        <is>
          <t>ASKERSUND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48716-2021</t>
        </is>
      </c>
      <c r="B2694" s="1" t="n">
        <v>44452</v>
      </c>
      <c r="C2694" s="1" t="n">
        <v>45797</v>
      </c>
      <c r="D2694" t="inlineStr">
        <is>
          <t>ÖREBRO LÄN</t>
        </is>
      </c>
      <c r="E2694" t="inlineStr">
        <is>
          <t>KARLSKOGA</t>
        </is>
      </c>
      <c r="F2694" t="inlineStr">
        <is>
          <t>Sveaskog</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48710-2021</t>
        </is>
      </c>
      <c r="B2695" s="1" t="n">
        <v>44452</v>
      </c>
      <c r="C2695" s="1" t="n">
        <v>45797</v>
      </c>
      <c r="D2695" t="inlineStr">
        <is>
          <t>ÖREBRO LÄN</t>
        </is>
      </c>
      <c r="E2695" t="inlineStr">
        <is>
          <t>KARLSKOGA</t>
        </is>
      </c>
      <c r="F2695" t="inlineStr">
        <is>
          <t>Sveaskog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48724-2021</t>
        </is>
      </c>
      <c r="B2696" s="1" t="n">
        <v>44452</v>
      </c>
      <c r="C2696" s="1" t="n">
        <v>45797</v>
      </c>
      <c r="D2696" t="inlineStr">
        <is>
          <t>ÖREBRO LÄN</t>
        </is>
      </c>
      <c r="E2696" t="inlineStr">
        <is>
          <t>KARLSKOGA</t>
        </is>
      </c>
      <c r="F2696" t="inlineStr">
        <is>
          <t>Sveaskog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48720-2021</t>
        </is>
      </c>
      <c r="B2697" s="1" t="n">
        <v>44452</v>
      </c>
      <c r="C2697" s="1" t="n">
        <v>45797</v>
      </c>
      <c r="D2697" t="inlineStr">
        <is>
          <t>ÖREBRO LÄN</t>
        </is>
      </c>
      <c r="E2697" t="inlineStr">
        <is>
          <t>KARLSKOGA</t>
        </is>
      </c>
      <c r="F2697" t="inlineStr">
        <is>
          <t>Sveaskog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48803-2021</t>
        </is>
      </c>
      <c r="B2698" s="1" t="n">
        <v>44452</v>
      </c>
      <c r="C2698" s="1" t="n">
        <v>45797</v>
      </c>
      <c r="D2698" t="inlineStr">
        <is>
          <t>ÖREBRO LÄN</t>
        </is>
      </c>
      <c r="E2698" t="inlineStr">
        <is>
          <t>LINDESBERG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48939-2021</t>
        </is>
      </c>
      <c r="B2699" s="1" t="n">
        <v>44453</v>
      </c>
      <c r="C2699" s="1" t="n">
        <v>45797</v>
      </c>
      <c r="D2699" t="inlineStr">
        <is>
          <t>ÖREBRO LÄN</t>
        </is>
      </c>
      <c r="E2699" t="inlineStr">
        <is>
          <t>LINDESBERG</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48961-2021</t>
        </is>
      </c>
      <c r="B2700" s="1" t="n">
        <v>44453</v>
      </c>
      <c r="C2700" s="1" t="n">
        <v>45797</v>
      </c>
      <c r="D2700" t="inlineStr">
        <is>
          <t>ÖREBRO LÄN</t>
        </is>
      </c>
      <c r="E2700" t="inlineStr">
        <is>
          <t>NORA</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48979-2021</t>
        </is>
      </c>
      <c r="B2701" s="1" t="n">
        <v>44453</v>
      </c>
      <c r="C2701" s="1" t="n">
        <v>45797</v>
      </c>
      <c r="D2701" t="inlineStr">
        <is>
          <t>ÖREBRO LÄN</t>
        </is>
      </c>
      <c r="E2701" t="inlineStr">
        <is>
          <t>LINDESBERG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49016-2021</t>
        </is>
      </c>
      <c r="B2702" s="1" t="n">
        <v>44453</v>
      </c>
      <c r="C2702" s="1" t="n">
        <v>45797</v>
      </c>
      <c r="D2702" t="inlineStr">
        <is>
          <t>ÖREBRO LÄN</t>
        </is>
      </c>
      <c r="E2702" t="inlineStr">
        <is>
          <t>ÖREBRO</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48960-2021</t>
        </is>
      </c>
      <c r="B2703" s="1" t="n">
        <v>44453</v>
      </c>
      <c r="C2703" s="1" t="n">
        <v>45797</v>
      </c>
      <c r="D2703" t="inlineStr">
        <is>
          <t>ÖREBRO LÄN</t>
        </is>
      </c>
      <c r="E2703" t="inlineStr">
        <is>
          <t>NORA</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49135-2021</t>
        </is>
      </c>
      <c r="B2704" s="1" t="n">
        <v>44453</v>
      </c>
      <c r="C2704" s="1" t="n">
        <v>45797</v>
      </c>
      <c r="D2704" t="inlineStr">
        <is>
          <t>ÖREBRO LÄN</t>
        </is>
      </c>
      <c r="E2704" t="inlineStr">
        <is>
          <t>NORA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49154-2021</t>
        </is>
      </c>
      <c r="B2705" s="1" t="n">
        <v>44453</v>
      </c>
      <c r="C2705" s="1" t="n">
        <v>45797</v>
      </c>
      <c r="D2705" t="inlineStr">
        <is>
          <t>ÖREBRO LÄN</t>
        </is>
      </c>
      <c r="E2705" t="inlineStr">
        <is>
          <t>HÄLLEFORS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49363-2021</t>
        </is>
      </c>
      <c r="B2706" s="1" t="n">
        <v>44453</v>
      </c>
      <c r="C2706" s="1" t="n">
        <v>45797</v>
      </c>
      <c r="D2706" t="inlineStr">
        <is>
          <t>ÖREBRO LÄN</t>
        </is>
      </c>
      <c r="E2706" t="inlineStr">
        <is>
          <t>KARLSKOGA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49998-2021</t>
        </is>
      </c>
      <c r="B2707" s="1" t="n">
        <v>44453</v>
      </c>
      <c r="C2707" s="1" t="n">
        <v>45797</v>
      </c>
      <c r="D2707" t="inlineStr">
        <is>
          <t>ÖREBRO LÄN</t>
        </is>
      </c>
      <c r="E2707" t="inlineStr">
        <is>
          <t>KARLSKOGA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49308-2021</t>
        </is>
      </c>
      <c r="B2708" s="1" t="n">
        <v>44454</v>
      </c>
      <c r="C2708" s="1" t="n">
        <v>45797</v>
      </c>
      <c r="D2708" t="inlineStr">
        <is>
          <t>ÖREBRO LÄN</t>
        </is>
      </c>
      <c r="E2708" t="inlineStr">
        <is>
          <t>ASKERSUND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49616-2021</t>
        </is>
      </c>
      <c r="B2709" s="1" t="n">
        <v>44455</v>
      </c>
      <c r="C2709" s="1" t="n">
        <v>45797</v>
      </c>
      <c r="D2709" t="inlineStr">
        <is>
          <t>ÖREBRO LÄN</t>
        </is>
      </c>
      <c r="E2709" t="inlineStr">
        <is>
          <t>KUMLA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49974-2021</t>
        </is>
      </c>
      <c r="B2710" s="1" t="n">
        <v>44456</v>
      </c>
      <c r="C2710" s="1" t="n">
        <v>45797</v>
      </c>
      <c r="D2710" t="inlineStr">
        <is>
          <t>ÖREBRO LÄN</t>
        </is>
      </c>
      <c r="E2710" t="inlineStr">
        <is>
          <t>LAXÅ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50005-2021</t>
        </is>
      </c>
      <c r="B2711" s="1" t="n">
        <v>44456</v>
      </c>
      <c r="C2711" s="1" t="n">
        <v>45797</v>
      </c>
      <c r="D2711" t="inlineStr">
        <is>
          <t>ÖREBRO LÄN</t>
        </is>
      </c>
      <c r="E2711" t="inlineStr">
        <is>
          <t>LAXÅ</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50014-2021</t>
        </is>
      </c>
      <c r="B2712" s="1" t="n">
        <v>44456</v>
      </c>
      <c r="C2712" s="1" t="n">
        <v>45797</v>
      </c>
      <c r="D2712" t="inlineStr">
        <is>
          <t>ÖREBRO LÄN</t>
        </is>
      </c>
      <c r="E2712" t="inlineStr">
        <is>
          <t>ASKERSUND</t>
        </is>
      </c>
      <c r="F2712" t="inlineStr">
        <is>
          <t>Sveaskog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50071-2021</t>
        </is>
      </c>
      <c r="B2713" s="1" t="n">
        <v>44456</v>
      </c>
      <c r="C2713" s="1" t="n">
        <v>45797</v>
      </c>
      <c r="D2713" t="inlineStr">
        <is>
          <t>ÖREBRO LÄN</t>
        </is>
      </c>
      <c r="E2713" t="inlineStr">
        <is>
          <t>NORA</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50137-2021</t>
        </is>
      </c>
      <c r="B2714" s="1" t="n">
        <v>44456</v>
      </c>
      <c r="C2714" s="1" t="n">
        <v>45797</v>
      </c>
      <c r="D2714" t="inlineStr">
        <is>
          <t>ÖREBRO LÄN</t>
        </is>
      </c>
      <c r="E2714" t="inlineStr">
        <is>
          <t>ASKERSUND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50069-2021</t>
        </is>
      </c>
      <c r="B2715" s="1" t="n">
        <v>44456</v>
      </c>
      <c r="C2715" s="1" t="n">
        <v>45797</v>
      </c>
      <c r="D2715" t="inlineStr">
        <is>
          <t>ÖREBRO LÄN</t>
        </is>
      </c>
      <c r="E2715" t="inlineStr">
        <is>
          <t>LINDESBERG</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50225-2021</t>
        </is>
      </c>
      <c r="B2716" s="1" t="n">
        <v>44457</v>
      </c>
      <c r="C2716" s="1" t="n">
        <v>45797</v>
      </c>
      <c r="D2716" t="inlineStr">
        <is>
          <t>ÖREBRO LÄN</t>
        </is>
      </c>
      <c r="E2716" t="inlineStr">
        <is>
          <t>LINDESBERG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50251-2021</t>
        </is>
      </c>
      <c r="B2717" s="1" t="n">
        <v>44458</v>
      </c>
      <c r="C2717" s="1" t="n">
        <v>45797</v>
      </c>
      <c r="D2717" t="inlineStr">
        <is>
          <t>ÖREBRO LÄN</t>
        </is>
      </c>
      <c r="E2717" t="inlineStr">
        <is>
          <t>ASKERSUND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50498-2021</t>
        </is>
      </c>
      <c r="B2718" s="1" t="n">
        <v>44459</v>
      </c>
      <c r="C2718" s="1" t="n">
        <v>45797</v>
      </c>
      <c r="D2718" t="inlineStr">
        <is>
          <t>ÖREBRO LÄN</t>
        </is>
      </c>
      <c r="E2718" t="inlineStr">
        <is>
          <t>LINDESBERG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50543-2021</t>
        </is>
      </c>
      <c r="B2719" s="1" t="n">
        <v>44459</v>
      </c>
      <c r="C2719" s="1" t="n">
        <v>45797</v>
      </c>
      <c r="D2719" t="inlineStr">
        <is>
          <t>ÖREBRO LÄN</t>
        </is>
      </c>
      <c r="E2719" t="inlineStr">
        <is>
          <t>LAXÅ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50559-2021</t>
        </is>
      </c>
      <c r="B2720" s="1" t="n">
        <v>44459</v>
      </c>
      <c r="C2720" s="1" t="n">
        <v>45797</v>
      </c>
      <c r="D2720" t="inlineStr">
        <is>
          <t>ÖREBRO LÄN</t>
        </is>
      </c>
      <c r="E2720" t="inlineStr">
        <is>
          <t>ASKERSUND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50991-2021</t>
        </is>
      </c>
      <c r="B2721" s="1" t="n">
        <v>44460</v>
      </c>
      <c r="C2721" s="1" t="n">
        <v>45797</v>
      </c>
      <c r="D2721" t="inlineStr">
        <is>
          <t>ÖREBRO LÄN</t>
        </is>
      </c>
      <c r="E2721" t="inlineStr">
        <is>
          <t>KARLSKOGA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51122-2021</t>
        </is>
      </c>
      <c r="B2722" s="1" t="n">
        <v>44460</v>
      </c>
      <c r="C2722" s="1" t="n">
        <v>45797</v>
      </c>
      <c r="D2722" t="inlineStr">
        <is>
          <t>ÖREBRO LÄN</t>
        </is>
      </c>
      <c r="E2722" t="inlineStr">
        <is>
          <t>LINDESBERG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51488-2021</t>
        </is>
      </c>
      <c r="B2723" s="1" t="n">
        <v>44460</v>
      </c>
      <c r="C2723" s="1" t="n">
        <v>45797</v>
      </c>
      <c r="D2723" t="inlineStr">
        <is>
          <t>ÖREBRO LÄN</t>
        </is>
      </c>
      <c r="E2723" t="inlineStr">
        <is>
          <t>HÄLLEFORS</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51186-2021</t>
        </is>
      </c>
      <c r="B2724" s="1" t="n">
        <v>44461</v>
      </c>
      <c r="C2724" s="1" t="n">
        <v>45797</v>
      </c>
      <c r="D2724" t="inlineStr">
        <is>
          <t>ÖREBRO LÄN</t>
        </is>
      </c>
      <c r="E2724" t="inlineStr">
        <is>
          <t>ASKERSUND</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51213-2021</t>
        </is>
      </c>
      <c r="B2725" s="1" t="n">
        <v>44461</v>
      </c>
      <c r="C2725" s="1" t="n">
        <v>45797</v>
      </c>
      <c r="D2725" t="inlineStr">
        <is>
          <t>ÖREBRO LÄN</t>
        </is>
      </c>
      <c r="E2725" t="inlineStr">
        <is>
          <t>ASKERSUND</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51239-2021</t>
        </is>
      </c>
      <c r="B2726" s="1" t="n">
        <v>44461</v>
      </c>
      <c r="C2726" s="1" t="n">
        <v>45797</v>
      </c>
      <c r="D2726" t="inlineStr">
        <is>
          <t>ÖREBRO LÄN</t>
        </is>
      </c>
      <c r="E2726" t="inlineStr">
        <is>
          <t>ASKERSUND</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51205-2021</t>
        </is>
      </c>
      <c r="B2727" s="1" t="n">
        <v>44461</v>
      </c>
      <c r="C2727" s="1" t="n">
        <v>45797</v>
      </c>
      <c r="D2727" t="inlineStr">
        <is>
          <t>ÖREBRO LÄN</t>
        </is>
      </c>
      <c r="E2727" t="inlineStr">
        <is>
          <t>ASKERSUND</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51227-2021</t>
        </is>
      </c>
      <c r="B2728" s="1" t="n">
        <v>44461</v>
      </c>
      <c r="C2728" s="1" t="n">
        <v>45797</v>
      </c>
      <c r="D2728" t="inlineStr">
        <is>
          <t>ÖREBRO LÄN</t>
        </is>
      </c>
      <c r="E2728" t="inlineStr">
        <is>
          <t>ASKERSUND</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51180-2021</t>
        </is>
      </c>
      <c r="B2729" s="1" t="n">
        <v>44461</v>
      </c>
      <c r="C2729" s="1" t="n">
        <v>45797</v>
      </c>
      <c r="D2729" t="inlineStr">
        <is>
          <t>ÖREBRO LÄN</t>
        </is>
      </c>
      <c r="E2729" t="inlineStr">
        <is>
          <t>ASKERSUND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51045-2021</t>
        </is>
      </c>
      <c r="B2730" s="1" t="n">
        <v>44461</v>
      </c>
      <c r="C2730" s="1" t="n">
        <v>45797</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51348-2021</t>
        </is>
      </c>
      <c r="B2731" s="1" t="n">
        <v>44461</v>
      </c>
      <c r="C2731" s="1" t="n">
        <v>45797</v>
      </c>
      <c r="D2731" t="inlineStr">
        <is>
          <t>ÖREBRO LÄN</t>
        </is>
      </c>
      <c r="E2731" t="inlineStr">
        <is>
          <t>ASKERSUND</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51429-2021</t>
        </is>
      </c>
      <c r="B2732" s="1" t="n">
        <v>44462</v>
      </c>
      <c r="C2732" s="1" t="n">
        <v>45797</v>
      </c>
      <c r="D2732" t="inlineStr">
        <is>
          <t>ÖREBRO LÄN</t>
        </is>
      </c>
      <c r="E2732" t="inlineStr">
        <is>
          <t>ÖREBRO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51468-2021</t>
        </is>
      </c>
      <c r="B2733" s="1" t="n">
        <v>44462</v>
      </c>
      <c r="C2733" s="1" t="n">
        <v>45797</v>
      </c>
      <c r="D2733" t="inlineStr">
        <is>
          <t>ÖREBRO LÄN</t>
        </is>
      </c>
      <c r="E2733" t="inlineStr">
        <is>
          <t>LINDESBERG</t>
        </is>
      </c>
      <c r="F2733" t="inlineStr">
        <is>
          <t>Kyrkan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51575-2021</t>
        </is>
      </c>
      <c r="B2734" s="1" t="n">
        <v>44462</v>
      </c>
      <c r="C2734" s="1" t="n">
        <v>45797</v>
      </c>
      <c r="D2734" t="inlineStr">
        <is>
          <t>ÖREBRO LÄN</t>
        </is>
      </c>
      <c r="E2734" t="inlineStr">
        <is>
          <t>LINDESBERG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51665-2021</t>
        </is>
      </c>
      <c r="B2735" s="1" t="n">
        <v>44462</v>
      </c>
      <c r="C2735" s="1" t="n">
        <v>45797</v>
      </c>
      <c r="D2735" t="inlineStr">
        <is>
          <t>ÖREBRO LÄN</t>
        </is>
      </c>
      <c r="E2735" t="inlineStr">
        <is>
          <t>LEKEBERG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51659-2021</t>
        </is>
      </c>
      <c r="B2736" s="1" t="n">
        <v>44462</v>
      </c>
      <c r="C2736" s="1" t="n">
        <v>45797</v>
      </c>
      <c r="D2736" t="inlineStr">
        <is>
          <t>ÖREBRO LÄN</t>
        </is>
      </c>
      <c r="E2736" t="inlineStr">
        <is>
          <t>LEKEBERG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52172-2021</t>
        </is>
      </c>
      <c r="B2737" s="1" t="n">
        <v>44462</v>
      </c>
      <c r="C2737" s="1" t="n">
        <v>45797</v>
      </c>
      <c r="D2737" t="inlineStr">
        <is>
          <t>ÖREBRO LÄN</t>
        </is>
      </c>
      <c r="E2737" t="inlineStr">
        <is>
          <t>HÄLLEFORS</t>
        </is>
      </c>
      <c r="F2737" t="inlineStr">
        <is>
          <t>Bergvik skog väst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52126-2021</t>
        </is>
      </c>
      <c r="B2738" s="1" t="n">
        <v>44463</v>
      </c>
      <c r="C2738" s="1" t="n">
        <v>45797</v>
      </c>
      <c r="D2738" t="inlineStr">
        <is>
          <t>ÖREBRO LÄN</t>
        </is>
      </c>
      <c r="E2738" t="inlineStr">
        <is>
          <t>DEGERFORS</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52187-2021</t>
        </is>
      </c>
      <c r="B2739" s="1" t="n">
        <v>44463</v>
      </c>
      <c r="C2739" s="1" t="n">
        <v>45797</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52131-2021</t>
        </is>
      </c>
      <c r="B2740" s="1" t="n">
        <v>44463</v>
      </c>
      <c r="C2740" s="1" t="n">
        <v>45797</v>
      </c>
      <c r="D2740" t="inlineStr">
        <is>
          <t>ÖREBRO LÄN</t>
        </is>
      </c>
      <c r="E2740" t="inlineStr">
        <is>
          <t>DEGERFORS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52222-2021</t>
        </is>
      </c>
      <c r="B2741" s="1" t="n">
        <v>44463</v>
      </c>
      <c r="C2741" s="1" t="n">
        <v>45797</v>
      </c>
      <c r="D2741" t="inlineStr">
        <is>
          <t>ÖREBRO LÄN</t>
        </is>
      </c>
      <c r="E2741" t="inlineStr">
        <is>
          <t>ASKERSUND</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52259-2021</t>
        </is>
      </c>
      <c r="B2742" s="1" t="n">
        <v>44463</v>
      </c>
      <c r="C2742" s="1" t="n">
        <v>45797</v>
      </c>
      <c r="D2742" t="inlineStr">
        <is>
          <t>ÖREBRO LÄN</t>
        </is>
      </c>
      <c r="E2742" t="inlineStr">
        <is>
          <t>ASKERSUND</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52292-2021</t>
        </is>
      </c>
      <c r="B2743" s="1" t="n">
        <v>44463</v>
      </c>
      <c r="C2743" s="1" t="n">
        <v>45797</v>
      </c>
      <c r="D2743" t="inlineStr">
        <is>
          <t>ÖREBRO LÄN</t>
        </is>
      </c>
      <c r="E2743" t="inlineStr">
        <is>
          <t>ASKERSUND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52352-2021</t>
        </is>
      </c>
      <c r="B2744" s="1" t="n">
        <v>44464</v>
      </c>
      <c r="C2744" s="1" t="n">
        <v>45797</v>
      </c>
      <c r="D2744" t="inlineStr">
        <is>
          <t>ÖREBRO LÄN</t>
        </is>
      </c>
      <c r="E2744" t="inlineStr">
        <is>
          <t>ÖREBRO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52457-2021</t>
        </is>
      </c>
      <c r="B2745" s="1" t="n">
        <v>44466</v>
      </c>
      <c r="C2745" s="1" t="n">
        <v>45797</v>
      </c>
      <c r="D2745" t="inlineStr">
        <is>
          <t>ÖREBRO LÄN</t>
        </is>
      </c>
      <c r="E2745" t="inlineStr">
        <is>
          <t>DEGERFORS</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52602-2021</t>
        </is>
      </c>
      <c r="B2746" s="1" t="n">
        <v>44466</v>
      </c>
      <c r="C2746" s="1" t="n">
        <v>45797</v>
      </c>
      <c r="D2746" t="inlineStr">
        <is>
          <t>ÖREBRO LÄN</t>
        </is>
      </c>
      <c r="E2746" t="inlineStr">
        <is>
          <t>ASKERSUND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52751-2021</t>
        </is>
      </c>
      <c r="B2747" s="1" t="n">
        <v>44467</v>
      </c>
      <c r="C2747" s="1" t="n">
        <v>45797</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52804-2021</t>
        </is>
      </c>
      <c r="B2748" s="1" t="n">
        <v>44467</v>
      </c>
      <c r="C2748" s="1" t="n">
        <v>45797</v>
      </c>
      <c r="D2748" t="inlineStr">
        <is>
          <t>ÖREBRO LÄN</t>
        </is>
      </c>
      <c r="E2748" t="inlineStr">
        <is>
          <t>KARLSKOGA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52797-2021</t>
        </is>
      </c>
      <c r="B2749" s="1" t="n">
        <v>44467</v>
      </c>
      <c r="C2749" s="1" t="n">
        <v>45797</v>
      </c>
      <c r="D2749" t="inlineStr">
        <is>
          <t>ÖREBRO LÄN</t>
        </is>
      </c>
      <c r="E2749" t="inlineStr">
        <is>
          <t>KARLSKOGA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52807-2021</t>
        </is>
      </c>
      <c r="B2750" s="1" t="n">
        <v>44467</v>
      </c>
      <c r="C2750" s="1" t="n">
        <v>45797</v>
      </c>
      <c r="D2750" t="inlineStr">
        <is>
          <t>ÖREBRO LÄN</t>
        </is>
      </c>
      <c r="E2750" t="inlineStr">
        <is>
          <t>KARLSKOGA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52938-2021</t>
        </is>
      </c>
      <c r="B2751" s="1" t="n">
        <v>44467</v>
      </c>
      <c r="C2751" s="1" t="n">
        <v>45797</v>
      </c>
      <c r="D2751" t="inlineStr">
        <is>
          <t>ÖREBRO LÄN</t>
        </is>
      </c>
      <c r="E2751" t="inlineStr">
        <is>
          <t>ASKERSUND</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52978-2021</t>
        </is>
      </c>
      <c r="B2752" s="1" t="n">
        <v>44467</v>
      </c>
      <c r="C2752" s="1" t="n">
        <v>45797</v>
      </c>
      <c r="D2752" t="inlineStr">
        <is>
          <t>ÖREBRO LÄN</t>
        </is>
      </c>
      <c r="E2752" t="inlineStr">
        <is>
          <t>ASKERSUND</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53019-2021</t>
        </is>
      </c>
      <c r="B2753" s="1" t="n">
        <v>44467</v>
      </c>
      <c r="C2753" s="1" t="n">
        <v>45797</v>
      </c>
      <c r="D2753" t="inlineStr">
        <is>
          <t>ÖREBRO LÄN</t>
        </is>
      </c>
      <c r="E2753" t="inlineStr">
        <is>
          <t>ASKERSUND</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53299-2021</t>
        </is>
      </c>
      <c r="B2754" s="1" t="n">
        <v>44467</v>
      </c>
      <c r="C2754" s="1" t="n">
        <v>45797</v>
      </c>
      <c r="D2754" t="inlineStr">
        <is>
          <t>ÖREBRO LÄN</t>
        </is>
      </c>
      <c r="E2754" t="inlineStr">
        <is>
          <t>LEKEBERG</t>
        </is>
      </c>
      <c r="F2754" t="inlineStr">
        <is>
          <t>Naturvårdsverket</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53153-2021</t>
        </is>
      </c>
      <c r="B2755" s="1" t="n">
        <v>44468</v>
      </c>
      <c r="C2755" s="1" t="n">
        <v>45797</v>
      </c>
      <c r="D2755" t="inlineStr">
        <is>
          <t>ÖREBRO LÄN</t>
        </is>
      </c>
      <c r="E2755" t="inlineStr">
        <is>
          <t>LINDESBERG</t>
        </is>
      </c>
      <c r="F2755" t="inlineStr">
        <is>
          <t>Sveaskog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53395-2021</t>
        </is>
      </c>
      <c r="B2756" s="1" t="n">
        <v>44468</v>
      </c>
      <c r="C2756" s="1" t="n">
        <v>45797</v>
      </c>
      <c r="D2756" t="inlineStr">
        <is>
          <t>ÖREBRO LÄN</t>
        </is>
      </c>
      <c r="E2756" t="inlineStr">
        <is>
          <t>LJUSNARSBERG</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54137-2021</t>
        </is>
      </c>
      <c r="B2757" s="1" t="n">
        <v>44470</v>
      </c>
      <c r="C2757" s="1" t="n">
        <v>45797</v>
      </c>
      <c r="D2757" t="inlineStr">
        <is>
          <t>ÖREBRO LÄN</t>
        </is>
      </c>
      <c r="E2757" t="inlineStr">
        <is>
          <t>DEGERFORS</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54130-2021</t>
        </is>
      </c>
      <c r="B2758" s="1" t="n">
        <v>44470</v>
      </c>
      <c r="C2758" s="1" t="n">
        <v>45797</v>
      </c>
      <c r="D2758" t="inlineStr">
        <is>
          <t>ÖREBRO LÄN</t>
        </is>
      </c>
      <c r="E2758" t="inlineStr">
        <is>
          <t>DEGERFORS</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54139-2021</t>
        </is>
      </c>
      <c r="B2759" s="1" t="n">
        <v>44470</v>
      </c>
      <c r="C2759" s="1" t="n">
        <v>45797</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54663-2021</t>
        </is>
      </c>
      <c r="B2760" s="1" t="n">
        <v>44473</v>
      </c>
      <c r="C2760" s="1" t="n">
        <v>45797</v>
      </c>
      <c r="D2760" t="inlineStr">
        <is>
          <t>ÖREBRO LÄN</t>
        </is>
      </c>
      <c r="E2760" t="inlineStr">
        <is>
          <t>LINDESBERG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54717-2021</t>
        </is>
      </c>
      <c r="B2761" s="1" t="n">
        <v>44473</v>
      </c>
      <c r="C2761" s="1" t="n">
        <v>45797</v>
      </c>
      <c r="D2761" t="inlineStr">
        <is>
          <t>ÖREBRO LÄN</t>
        </is>
      </c>
      <c r="E2761" t="inlineStr">
        <is>
          <t>NORA</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54680-2021</t>
        </is>
      </c>
      <c r="B2762" s="1" t="n">
        <v>44473</v>
      </c>
      <c r="C2762" s="1" t="n">
        <v>45797</v>
      </c>
      <c r="D2762" t="inlineStr">
        <is>
          <t>ÖREBRO LÄN</t>
        </is>
      </c>
      <c r="E2762" t="inlineStr">
        <is>
          <t>KARLSKOGA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54723-2021</t>
        </is>
      </c>
      <c r="B2763" s="1" t="n">
        <v>44473</v>
      </c>
      <c r="C2763" s="1" t="n">
        <v>45797</v>
      </c>
      <c r="D2763" t="inlineStr">
        <is>
          <t>ÖREBRO LÄN</t>
        </is>
      </c>
      <c r="E2763" t="inlineStr">
        <is>
          <t>ASKERSUND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55047-2021</t>
        </is>
      </c>
      <c r="B2764" s="1" t="n">
        <v>44474</v>
      </c>
      <c r="C2764" s="1" t="n">
        <v>45797</v>
      </c>
      <c r="D2764" t="inlineStr">
        <is>
          <t>ÖREBRO LÄN</t>
        </is>
      </c>
      <c r="E2764" t="inlineStr">
        <is>
          <t>ASKERSUND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55027-2021</t>
        </is>
      </c>
      <c r="B2765" s="1" t="n">
        <v>44474</v>
      </c>
      <c r="C2765" s="1" t="n">
        <v>45797</v>
      </c>
      <c r="D2765" t="inlineStr">
        <is>
          <t>ÖREBRO LÄN</t>
        </is>
      </c>
      <c r="E2765" t="inlineStr">
        <is>
          <t>LAXÅ</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55053-2021</t>
        </is>
      </c>
      <c r="B2766" s="1" t="n">
        <v>44474</v>
      </c>
      <c r="C2766" s="1" t="n">
        <v>45797</v>
      </c>
      <c r="D2766" t="inlineStr">
        <is>
          <t>ÖREBRO LÄN</t>
        </is>
      </c>
      <c r="E2766" t="inlineStr">
        <is>
          <t>ASKERSUND</t>
        </is>
      </c>
      <c r="F2766" t="inlineStr">
        <is>
          <t>Sveaskog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55146-2021</t>
        </is>
      </c>
      <c r="B2767" s="1" t="n">
        <v>44474</v>
      </c>
      <c r="C2767" s="1" t="n">
        <v>45797</v>
      </c>
      <c r="D2767" t="inlineStr">
        <is>
          <t>ÖREBRO LÄN</t>
        </is>
      </c>
      <c r="E2767" t="inlineStr">
        <is>
          <t>KUMLA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55207-2021</t>
        </is>
      </c>
      <c r="B2768" s="1" t="n">
        <v>44475</v>
      </c>
      <c r="C2768" s="1" t="n">
        <v>45797</v>
      </c>
      <c r="D2768" t="inlineStr">
        <is>
          <t>ÖREBRO LÄN</t>
        </is>
      </c>
      <c r="E2768" t="inlineStr">
        <is>
          <t>LAXÅ</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55212-2021</t>
        </is>
      </c>
      <c r="B2769" s="1" t="n">
        <v>44475</v>
      </c>
      <c r="C2769" s="1" t="n">
        <v>45797</v>
      </c>
      <c r="D2769" t="inlineStr">
        <is>
          <t>ÖREBRO LÄN</t>
        </is>
      </c>
      <c r="E2769" t="inlineStr">
        <is>
          <t>LAXÅ</t>
        </is>
      </c>
      <c r="F2769" t="inlineStr">
        <is>
          <t>Sveaskog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55218-2021</t>
        </is>
      </c>
      <c r="B2770" s="1" t="n">
        <v>44475</v>
      </c>
      <c r="C2770" s="1" t="n">
        <v>45797</v>
      </c>
      <c r="D2770" t="inlineStr">
        <is>
          <t>ÖREBRO LÄN</t>
        </is>
      </c>
      <c r="E2770" t="inlineStr">
        <is>
          <t>LAXÅ</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55214-2021</t>
        </is>
      </c>
      <c r="B2771" s="1" t="n">
        <v>44475</v>
      </c>
      <c r="C2771" s="1" t="n">
        <v>45797</v>
      </c>
      <c r="D2771" t="inlineStr">
        <is>
          <t>ÖREBRO LÄN</t>
        </is>
      </c>
      <c r="E2771" t="inlineStr">
        <is>
          <t>LAXÅ</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55368-2021</t>
        </is>
      </c>
      <c r="B2772" s="1" t="n">
        <v>44475</v>
      </c>
      <c r="C2772" s="1" t="n">
        <v>45797</v>
      </c>
      <c r="D2772" t="inlineStr">
        <is>
          <t>ÖREBRO LÄN</t>
        </is>
      </c>
      <c r="E2772" t="inlineStr">
        <is>
          <t>NORA</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55487-2021</t>
        </is>
      </c>
      <c r="B2773" s="1" t="n">
        <v>44475</v>
      </c>
      <c r="C2773" s="1" t="n">
        <v>45797</v>
      </c>
      <c r="D2773" t="inlineStr">
        <is>
          <t>ÖREBRO LÄN</t>
        </is>
      </c>
      <c r="E2773" t="inlineStr">
        <is>
          <t>ÖREBRO</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55760-2021</t>
        </is>
      </c>
      <c r="B2774" s="1" t="n">
        <v>44476</v>
      </c>
      <c r="C2774" s="1" t="n">
        <v>45797</v>
      </c>
      <c r="D2774" t="inlineStr">
        <is>
          <t>ÖREBRO LÄN</t>
        </is>
      </c>
      <c r="E2774" t="inlineStr">
        <is>
          <t>KUMLA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55757-2021</t>
        </is>
      </c>
      <c r="B2775" s="1" t="n">
        <v>44476</v>
      </c>
      <c r="C2775" s="1" t="n">
        <v>45797</v>
      </c>
      <c r="D2775" t="inlineStr">
        <is>
          <t>ÖREBRO LÄN</t>
        </is>
      </c>
      <c r="E2775" t="inlineStr">
        <is>
          <t>KUMLA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55765-2021</t>
        </is>
      </c>
      <c r="B2776" s="1" t="n">
        <v>44476</v>
      </c>
      <c r="C2776" s="1" t="n">
        <v>45797</v>
      </c>
      <c r="D2776" t="inlineStr">
        <is>
          <t>ÖREBRO LÄN</t>
        </is>
      </c>
      <c r="E2776" t="inlineStr">
        <is>
          <t>KUMLA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55867-2021</t>
        </is>
      </c>
      <c r="B2777" s="1" t="n">
        <v>44476</v>
      </c>
      <c r="C2777" s="1" t="n">
        <v>45797</v>
      </c>
      <c r="D2777" t="inlineStr">
        <is>
          <t>ÖREBRO LÄN</t>
        </is>
      </c>
      <c r="E2777" t="inlineStr">
        <is>
          <t>NORA</t>
        </is>
      </c>
      <c r="F2777" t="inlineStr">
        <is>
          <t>Kyrkan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55863-2021</t>
        </is>
      </c>
      <c r="B2778" s="1" t="n">
        <v>44476</v>
      </c>
      <c r="C2778" s="1" t="n">
        <v>45797</v>
      </c>
      <c r="D2778" t="inlineStr">
        <is>
          <t>ÖREBRO LÄN</t>
        </is>
      </c>
      <c r="E2778" t="inlineStr">
        <is>
          <t>NORA</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56295-2021</t>
        </is>
      </c>
      <c r="B2779" s="1" t="n">
        <v>44477</v>
      </c>
      <c r="C2779" s="1" t="n">
        <v>45797</v>
      </c>
      <c r="D2779" t="inlineStr">
        <is>
          <t>ÖREBRO LÄN</t>
        </is>
      </c>
      <c r="E2779" t="inlineStr">
        <is>
          <t>HÄLLEFORS</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56260-2021</t>
        </is>
      </c>
      <c r="B2780" s="1" t="n">
        <v>44479</v>
      </c>
      <c r="C2780" s="1" t="n">
        <v>45797</v>
      </c>
      <c r="D2780" t="inlineStr">
        <is>
          <t>ÖREBRO LÄN</t>
        </is>
      </c>
      <c r="E2780" t="inlineStr">
        <is>
          <t>LINDESBERG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56267-2021</t>
        </is>
      </c>
      <c r="B2781" s="1" t="n">
        <v>44479</v>
      </c>
      <c r="C2781" s="1" t="n">
        <v>45797</v>
      </c>
      <c r="D2781" t="inlineStr">
        <is>
          <t>ÖREBRO LÄN</t>
        </is>
      </c>
      <c r="E2781" t="inlineStr">
        <is>
          <t>LEKEBERG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56294-2021</t>
        </is>
      </c>
      <c r="B2782" s="1" t="n">
        <v>44480</v>
      </c>
      <c r="C2782" s="1" t="n">
        <v>45797</v>
      </c>
      <c r="D2782" t="inlineStr">
        <is>
          <t>ÖREBRO LÄN</t>
        </is>
      </c>
      <c r="E2782" t="inlineStr">
        <is>
          <t>ASKERSUND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56360-2021</t>
        </is>
      </c>
      <c r="B2783" s="1" t="n">
        <v>44480</v>
      </c>
      <c r="C2783" s="1" t="n">
        <v>45797</v>
      </c>
      <c r="D2783" t="inlineStr">
        <is>
          <t>ÖREBRO LÄN</t>
        </is>
      </c>
      <c r="E2783" t="inlineStr">
        <is>
          <t>ASKERSUND</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56363-2021</t>
        </is>
      </c>
      <c r="B2784" s="1" t="n">
        <v>44480</v>
      </c>
      <c r="C2784" s="1" t="n">
        <v>45797</v>
      </c>
      <c r="D2784" t="inlineStr">
        <is>
          <t>ÖREBRO LÄN</t>
        </is>
      </c>
      <c r="E2784" t="inlineStr">
        <is>
          <t>ASKERSUND</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56435-2021</t>
        </is>
      </c>
      <c r="B2785" s="1" t="n">
        <v>44480</v>
      </c>
      <c r="C2785" s="1" t="n">
        <v>45797</v>
      </c>
      <c r="D2785" t="inlineStr">
        <is>
          <t>ÖREBRO LÄN</t>
        </is>
      </c>
      <c r="E2785" t="inlineStr">
        <is>
          <t>KARLSKOGA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56503-2021</t>
        </is>
      </c>
      <c r="B2786" s="1" t="n">
        <v>44480</v>
      </c>
      <c r="C2786" s="1" t="n">
        <v>45797</v>
      </c>
      <c r="D2786" t="inlineStr">
        <is>
          <t>ÖREBRO LÄN</t>
        </is>
      </c>
      <c r="E2786" t="inlineStr">
        <is>
          <t>LINDESBERG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56507-2021</t>
        </is>
      </c>
      <c r="B2787" s="1" t="n">
        <v>44480</v>
      </c>
      <c r="C2787" s="1" t="n">
        <v>45797</v>
      </c>
      <c r="D2787" t="inlineStr">
        <is>
          <t>ÖREBRO LÄN</t>
        </is>
      </c>
      <c r="E2787" t="inlineStr">
        <is>
          <t>LINDESBERG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56359-2021</t>
        </is>
      </c>
      <c r="B2788" s="1" t="n">
        <v>44480</v>
      </c>
      <c r="C2788" s="1" t="n">
        <v>45797</v>
      </c>
      <c r="D2788" t="inlineStr">
        <is>
          <t>ÖREBRO LÄN</t>
        </is>
      </c>
      <c r="E2788" t="inlineStr">
        <is>
          <t>ASKERSUND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56695-2021</t>
        </is>
      </c>
      <c r="B2789" s="1" t="n">
        <v>44481</v>
      </c>
      <c r="C2789" s="1" t="n">
        <v>45797</v>
      </c>
      <c r="D2789" t="inlineStr">
        <is>
          <t>ÖREBRO LÄN</t>
        </is>
      </c>
      <c r="E2789" t="inlineStr">
        <is>
          <t>LINDESBERG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56681-2021</t>
        </is>
      </c>
      <c r="B2790" s="1" t="n">
        <v>44481</v>
      </c>
      <c r="C2790" s="1" t="n">
        <v>45797</v>
      </c>
      <c r="D2790" t="inlineStr">
        <is>
          <t>ÖREBRO LÄN</t>
        </is>
      </c>
      <c r="E2790" t="inlineStr">
        <is>
          <t>LINDESBERG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56871-2021</t>
        </is>
      </c>
      <c r="B2791" s="1" t="n">
        <v>44481</v>
      </c>
      <c r="C2791" s="1" t="n">
        <v>45797</v>
      </c>
      <c r="D2791" t="inlineStr">
        <is>
          <t>ÖREBRO LÄN</t>
        </is>
      </c>
      <c r="E2791" t="inlineStr">
        <is>
          <t>NORA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56707-2021</t>
        </is>
      </c>
      <c r="B2792" s="1" t="n">
        <v>44481</v>
      </c>
      <c r="C2792" s="1" t="n">
        <v>45797</v>
      </c>
      <c r="D2792" t="inlineStr">
        <is>
          <t>ÖREBRO LÄN</t>
        </is>
      </c>
      <c r="E2792" t="inlineStr">
        <is>
          <t>LINDESBERG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56713-2021</t>
        </is>
      </c>
      <c r="B2793" s="1" t="n">
        <v>44481</v>
      </c>
      <c r="C2793" s="1" t="n">
        <v>45797</v>
      </c>
      <c r="D2793" t="inlineStr">
        <is>
          <t>ÖREBRO LÄN</t>
        </is>
      </c>
      <c r="E2793" t="inlineStr">
        <is>
          <t>LJUSNARSBERG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57129-2021</t>
        </is>
      </c>
      <c r="B2794" s="1" t="n">
        <v>44482</v>
      </c>
      <c r="C2794" s="1" t="n">
        <v>45797</v>
      </c>
      <c r="D2794" t="inlineStr">
        <is>
          <t>ÖREBRO LÄN</t>
        </is>
      </c>
      <c r="E2794" t="inlineStr">
        <is>
          <t>LJUSNARSBERG</t>
        </is>
      </c>
      <c r="F2794" t="inlineStr">
        <is>
          <t>Bergvik skog väst AB</t>
        </is>
      </c>
      <c r="G2794" t="n">
        <v>17.8</v>
      </c>
      <c r="H2794" t="n">
        <v>0</v>
      </c>
      <c r="I2794" t="n">
        <v>0</v>
      </c>
      <c r="J2794" t="n">
        <v>0</v>
      </c>
      <c r="K2794" t="n">
        <v>0</v>
      </c>
      <c r="L2794" t="n">
        <v>0</v>
      </c>
      <c r="M2794" t="n">
        <v>0</v>
      </c>
      <c r="N2794" t="n">
        <v>0</v>
      </c>
      <c r="O2794" t="n">
        <v>0</v>
      </c>
      <c r="P2794" t="n">
        <v>0</v>
      </c>
      <c r="Q2794" t="n">
        <v>0</v>
      </c>
      <c r="R2794" s="2" t="inlineStr"/>
    </row>
    <row r="2795" ht="15" customHeight="1">
      <c r="A2795" t="inlineStr">
        <is>
          <t>A 57343-2021</t>
        </is>
      </c>
      <c r="B2795" s="1" t="n">
        <v>44482</v>
      </c>
      <c r="C2795" s="1" t="n">
        <v>45797</v>
      </c>
      <c r="D2795" t="inlineStr">
        <is>
          <t>ÖREBRO LÄN</t>
        </is>
      </c>
      <c r="E2795" t="inlineStr">
        <is>
          <t>ÖREBRO</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57380-2021</t>
        </is>
      </c>
      <c r="B2796" s="1" t="n">
        <v>44483</v>
      </c>
      <c r="C2796" s="1" t="n">
        <v>45797</v>
      </c>
      <c r="D2796" t="inlineStr">
        <is>
          <t>ÖREBRO LÄN</t>
        </is>
      </c>
      <c r="E2796" t="inlineStr">
        <is>
          <t>LAXÅ</t>
        </is>
      </c>
      <c r="F2796" t="inlineStr">
        <is>
          <t>Sveaskog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57363-2021</t>
        </is>
      </c>
      <c r="B2797" s="1" t="n">
        <v>44483</v>
      </c>
      <c r="C2797" s="1" t="n">
        <v>45797</v>
      </c>
      <c r="D2797" t="inlineStr">
        <is>
          <t>ÖREBRO LÄN</t>
        </is>
      </c>
      <c r="E2797" t="inlineStr">
        <is>
          <t>LAXÅ</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57377-2021</t>
        </is>
      </c>
      <c r="B2798" s="1" t="n">
        <v>44483</v>
      </c>
      <c r="C2798" s="1" t="n">
        <v>45797</v>
      </c>
      <c r="D2798" t="inlineStr">
        <is>
          <t>ÖREBRO LÄN</t>
        </is>
      </c>
      <c r="E2798" t="inlineStr">
        <is>
          <t>LAXÅ</t>
        </is>
      </c>
      <c r="F2798" t="inlineStr">
        <is>
          <t>Sveaskog</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57422-2021</t>
        </is>
      </c>
      <c r="B2799" s="1" t="n">
        <v>44483</v>
      </c>
      <c r="C2799" s="1" t="n">
        <v>45797</v>
      </c>
      <c r="D2799" t="inlineStr">
        <is>
          <t>ÖREBRO LÄN</t>
        </is>
      </c>
      <c r="E2799" t="inlineStr">
        <is>
          <t>KARLSKOGA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57367-2021</t>
        </is>
      </c>
      <c r="B2800" s="1" t="n">
        <v>44483</v>
      </c>
      <c r="C2800" s="1" t="n">
        <v>45797</v>
      </c>
      <c r="D2800" t="inlineStr">
        <is>
          <t>ÖREBRO LÄN</t>
        </is>
      </c>
      <c r="E2800" t="inlineStr">
        <is>
          <t>LAXÅ</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57375-2021</t>
        </is>
      </c>
      <c r="B2801" s="1" t="n">
        <v>44483</v>
      </c>
      <c r="C2801" s="1" t="n">
        <v>45797</v>
      </c>
      <c r="D2801" t="inlineStr">
        <is>
          <t>ÖREBRO LÄN</t>
        </is>
      </c>
      <c r="E2801" t="inlineStr">
        <is>
          <t>LAXÅ</t>
        </is>
      </c>
      <c r="F2801" t="inlineStr">
        <is>
          <t>Sveaskog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57379-2021</t>
        </is>
      </c>
      <c r="B2802" s="1" t="n">
        <v>44483</v>
      </c>
      <c r="C2802" s="1" t="n">
        <v>45797</v>
      </c>
      <c r="D2802" t="inlineStr">
        <is>
          <t>ÖREBRO LÄN</t>
        </is>
      </c>
      <c r="E2802" t="inlineStr">
        <is>
          <t>LAXÅ</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57364-2021</t>
        </is>
      </c>
      <c r="B2803" s="1" t="n">
        <v>44483</v>
      </c>
      <c r="C2803" s="1" t="n">
        <v>45797</v>
      </c>
      <c r="D2803" t="inlineStr">
        <is>
          <t>ÖREBRO LÄN</t>
        </is>
      </c>
      <c r="E2803" t="inlineStr">
        <is>
          <t>LAXÅ</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57378-2021</t>
        </is>
      </c>
      <c r="B2804" s="1" t="n">
        <v>44483</v>
      </c>
      <c r="C2804" s="1" t="n">
        <v>45797</v>
      </c>
      <c r="D2804" t="inlineStr">
        <is>
          <t>ÖREBRO LÄN</t>
        </is>
      </c>
      <c r="E2804" t="inlineStr">
        <is>
          <t>LAXÅ</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57498-2021</t>
        </is>
      </c>
      <c r="B2805" s="1" t="n">
        <v>44483</v>
      </c>
      <c r="C2805" s="1" t="n">
        <v>45797</v>
      </c>
      <c r="D2805" t="inlineStr">
        <is>
          <t>ÖREBRO LÄN</t>
        </is>
      </c>
      <c r="E2805" t="inlineStr">
        <is>
          <t>ÖREBRO</t>
        </is>
      </c>
      <c r="F2805" t="inlineStr">
        <is>
          <t>Övriga Aktiebolag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57540-2021</t>
        </is>
      </c>
      <c r="B2806" s="1" t="n">
        <v>44484</v>
      </c>
      <c r="C2806" s="1" t="n">
        <v>45797</v>
      </c>
      <c r="D2806" t="inlineStr">
        <is>
          <t>ÖREBRO LÄN</t>
        </is>
      </c>
      <c r="E2806" t="inlineStr">
        <is>
          <t>ASKERSUND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57795-2021</t>
        </is>
      </c>
      <c r="B2807" s="1" t="n">
        <v>44484</v>
      </c>
      <c r="C2807" s="1" t="n">
        <v>45797</v>
      </c>
      <c r="D2807" t="inlineStr">
        <is>
          <t>ÖREBRO LÄN</t>
        </is>
      </c>
      <c r="E2807" t="inlineStr">
        <is>
          <t>LINDESBERG</t>
        </is>
      </c>
      <c r="G2807" t="n">
        <v>39.4</v>
      </c>
      <c r="H2807" t="n">
        <v>0</v>
      </c>
      <c r="I2807" t="n">
        <v>0</v>
      </c>
      <c r="J2807" t="n">
        <v>0</v>
      </c>
      <c r="K2807" t="n">
        <v>0</v>
      </c>
      <c r="L2807" t="n">
        <v>0</v>
      </c>
      <c r="M2807" t="n">
        <v>0</v>
      </c>
      <c r="N2807" t="n">
        <v>0</v>
      </c>
      <c r="O2807" t="n">
        <v>0</v>
      </c>
      <c r="P2807" t="n">
        <v>0</v>
      </c>
      <c r="Q2807" t="n">
        <v>0</v>
      </c>
      <c r="R2807" s="2" t="inlineStr"/>
    </row>
    <row r="2808" ht="15" customHeight="1">
      <c r="A2808" t="inlineStr">
        <is>
          <t>A 57806-2021</t>
        </is>
      </c>
      <c r="B2808" s="1" t="n">
        <v>44484</v>
      </c>
      <c r="C2808" s="1" t="n">
        <v>45797</v>
      </c>
      <c r="D2808" t="inlineStr">
        <is>
          <t>ÖREBRO LÄN</t>
        </is>
      </c>
      <c r="E2808" t="inlineStr">
        <is>
          <t>LAXÅ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57817-2021</t>
        </is>
      </c>
      <c r="B2809" s="1" t="n">
        <v>44484</v>
      </c>
      <c r="C2809" s="1" t="n">
        <v>45797</v>
      </c>
      <c r="D2809" t="inlineStr">
        <is>
          <t>ÖREBRO LÄN</t>
        </is>
      </c>
      <c r="E2809" t="inlineStr">
        <is>
          <t>LINDESBERG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57765-2021</t>
        </is>
      </c>
      <c r="B2810" s="1" t="n">
        <v>44484</v>
      </c>
      <c r="C2810" s="1" t="n">
        <v>45797</v>
      </c>
      <c r="D2810" t="inlineStr">
        <is>
          <t>ÖREBRO LÄN</t>
        </is>
      </c>
      <c r="E2810" t="inlineStr">
        <is>
          <t>LINDESBERG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57956-2021</t>
        </is>
      </c>
      <c r="B2811" s="1" t="n">
        <v>44484</v>
      </c>
      <c r="C2811" s="1" t="n">
        <v>45797</v>
      </c>
      <c r="D2811" t="inlineStr">
        <is>
          <t>ÖREBRO LÄN</t>
        </is>
      </c>
      <c r="E2811" t="inlineStr">
        <is>
          <t>LAXÅ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58020-2021</t>
        </is>
      </c>
      <c r="B2812" s="1" t="n">
        <v>44484</v>
      </c>
      <c r="C2812" s="1" t="n">
        <v>45797</v>
      </c>
      <c r="D2812" t="inlineStr">
        <is>
          <t>ÖREBRO LÄN</t>
        </is>
      </c>
      <c r="E2812" t="inlineStr">
        <is>
          <t>LEKEBERG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57959-2021</t>
        </is>
      </c>
      <c r="B2813" s="1" t="n">
        <v>44484</v>
      </c>
      <c r="C2813" s="1" t="n">
        <v>45797</v>
      </c>
      <c r="D2813" t="inlineStr">
        <is>
          <t>ÖREBRO LÄN</t>
        </is>
      </c>
      <c r="E2813" t="inlineStr">
        <is>
          <t>LAXÅ</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57906-2021</t>
        </is>
      </c>
      <c r="B2814" s="1" t="n">
        <v>44486</v>
      </c>
      <c r="C2814" s="1" t="n">
        <v>45797</v>
      </c>
      <c r="D2814" t="inlineStr">
        <is>
          <t>ÖREBRO LÄN</t>
        </is>
      </c>
      <c r="E2814" t="inlineStr">
        <is>
          <t>ASKERSUND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58145-2021</t>
        </is>
      </c>
      <c r="B2815" s="1" t="n">
        <v>44487</v>
      </c>
      <c r="C2815" s="1" t="n">
        <v>45797</v>
      </c>
      <c r="D2815" t="inlineStr">
        <is>
          <t>ÖREBRO LÄN</t>
        </is>
      </c>
      <c r="E2815" t="inlineStr">
        <is>
          <t>ASKERSUND</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58150-2021</t>
        </is>
      </c>
      <c r="B2816" s="1" t="n">
        <v>44487</v>
      </c>
      <c r="C2816" s="1" t="n">
        <v>45797</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58155-2021</t>
        </is>
      </c>
      <c r="B2817" s="1" t="n">
        <v>44487</v>
      </c>
      <c r="C2817" s="1" t="n">
        <v>45797</v>
      </c>
      <c r="D2817" t="inlineStr">
        <is>
          <t>ÖREBRO LÄN</t>
        </is>
      </c>
      <c r="E2817" t="inlineStr">
        <is>
          <t>ASKERSUND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58139-2021</t>
        </is>
      </c>
      <c r="B2818" s="1" t="n">
        <v>44487</v>
      </c>
      <c r="C2818" s="1" t="n">
        <v>45797</v>
      </c>
      <c r="D2818" t="inlineStr">
        <is>
          <t>ÖREBRO LÄN</t>
        </is>
      </c>
      <c r="E2818" t="inlineStr">
        <is>
          <t>ASKERSUND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58103-2021</t>
        </is>
      </c>
      <c r="B2819" s="1" t="n">
        <v>44487</v>
      </c>
      <c r="C2819" s="1" t="n">
        <v>45797</v>
      </c>
      <c r="D2819" t="inlineStr">
        <is>
          <t>ÖREBRO LÄN</t>
        </is>
      </c>
      <c r="E2819" t="inlineStr">
        <is>
          <t>LINDESBERG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58138-2021</t>
        </is>
      </c>
      <c r="B2820" s="1" t="n">
        <v>44487</v>
      </c>
      <c r="C2820" s="1" t="n">
        <v>45797</v>
      </c>
      <c r="D2820" t="inlineStr">
        <is>
          <t>ÖREBRO LÄN</t>
        </is>
      </c>
      <c r="E2820" t="inlineStr">
        <is>
          <t>ÖREBRO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58133-2021</t>
        </is>
      </c>
      <c r="B2821" s="1" t="n">
        <v>44487</v>
      </c>
      <c r="C2821" s="1" t="n">
        <v>45797</v>
      </c>
      <c r="D2821" t="inlineStr">
        <is>
          <t>ÖREBRO LÄN</t>
        </is>
      </c>
      <c r="E2821" t="inlineStr">
        <is>
          <t>HÄLLEFORS</t>
        </is>
      </c>
      <c r="F2821" t="inlineStr">
        <is>
          <t>Bergvik skog väst AB</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58143-2021</t>
        </is>
      </c>
      <c r="B2822" s="1" t="n">
        <v>44487</v>
      </c>
      <c r="C2822" s="1" t="n">
        <v>45797</v>
      </c>
      <c r="D2822" t="inlineStr">
        <is>
          <t>ÖREBRO LÄN</t>
        </is>
      </c>
      <c r="E2822" t="inlineStr">
        <is>
          <t>ASKERSUND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58153-2021</t>
        </is>
      </c>
      <c r="B2823" s="1" t="n">
        <v>44487</v>
      </c>
      <c r="C2823" s="1" t="n">
        <v>45797</v>
      </c>
      <c r="D2823" t="inlineStr">
        <is>
          <t>ÖREBRO LÄN</t>
        </is>
      </c>
      <c r="E2823" t="inlineStr">
        <is>
          <t>ASKERSUND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58380-2021</t>
        </is>
      </c>
      <c r="B2824" s="1" t="n">
        <v>44488</v>
      </c>
      <c r="C2824" s="1" t="n">
        <v>45797</v>
      </c>
      <c r="D2824" t="inlineStr">
        <is>
          <t>ÖREBRO LÄN</t>
        </is>
      </c>
      <c r="E2824" t="inlineStr">
        <is>
          <t>LEKEBERG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58462-2021</t>
        </is>
      </c>
      <c r="B2825" s="1" t="n">
        <v>44488</v>
      </c>
      <c r="C2825" s="1" t="n">
        <v>45797</v>
      </c>
      <c r="D2825" t="inlineStr">
        <is>
          <t>ÖREBRO LÄN</t>
        </is>
      </c>
      <c r="E2825" t="inlineStr">
        <is>
          <t>HALLSBERG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58420-2021</t>
        </is>
      </c>
      <c r="B2826" s="1" t="n">
        <v>44488</v>
      </c>
      <c r="C2826" s="1" t="n">
        <v>45797</v>
      </c>
      <c r="D2826" t="inlineStr">
        <is>
          <t>ÖREBRO LÄN</t>
        </is>
      </c>
      <c r="E2826" t="inlineStr">
        <is>
          <t>ASKERSUND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58668-2021</t>
        </is>
      </c>
      <c r="B2827" s="1" t="n">
        <v>44489</v>
      </c>
      <c r="C2827" s="1" t="n">
        <v>45797</v>
      </c>
      <c r="D2827" t="inlineStr">
        <is>
          <t>ÖREBRO LÄN</t>
        </is>
      </c>
      <c r="E2827" t="inlineStr">
        <is>
          <t>LJUSNARSBERG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59036-2021</t>
        </is>
      </c>
      <c r="B2828" s="1" t="n">
        <v>44490</v>
      </c>
      <c r="C2828" s="1" t="n">
        <v>45797</v>
      </c>
      <c r="D2828" t="inlineStr">
        <is>
          <t>ÖREBRO LÄN</t>
        </is>
      </c>
      <c r="E2828" t="inlineStr">
        <is>
          <t>LEKEBERG</t>
        </is>
      </c>
      <c r="F2828" t="inlineStr">
        <is>
          <t>Allmännings- och besparingsskogar</t>
        </is>
      </c>
      <c r="G2828" t="n">
        <v>25.2</v>
      </c>
      <c r="H2828" t="n">
        <v>0</v>
      </c>
      <c r="I2828" t="n">
        <v>0</v>
      </c>
      <c r="J2828" t="n">
        <v>0</v>
      </c>
      <c r="K2828" t="n">
        <v>0</v>
      </c>
      <c r="L2828" t="n">
        <v>0</v>
      </c>
      <c r="M2828" t="n">
        <v>0</v>
      </c>
      <c r="N2828" t="n">
        <v>0</v>
      </c>
      <c r="O2828" t="n">
        <v>0</v>
      </c>
      <c r="P2828" t="n">
        <v>0</v>
      </c>
      <c r="Q2828" t="n">
        <v>0</v>
      </c>
      <c r="R2828" s="2" t="inlineStr"/>
    </row>
    <row r="2829" ht="15" customHeight="1">
      <c r="A2829" t="inlineStr">
        <is>
          <t>A 59006-2021</t>
        </is>
      </c>
      <c r="B2829" s="1" t="n">
        <v>44490</v>
      </c>
      <c r="C2829" s="1" t="n">
        <v>45797</v>
      </c>
      <c r="D2829" t="inlineStr">
        <is>
          <t>ÖREBRO LÄN</t>
        </is>
      </c>
      <c r="E2829" t="inlineStr">
        <is>
          <t>LINDESBERG</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59112-2021</t>
        </is>
      </c>
      <c r="B2830" s="1" t="n">
        <v>44490</v>
      </c>
      <c r="C2830" s="1" t="n">
        <v>45797</v>
      </c>
      <c r="D2830" t="inlineStr">
        <is>
          <t>ÖREBRO LÄN</t>
        </is>
      </c>
      <c r="E2830" t="inlineStr">
        <is>
          <t>ASKERSUND</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59176-2021</t>
        </is>
      </c>
      <c r="B2831" s="1" t="n">
        <v>44490</v>
      </c>
      <c r="C2831" s="1" t="n">
        <v>45797</v>
      </c>
      <c r="D2831" t="inlineStr">
        <is>
          <t>ÖREBRO LÄN</t>
        </is>
      </c>
      <c r="E2831" t="inlineStr">
        <is>
          <t>HALLSBERG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59182-2021</t>
        </is>
      </c>
      <c r="B2832" s="1" t="n">
        <v>44490</v>
      </c>
      <c r="C2832" s="1" t="n">
        <v>45797</v>
      </c>
      <c r="D2832" t="inlineStr">
        <is>
          <t>ÖREBRO LÄN</t>
        </is>
      </c>
      <c r="E2832" t="inlineStr">
        <is>
          <t>LINDESBERG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59382-2021</t>
        </is>
      </c>
      <c r="B2833" s="1" t="n">
        <v>44491</v>
      </c>
      <c r="C2833" s="1" t="n">
        <v>45797</v>
      </c>
      <c r="D2833" t="inlineStr">
        <is>
          <t>ÖREBRO LÄN</t>
        </is>
      </c>
      <c r="E2833" t="inlineStr">
        <is>
          <t>HÄLLEFORS</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59374-2021</t>
        </is>
      </c>
      <c r="B2834" s="1" t="n">
        <v>44491</v>
      </c>
      <c r="C2834" s="1" t="n">
        <v>45797</v>
      </c>
      <c r="D2834" t="inlineStr">
        <is>
          <t>ÖREBRO LÄN</t>
        </is>
      </c>
      <c r="E2834" t="inlineStr">
        <is>
          <t>HÄLLEFORS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59542-2021</t>
        </is>
      </c>
      <c r="B2835" s="1" t="n">
        <v>44491</v>
      </c>
      <c r="C2835" s="1" t="n">
        <v>45797</v>
      </c>
      <c r="D2835" t="inlineStr">
        <is>
          <t>ÖREBRO LÄN</t>
        </is>
      </c>
      <c r="E2835" t="inlineStr">
        <is>
          <t>LEKEBERG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59557-2021</t>
        </is>
      </c>
      <c r="B2836" s="1" t="n">
        <v>44491</v>
      </c>
      <c r="C2836" s="1" t="n">
        <v>45797</v>
      </c>
      <c r="D2836" t="inlineStr">
        <is>
          <t>ÖREBRO LÄN</t>
        </is>
      </c>
      <c r="E2836" t="inlineStr">
        <is>
          <t>ASKERSUND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59590-2021</t>
        </is>
      </c>
      <c r="B2837" s="1" t="n">
        <v>44491</v>
      </c>
      <c r="C2837" s="1" t="n">
        <v>45797</v>
      </c>
      <c r="D2837" t="inlineStr">
        <is>
          <t>ÖREBRO LÄN</t>
        </is>
      </c>
      <c r="E2837" t="inlineStr">
        <is>
          <t>NORA</t>
        </is>
      </c>
      <c r="F2837" t="inlineStr">
        <is>
          <t>Kyrkan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59606-2021</t>
        </is>
      </c>
      <c r="B2838" s="1" t="n">
        <v>44491</v>
      </c>
      <c r="C2838" s="1" t="n">
        <v>45797</v>
      </c>
      <c r="D2838" t="inlineStr">
        <is>
          <t>ÖREBRO LÄN</t>
        </is>
      </c>
      <c r="E2838" t="inlineStr">
        <is>
          <t>NORA</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59671-2021</t>
        </is>
      </c>
      <c r="B2839" s="1" t="n">
        <v>44491</v>
      </c>
      <c r="C2839" s="1" t="n">
        <v>45797</v>
      </c>
      <c r="D2839" t="inlineStr">
        <is>
          <t>ÖREBRO LÄN</t>
        </is>
      </c>
      <c r="E2839" t="inlineStr">
        <is>
          <t>LINDESBERG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59584-2021</t>
        </is>
      </c>
      <c r="B2840" s="1" t="n">
        <v>44491</v>
      </c>
      <c r="C2840" s="1" t="n">
        <v>45797</v>
      </c>
      <c r="D2840" t="inlineStr">
        <is>
          <t>ÖREBRO LÄN</t>
        </is>
      </c>
      <c r="E2840" t="inlineStr">
        <is>
          <t>ÖREBRO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59655-2021</t>
        </is>
      </c>
      <c r="B2841" s="1" t="n">
        <v>44491</v>
      </c>
      <c r="C2841" s="1" t="n">
        <v>45797</v>
      </c>
      <c r="D2841" t="inlineStr">
        <is>
          <t>ÖREBRO LÄN</t>
        </is>
      </c>
      <c r="E2841" t="inlineStr">
        <is>
          <t>LINDESBERG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59637-2021</t>
        </is>
      </c>
      <c r="B2842" s="1" t="n">
        <v>44493</v>
      </c>
      <c r="C2842" s="1" t="n">
        <v>45797</v>
      </c>
      <c r="D2842" t="inlineStr">
        <is>
          <t>ÖREBRO LÄN</t>
        </is>
      </c>
      <c r="E2842" t="inlineStr">
        <is>
          <t>NORA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59699-2021</t>
        </is>
      </c>
      <c r="B2843" s="1" t="n">
        <v>44494</v>
      </c>
      <c r="C2843" s="1" t="n">
        <v>45797</v>
      </c>
      <c r="D2843" t="inlineStr">
        <is>
          <t>ÖREBRO LÄN</t>
        </is>
      </c>
      <c r="E2843" t="inlineStr">
        <is>
          <t>LJUSNARSBERG</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59705-2021</t>
        </is>
      </c>
      <c r="B2844" s="1" t="n">
        <v>44494</v>
      </c>
      <c r="C2844" s="1" t="n">
        <v>45797</v>
      </c>
      <c r="D2844" t="inlineStr">
        <is>
          <t>ÖREBRO LÄN</t>
        </is>
      </c>
      <c r="E2844" t="inlineStr">
        <is>
          <t>LINDESBERG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59907-2021</t>
        </is>
      </c>
      <c r="B2845" s="1" t="n">
        <v>44494</v>
      </c>
      <c r="C2845" s="1" t="n">
        <v>45797</v>
      </c>
      <c r="D2845" t="inlineStr">
        <is>
          <t>ÖREBRO LÄN</t>
        </is>
      </c>
      <c r="E2845" t="inlineStr">
        <is>
          <t>LAXÅ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59865-2021</t>
        </is>
      </c>
      <c r="B2846" s="1" t="n">
        <v>44494</v>
      </c>
      <c r="C2846" s="1" t="n">
        <v>45797</v>
      </c>
      <c r="D2846" t="inlineStr">
        <is>
          <t>ÖREBRO LÄN</t>
        </is>
      </c>
      <c r="E2846" t="inlineStr">
        <is>
          <t>ASKERSUND</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59892-2021</t>
        </is>
      </c>
      <c r="B2847" s="1" t="n">
        <v>44494</v>
      </c>
      <c r="C2847" s="1" t="n">
        <v>45797</v>
      </c>
      <c r="D2847" t="inlineStr">
        <is>
          <t>ÖREBRO LÄN</t>
        </is>
      </c>
      <c r="E2847" t="inlineStr">
        <is>
          <t>LAXÅ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59933-2021</t>
        </is>
      </c>
      <c r="B2848" s="1" t="n">
        <v>44494</v>
      </c>
      <c r="C2848" s="1" t="n">
        <v>45797</v>
      </c>
      <c r="D2848" t="inlineStr">
        <is>
          <t>ÖREBRO LÄN</t>
        </is>
      </c>
      <c r="E2848" t="inlineStr">
        <is>
          <t>ASKERSUND</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59942-2021</t>
        </is>
      </c>
      <c r="B2849" s="1" t="n">
        <v>44494</v>
      </c>
      <c r="C2849" s="1" t="n">
        <v>45797</v>
      </c>
      <c r="D2849" t="inlineStr">
        <is>
          <t>ÖREBRO LÄN</t>
        </is>
      </c>
      <c r="E2849" t="inlineStr">
        <is>
          <t>NORA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60049-2021</t>
        </is>
      </c>
      <c r="B2850" s="1" t="n">
        <v>44495</v>
      </c>
      <c r="C2850" s="1" t="n">
        <v>45797</v>
      </c>
      <c r="D2850" t="inlineStr">
        <is>
          <t>ÖREBRO LÄN</t>
        </is>
      </c>
      <c r="E2850" t="inlineStr">
        <is>
          <t>NORA</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60240-2021</t>
        </is>
      </c>
      <c r="B2851" s="1" t="n">
        <v>44495</v>
      </c>
      <c r="C2851" s="1" t="n">
        <v>45797</v>
      </c>
      <c r="D2851" t="inlineStr">
        <is>
          <t>ÖREBRO LÄN</t>
        </is>
      </c>
      <c r="E2851" t="inlineStr">
        <is>
          <t>ASKERSUND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60302-2021</t>
        </is>
      </c>
      <c r="B2852" s="1" t="n">
        <v>44495</v>
      </c>
      <c r="C2852" s="1" t="n">
        <v>45797</v>
      </c>
      <c r="D2852" t="inlineStr">
        <is>
          <t>ÖREBRO LÄN</t>
        </is>
      </c>
      <c r="E2852" t="inlineStr">
        <is>
          <t>LINDESBERG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60518-2021</t>
        </is>
      </c>
      <c r="B2853" s="1" t="n">
        <v>44496</v>
      </c>
      <c r="C2853" s="1" t="n">
        <v>45797</v>
      </c>
      <c r="D2853" t="inlineStr">
        <is>
          <t>ÖREBRO LÄN</t>
        </is>
      </c>
      <c r="E2853" t="inlineStr">
        <is>
          <t>HÄLLEFORS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60685-2021</t>
        </is>
      </c>
      <c r="B2854" s="1" t="n">
        <v>44496</v>
      </c>
      <c r="C2854" s="1" t="n">
        <v>45797</v>
      </c>
      <c r="D2854" t="inlineStr">
        <is>
          <t>ÖREBRO LÄN</t>
        </is>
      </c>
      <c r="E2854" t="inlineStr">
        <is>
          <t>HALLSBERG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63630-2021</t>
        </is>
      </c>
      <c r="B2855" s="1" t="n">
        <v>44496</v>
      </c>
      <c r="C2855" s="1" t="n">
        <v>45797</v>
      </c>
      <c r="D2855" t="inlineStr">
        <is>
          <t>ÖREBRO LÄN</t>
        </is>
      </c>
      <c r="E2855" t="inlineStr">
        <is>
          <t>LAXÅ</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61054-2021</t>
        </is>
      </c>
      <c r="B2856" s="1" t="n">
        <v>44497</v>
      </c>
      <c r="C2856" s="1" t="n">
        <v>45797</v>
      </c>
      <c r="D2856" t="inlineStr">
        <is>
          <t>ÖREBRO LÄN</t>
        </is>
      </c>
      <c r="E2856" t="inlineStr">
        <is>
          <t>ASKERSUND</t>
        </is>
      </c>
      <c r="F2856" t="inlineStr">
        <is>
          <t>Sveaskog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61056-2021</t>
        </is>
      </c>
      <c r="B2857" s="1" t="n">
        <v>44497</v>
      </c>
      <c r="C2857" s="1" t="n">
        <v>45797</v>
      </c>
      <c r="D2857" t="inlineStr">
        <is>
          <t>ÖREBRO LÄN</t>
        </is>
      </c>
      <c r="E2857" t="inlineStr">
        <is>
          <t>ASKERSUND</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60965-2021</t>
        </is>
      </c>
      <c r="B2858" s="1" t="n">
        <v>44497</v>
      </c>
      <c r="C2858" s="1" t="n">
        <v>45797</v>
      </c>
      <c r="D2858" t="inlineStr">
        <is>
          <t>ÖREBRO LÄN</t>
        </is>
      </c>
      <c r="E2858" t="inlineStr">
        <is>
          <t>ASKERSUND</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60959-2021</t>
        </is>
      </c>
      <c r="B2859" s="1" t="n">
        <v>44497</v>
      </c>
      <c r="C2859" s="1" t="n">
        <v>45797</v>
      </c>
      <c r="D2859" t="inlineStr">
        <is>
          <t>ÖREBRO LÄN</t>
        </is>
      </c>
      <c r="E2859" t="inlineStr">
        <is>
          <t>ASKERSUND</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60889-2021</t>
        </is>
      </c>
      <c r="B2860" s="1" t="n">
        <v>44497</v>
      </c>
      <c r="C2860" s="1" t="n">
        <v>45797</v>
      </c>
      <c r="D2860" t="inlineStr">
        <is>
          <t>ÖREBRO LÄN</t>
        </is>
      </c>
      <c r="E2860" t="inlineStr">
        <is>
          <t>DEGERFORS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60900-2021</t>
        </is>
      </c>
      <c r="B2861" s="1" t="n">
        <v>44497</v>
      </c>
      <c r="C2861" s="1" t="n">
        <v>45797</v>
      </c>
      <c r="D2861" t="inlineStr">
        <is>
          <t>ÖREBRO LÄN</t>
        </is>
      </c>
      <c r="E2861" t="inlineStr">
        <is>
          <t>LINDESBERG</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60961-2021</t>
        </is>
      </c>
      <c r="B2862" s="1" t="n">
        <v>44497</v>
      </c>
      <c r="C2862" s="1" t="n">
        <v>45797</v>
      </c>
      <c r="D2862" t="inlineStr">
        <is>
          <t>ÖREBRO LÄN</t>
        </is>
      </c>
      <c r="E2862" t="inlineStr">
        <is>
          <t>ASKERSUND</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61232-2021</t>
        </is>
      </c>
      <c r="B2863" s="1" t="n">
        <v>44498</v>
      </c>
      <c r="C2863" s="1" t="n">
        <v>45797</v>
      </c>
      <c r="D2863" t="inlineStr">
        <is>
          <t>ÖREBRO LÄN</t>
        </is>
      </c>
      <c r="E2863" t="inlineStr">
        <is>
          <t>ÖREBRO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61515-2021</t>
        </is>
      </c>
      <c r="B2864" s="1" t="n">
        <v>44501</v>
      </c>
      <c r="C2864" s="1" t="n">
        <v>45797</v>
      </c>
      <c r="D2864" t="inlineStr">
        <is>
          <t>ÖREBRO LÄN</t>
        </is>
      </c>
      <c r="E2864" t="inlineStr">
        <is>
          <t>LINDESBERG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61517-2021</t>
        </is>
      </c>
      <c r="B2865" s="1" t="n">
        <v>44501</v>
      </c>
      <c r="C2865" s="1" t="n">
        <v>45797</v>
      </c>
      <c r="D2865" t="inlineStr">
        <is>
          <t>ÖREBRO LÄN</t>
        </is>
      </c>
      <c r="E2865" t="inlineStr">
        <is>
          <t>ASKERSUND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61570-2021</t>
        </is>
      </c>
      <c r="B2866" s="1" t="n">
        <v>44501</v>
      </c>
      <c r="C2866" s="1" t="n">
        <v>45797</v>
      </c>
      <c r="D2866" t="inlineStr">
        <is>
          <t>ÖREBRO LÄN</t>
        </is>
      </c>
      <c r="E2866" t="inlineStr">
        <is>
          <t>ASKERSUND</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61750-2021</t>
        </is>
      </c>
      <c r="B2867" s="1" t="n">
        <v>44501</v>
      </c>
      <c r="C2867" s="1" t="n">
        <v>45797</v>
      </c>
      <c r="D2867" t="inlineStr">
        <is>
          <t>ÖREBRO LÄN</t>
        </is>
      </c>
      <c r="E2867" t="inlineStr">
        <is>
          <t>DEGERFORS</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62014-2021</t>
        </is>
      </c>
      <c r="B2868" s="1" t="n">
        <v>44502</v>
      </c>
      <c r="C2868" s="1" t="n">
        <v>45797</v>
      </c>
      <c r="D2868" t="inlineStr">
        <is>
          <t>ÖREBRO LÄN</t>
        </is>
      </c>
      <c r="E2868" t="inlineStr">
        <is>
          <t>LINDESBERG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62010-2021</t>
        </is>
      </c>
      <c r="B2869" s="1" t="n">
        <v>44502</v>
      </c>
      <c r="C2869" s="1" t="n">
        <v>45797</v>
      </c>
      <c r="D2869" t="inlineStr">
        <is>
          <t>ÖREBRO LÄN</t>
        </is>
      </c>
      <c r="E2869" t="inlineStr">
        <is>
          <t>LINDESBERG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62178-2021</t>
        </is>
      </c>
      <c r="B2870" s="1" t="n">
        <v>44502</v>
      </c>
      <c r="C2870" s="1" t="n">
        <v>45797</v>
      </c>
      <c r="D2870" t="inlineStr">
        <is>
          <t>ÖREBRO LÄN</t>
        </is>
      </c>
      <c r="E2870" t="inlineStr">
        <is>
          <t>HÄLLEFORS</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62437-2021</t>
        </is>
      </c>
      <c r="B2871" s="1" t="n">
        <v>44503</v>
      </c>
      <c r="C2871" s="1" t="n">
        <v>45797</v>
      </c>
      <c r="D2871" t="inlineStr">
        <is>
          <t>ÖREBRO LÄN</t>
        </is>
      </c>
      <c r="E2871" t="inlineStr">
        <is>
          <t>LAXÅ</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62454-2021</t>
        </is>
      </c>
      <c r="B2872" s="1" t="n">
        <v>44503</v>
      </c>
      <c r="C2872" s="1" t="n">
        <v>45797</v>
      </c>
      <c r="D2872" t="inlineStr">
        <is>
          <t>ÖREBRO LÄN</t>
        </is>
      </c>
      <c r="E2872" t="inlineStr">
        <is>
          <t>LAXÅ</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62458-2021</t>
        </is>
      </c>
      <c r="B2873" s="1" t="n">
        <v>44503</v>
      </c>
      <c r="C2873" s="1" t="n">
        <v>45797</v>
      </c>
      <c r="D2873" t="inlineStr">
        <is>
          <t>ÖREBRO LÄN</t>
        </is>
      </c>
      <c r="E2873" t="inlineStr">
        <is>
          <t>LAXÅ</t>
        </is>
      </c>
      <c r="F2873" t="inlineStr">
        <is>
          <t>Sveaskog</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62405-2021</t>
        </is>
      </c>
      <c r="B2874" s="1" t="n">
        <v>44503</v>
      </c>
      <c r="C2874" s="1" t="n">
        <v>45797</v>
      </c>
      <c r="D2874" t="inlineStr">
        <is>
          <t>ÖREBRO LÄN</t>
        </is>
      </c>
      <c r="E2874" t="inlineStr">
        <is>
          <t>LAXÅ</t>
        </is>
      </c>
      <c r="F2874" t="inlineStr">
        <is>
          <t>Sveaskog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62428-2021</t>
        </is>
      </c>
      <c r="B2875" s="1" t="n">
        <v>44503</v>
      </c>
      <c r="C2875" s="1" t="n">
        <v>45797</v>
      </c>
      <c r="D2875" t="inlineStr">
        <is>
          <t>ÖREBRO LÄN</t>
        </is>
      </c>
      <c r="E2875" t="inlineStr">
        <is>
          <t>LAXÅ</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62438-2021</t>
        </is>
      </c>
      <c r="B2876" s="1" t="n">
        <v>44503</v>
      </c>
      <c r="C2876" s="1" t="n">
        <v>45797</v>
      </c>
      <c r="D2876" t="inlineStr">
        <is>
          <t>ÖREBRO LÄN</t>
        </is>
      </c>
      <c r="E2876" t="inlineStr">
        <is>
          <t>LAXÅ</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62455-2021</t>
        </is>
      </c>
      <c r="B2877" s="1" t="n">
        <v>44503</v>
      </c>
      <c r="C2877" s="1" t="n">
        <v>45797</v>
      </c>
      <c r="D2877" t="inlineStr">
        <is>
          <t>ÖREBRO LÄN</t>
        </is>
      </c>
      <c r="E2877" t="inlineStr">
        <is>
          <t>LAXÅ</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62459-2021</t>
        </is>
      </c>
      <c r="B2878" s="1" t="n">
        <v>44503</v>
      </c>
      <c r="C2878" s="1" t="n">
        <v>45797</v>
      </c>
      <c r="D2878" t="inlineStr">
        <is>
          <t>ÖREBRO LÄN</t>
        </is>
      </c>
      <c r="E2878" t="inlineStr">
        <is>
          <t>LAXÅ</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62584-2021</t>
        </is>
      </c>
      <c r="B2879" s="1" t="n">
        <v>44503</v>
      </c>
      <c r="C2879" s="1" t="n">
        <v>45797</v>
      </c>
      <c r="D2879" t="inlineStr">
        <is>
          <t>ÖREBRO LÄN</t>
        </is>
      </c>
      <c r="E2879" t="inlineStr">
        <is>
          <t>ASKERSUND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62592-2021</t>
        </is>
      </c>
      <c r="B2880" s="1" t="n">
        <v>44503</v>
      </c>
      <c r="C2880" s="1" t="n">
        <v>45797</v>
      </c>
      <c r="D2880" t="inlineStr">
        <is>
          <t>ÖREBRO LÄN</t>
        </is>
      </c>
      <c r="E2880" t="inlineStr">
        <is>
          <t>NORA</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62439-2021</t>
        </is>
      </c>
      <c r="B2881" s="1" t="n">
        <v>44503</v>
      </c>
      <c r="C2881" s="1" t="n">
        <v>45797</v>
      </c>
      <c r="D2881" t="inlineStr">
        <is>
          <t>ÖREBRO LÄN</t>
        </is>
      </c>
      <c r="E2881" t="inlineStr">
        <is>
          <t>LAXÅ</t>
        </is>
      </c>
      <c r="F2881" t="inlineStr">
        <is>
          <t>Sveaskog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62456-2021</t>
        </is>
      </c>
      <c r="B2882" s="1" t="n">
        <v>44503</v>
      </c>
      <c r="C2882" s="1" t="n">
        <v>45797</v>
      </c>
      <c r="D2882" t="inlineStr">
        <is>
          <t>ÖREBRO LÄN</t>
        </is>
      </c>
      <c r="E2882" t="inlineStr">
        <is>
          <t>LAXÅ</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62460-2021</t>
        </is>
      </c>
      <c r="B2883" s="1" t="n">
        <v>44503</v>
      </c>
      <c r="C2883" s="1" t="n">
        <v>45797</v>
      </c>
      <c r="D2883" t="inlineStr">
        <is>
          <t>ÖREBRO LÄN</t>
        </is>
      </c>
      <c r="E2883" t="inlineStr">
        <is>
          <t>LAXÅ</t>
        </is>
      </c>
      <c r="F2883" t="inlineStr">
        <is>
          <t>Sveaskog</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62586-2021</t>
        </is>
      </c>
      <c r="B2884" s="1" t="n">
        <v>44503</v>
      </c>
      <c r="C2884" s="1" t="n">
        <v>45797</v>
      </c>
      <c r="D2884" t="inlineStr">
        <is>
          <t>ÖREBRO LÄN</t>
        </is>
      </c>
      <c r="E2884" t="inlineStr">
        <is>
          <t>LINDESBERG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62608-2021</t>
        </is>
      </c>
      <c r="B2885" s="1" t="n">
        <v>44503</v>
      </c>
      <c r="C2885" s="1" t="n">
        <v>45797</v>
      </c>
      <c r="D2885" t="inlineStr">
        <is>
          <t>ÖREBRO LÄN</t>
        </is>
      </c>
      <c r="E2885" t="inlineStr">
        <is>
          <t>LINDESBERG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62402-2021</t>
        </is>
      </c>
      <c r="B2886" s="1" t="n">
        <v>44503</v>
      </c>
      <c r="C2886" s="1" t="n">
        <v>45797</v>
      </c>
      <c r="D2886" t="inlineStr">
        <is>
          <t>ÖREBRO LÄN</t>
        </is>
      </c>
      <c r="E2886" t="inlineStr">
        <is>
          <t>LAXÅ</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62423-2021</t>
        </is>
      </c>
      <c r="B2887" s="1" t="n">
        <v>44503</v>
      </c>
      <c r="C2887" s="1" t="n">
        <v>45797</v>
      </c>
      <c r="D2887" t="inlineStr">
        <is>
          <t>ÖREBRO LÄN</t>
        </is>
      </c>
      <c r="E2887" t="inlineStr">
        <is>
          <t>LAXÅ</t>
        </is>
      </c>
      <c r="F2887" t="inlineStr">
        <is>
          <t>Sveaskog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62457-2021</t>
        </is>
      </c>
      <c r="B2888" s="1" t="n">
        <v>44503</v>
      </c>
      <c r="C2888" s="1" t="n">
        <v>45797</v>
      </c>
      <c r="D2888" t="inlineStr">
        <is>
          <t>ÖREBRO LÄN</t>
        </is>
      </c>
      <c r="E2888" t="inlineStr">
        <is>
          <t>LAXÅ</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62832-2021</t>
        </is>
      </c>
      <c r="B2889" s="1" t="n">
        <v>44503</v>
      </c>
      <c r="C2889" s="1" t="n">
        <v>45797</v>
      </c>
      <c r="D2889" t="inlineStr">
        <is>
          <t>ÖREBRO LÄN</t>
        </is>
      </c>
      <c r="E2889" t="inlineStr">
        <is>
          <t>ASKERSUND</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62810-2021</t>
        </is>
      </c>
      <c r="B2890" s="1" t="n">
        <v>44503</v>
      </c>
      <c r="C2890" s="1" t="n">
        <v>45797</v>
      </c>
      <c r="D2890" t="inlineStr">
        <is>
          <t>ÖREBRO LÄN</t>
        </is>
      </c>
      <c r="E2890" t="inlineStr">
        <is>
          <t>LJUSNARSBERG</t>
        </is>
      </c>
      <c r="F2890" t="inlineStr">
        <is>
          <t>Bergvik skog väst AB</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62843-2021</t>
        </is>
      </c>
      <c r="B2891" s="1" t="n">
        <v>44503</v>
      </c>
      <c r="C2891" s="1" t="n">
        <v>45797</v>
      </c>
      <c r="D2891" t="inlineStr">
        <is>
          <t>ÖREBRO LÄN</t>
        </is>
      </c>
      <c r="E2891" t="inlineStr">
        <is>
          <t>LJUSNARSBERG</t>
        </is>
      </c>
      <c r="F2891" t="inlineStr">
        <is>
          <t>Bergvik skog väst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62794-2021</t>
        </is>
      </c>
      <c r="B2892" s="1" t="n">
        <v>44504</v>
      </c>
      <c r="C2892" s="1" t="n">
        <v>45797</v>
      </c>
      <c r="D2892" t="inlineStr">
        <is>
          <t>ÖREBRO LÄN</t>
        </is>
      </c>
      <c r="E2892" t="inlineStr">
        <is>
          <t>ÖREBRO</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62922-2021</t>
        </is>
      </c>
      <c r="B2893" s="1" t="n">
        <v>44504</v>
      </c>
      <c r="C2893" s="1" t="n">
        <v>45797</v>
      </c>
      <c r="D2893" t="inlineStr">
        <is>
          <t>ÖREBRO LÄN</t>
        </is>
      </c>
      <c r="E2893" t="inlineStr">
        <is>
          <t>LINDESBERG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63010-2021</t>
        </is>
      </c>
      <c r="B2894" s="1" t="n">
        <v>44505</v>
      </c>
      <c r="C2894" s="1" t="n">
        <v>45797</v>
      </c>
      <c r="D2894" t="inlineStr">
        <is>
          <t>ÖREBRO LÄN</t>
        </is>
      </c>
      <c r="E2894" t="inlineStr">
        <is>
          <t>DEGERFORS</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62981-2021</t>
        </is>
      </c>
      <c r="B2895" s="1" t="n">
        <v>44505</v>
      </c>
      <c r="C2895" s="1" t="n">
        <v>45797</v>
      </c>
      <c r="D2895" t="inlineStr">
        <is>
          <t>ÖREBRO LÄN</t>
        </is>
      </c>
      <c r="E2895" t="inlineStr">
        <is>
          <t>LINDESBERG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63071-2021</t>
        </is>
      </c>
      <c r="B2896" s="1" t="n">
        <v>44505</v>
      </c>
      <c r="C2896" s="1" t="n">
        <v>45797</v>
      </c>
      <c r="D2896" t="inlineStr">
        <is>
          <t>ÖREBRO LÄN</t>
        </is>
      </c>
      <c r="E2896" t="inlineStr">
        <is>
          <t>LINDESBERG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63247-2021</t>
        </is>
      </c>
      <c r="B2897" s="1" t="n">
        <v>44505</v>
      </c>
      <c r="C2897" s="1" t="n">
        <v>45797</v>
      </c>
      <c r="D2897" t="inlineStr">
        <is>
          <t>ÖREBRO LÄN</t>
        </is>
      </c>
      <c r="E2897" t="inlineStr">
        <is>
          <t>ÖREBRO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63285-2021</t>
        </is>
      </c>
      <c r="B2898" s="1" t="n">
        <v>44508</v>
      </c>
      <c r="C2898" s="1" t="n">
        <v>45797</v>
      </c>
      <c r="D2898" t="inlineStr">
        <is>
          <t>ÖREBRO LÄN</t>
        </is>
      </c>
      <c r="E2898" t="inlineStr">
        <is>
          <t>LINDESBERG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63422-2021</t>
        </is>
      </c>
      <c r="B2899" s="1" t="n">
        <v>44508</v>
      </c>
      <c r="C2899" s="1" t="n">
        <v>45797</v>
      </c>
      <c r="D2899" t="inlineStr">
        <is>
          <t>ÖREBRO LÄN</t>
        </is>
      </c>
      <c r="E2899" t="inlineStr">
        <is>
          <t>ASKERSUND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63504-2021</t>
        </is>
      </c>
      <c r="B2900" s="1" t="n">
        <v>44508</v>
      </c>
      <c r="C2900" s="1" t="n">
        <v>45797</v>
      </c>
      <c r="D2900" t="inlineStr">
        <is>
          <t>ÖREBRO LÄN</t>
        </is>
      </c>
      <c r="E2900" t="inlineStr">
        <is>
          <t>ASKERSUND</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63567-2021</t>
        </is>
      </c>
      <c r="B2901" s="1" t="n">
        <v>44508</v>
      </c>
      <c r="C2901" s="1" t="n">
        <v>45797</v>
      </c>
      <c r="D2901" t="inlineStr">
        <is>
          <t>ÖREBRO LÄN</t>
        </is>
      </c>
      <c r="E2901" t="inlineStr">
        <is>
          <t>LEKEBERG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63671-2021</t>
        </is>
      </c>
      <c r="B2902" s="1" t="n">
        <v>44508</v>
      </c>
      <c r="C2902" s="1" t="n">
        <v>45797</v>
      </c>
      <c r="D2902" t="inlineStr">
        <is>
          <t>ÖREBRO LÄN</t>
        </is>
      </c>
      <c r="E2902" t="inlineStr">
        <is>
          <t>KARLSKOGA</t>
        </is>
      </c>
      <c r="F2902" t="inlineStr">
        <is>
          <t>Kommuner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63517-2021</t>
        </is>
      </c>
      <c r="B2903" s="1" t="n">
        <v>44508</v>
      </c>
      <c r="C2903" s="1" t="n">
        <v>45797</v>
      </c>
      <c r="D2903" t="inlineStr">
        <is>
          <t>ÖREBRO LÄN</t>
        </is>
      </c>
      <c r="E2903" t="inlineStr">
        <is>
          <t>ASKERSUND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63535-2021</t>
        </is>
      </c>
      <c r="B2904" s="1" t="n">
        <v>44508</v>
      </c>
      <c r="C2904" s="1" t="n">
        <v>45797</v>
      </c>
      <c r="D2904" t="inlineStr">
        <is>
          <t>ÖREBRO LÄN</t>
        </is>
      </c>
      <c r="E2904" t="inlineStr">
        <is>
          <t>ASKERSUND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63890-2021</t>
        </is>
      </c>
      <c r="B2905" s="1" t="n">
        <v>44509</v>
      </c>
      <c r="C2905" s="1" t="n">
        <v>45797</v>
      </c>
      <c r="D2905" t="inlineStr">
        <is>
          <t>ÖREBRO LÄN</t>
        </is>
      </c>
      <c r="E2905" t="inlineStr">
        <is>
          <t>ÖREBRO</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63906-2021</t>
        </is>
      </c>
      <c r="B2906" s="1" t="n">
        <v>44509</v>
      </c>
      <c r="C2906" s="1" t="n">
        <v>45797</v>
      </c>
      <c r="D2906" t="inlineStr">
        <is>
          <t>ÖREBRO LÄN</t>
        </is>
      </c>
      <c r="E2906" t="inlineStr">
        <is>
          <t>DEGERFORS</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63786-2021</t>
        </is>
      </c>
      <c r="B2907" s="1" t="n">
        <v>44509</v>
      </c>
      <c r="C2907" s="1" t="n">
        <v>45797</v>
      </c>
      <c r="D2907" t="inlineStr">
        <is>
          <t>ÖREBRO LÄN</t>
        </is>
      </c>
      <c r="E2907" t="inlineStr">
        <is>
          <t>ASKERSUND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63904-2021</t>
        </is>
      </c>
      <c r="B2908" s="1" t="n">
        <v>44509</v>
      </c>
      <c r="C2908" s="1" t="n">
        <v>45797</v>
      </c>
      <c r="D2908" t="inlineStr">
        <is>
          <t>ÖREBRO LÄN</t>
        </is>
      </c>
      <c r="E2908" t="inlineStr">
        <is>
          <t>DEGERFORS</t>
        </is>
      </c>
      <c r="F2908" t="inlineStr">
        <is>
          <t>Sveaskog</t>
        </is>
      </c>
      <c r="G2908" t="n">
        <v>13.3</v>
      </c>
      <c r="H2908" t="n">
        <v>0</v>
      </c>
      <c r="I2908" t="n">
        <v>0</v>
      </c>
      <c r="J2908" t="n">
        <v>0</v>
      </c>
      <c r="K2908" t="n">
        <v>0</v>
      </c>
      <c r="L2908" t="n">
        <v>0</v>
      </c>
      <c r="M2908" t="n">
        <v>0</v>
      </c>
      <c r="N2908" t="n">
        <v>0</v>
      </c>
      <c r="O2908" t="n">
        <v>0</v>
      </c>
      <c r="P2908" t="n">
        <v>0</v>
      </c>
      <c r="Q2908" t="n">
        <v>0</v>
      </c>
      <c r="R2908" s="2" t="inlineStr"/>
    </row>
    <row r="2909" ht="15" customHeight="1">
      <c r="A2909" t="inlineStr">
        <is>
          <t>A 63930-2021</t>
        </is>
      </c>
      <c r="B2909" s="1" t="n">
        <v>44509</v>
      </c>
      <c r="C2909" s="1" t="n">
        <v>45797</v>
      </c>
      <c r="D2909" t="inlineStr">
        <is>
          <t>ÖREBRO LÄN</t>
        </is>
      </c>
      <c r="E2909" t="inlineStr">
        <is>
          <t>ASKERSUND</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63939-2021</t>
        </is>
      </c>
      <c r="B2910" s="1" t="n">
        <v>44509</v>
      </c>
      <c r="C2910" s="1" t="n">
        <v>45797</v>
      </c>
      <c r="D2910" t="inlineStr">
        <is>
          <t>ÖREBRO LÄN</t>
        </is>
      </c>
      <c r="E2910" t="inlineStr">
        <is>
          <t>ASKERSUND</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63949-2021</t>
        </is>
      </c>
      <c r="B2911" s="1" t="n">
        <v>44509</v>
      </c>
      <c r="C2911" s="1" t="n">
        <v>45797</v>
      </c>
      <c r="D2911" t="inlineStr">
        <is>
          <t>ÖREBRO LÄN</t>
        </is>
      </c>
      <c r="E2911" t="inlineStr">
        <is>
          <t>ASKERSUND</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64115-2021</t>
        </is>
      </c>
      <c r="B2912" s="1" t="n">
        <v>44509</v>
      </c>
      <c r="C2912" s="1" t="n">
        <v>45797</v>
      </c>
      <c r="D2912" t="inlineStr">
        <is>
          <t>ÖREBRO LÄN</t>
        </is>
      </c>
      <c r="E2912" t="inlineStr">
        <is>
          <t>ASKERSUND</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63905-2021</t>
        </is>
      </c>
      <c r="B2913" s="1" t="n">
        <v>44509</v>
      </c>
      <c r="C2913" s="1" t="n">
        <v>45797</v>
      </c>
      <c r="D2913" t="inlineStr">
        <is>
          <t>ÖREBRO LÄN</t>
        </is>
      </c>
      <c r="E2913" t="inlineStr">
        <is>
          <t>DEGERFORS</t>
        </is>
      </c>
      <c r="F2913" t="inlineStr">
        <is>
          <t>Sveaskog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63941-2021</t>
        </is>
      </c>
      <c r="B2914" s="1" t="n">
        <v>44509</v>
      </c>
      <c r="C2914" s="1" t="n">
        <v>45797</v>
      </c>
      <c r="D2914" t="inlineStr">
        <is>
          <t>ÖREBRO LÄN</t>
        </is>
      </c>
      <c r="E2914" t="inlineStr">
        <is>
          <t>ASKERSUND</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63938-2021</t>
        </is>
      </c>
      <c r="B2915" s="1" t="n">
        <v>44509</v>
      </c>
      <c r="C2915" s="1" t="n">
        <v>45797</v>
      </c>
      <c r="D2915" t="inlineStr">
        <is>
          <t>ÖREBRO LÄN</t>
        </is>
      </c>
      <c r="E2915" t="inlineStr">
        <is>
          <t>ASKERSUND</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64133-2021</t>
        </is>
      </c>
      <c r="B2916" s="1" t="n">
        <v>44510</v>
      </c>
      <c r="C2916" s="1" t="n">
        <v>45797</v>
      </c>
      <c r="D2916" t="inlineStr">
        <is>
          <t>ÖREBRO LÄN</t>
        </is>
      </c>
      <c r="E2916" t="inlineStr">
        <is>
          <t>KARLSKOGA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64156-2021</t>
        </is>
      </c>
      <c r="B2917" s="1" t="n">
        <v>44510</v>
      </c>
      <c r="C2917" s="1" t="n">
        <v>45797</v>
      </c>
      <c r="D2917" t="inlineStr">
        <is>
          <t>ÖREBRO LÄN</t>
        </is>
      </c>
      <c r="E2917" t="inlineStr">
        <is>
          <t>LEKEBERG</t>
        </is>
      </c>
      <c r="F2917" t="inlineStr">
        <is>
          <t>Sveaskog</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64007-2021</t>
        </is>
      </c>
      <c r="B2918" s="1" t="n">
        <v>44510</v>
      </c>
      <c r="C2918" s="1" t="n">
        <v>45797</v>
      </c>
      <c r="D2918" t="inlineStr">
        <is>
          <t>ÖREBRO LÄN</t>
        </is>
      </c>
      <c r="E2918" t="inlineStr">
        <is>
          <t>ASKERSUND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64008-2021</t>
        </is>
      </c>
      <c r="B2919" s="1" t="n">
        <v>44510</v>
      </c>
      <c r="C2919" s="1" t="n">
        <v>45797</v>
      </c>
      <c r="D2919" t="inlineStr">
        <is>
          <t>ÖREBRO LÄN</t>
        </is>
      </c>
      <c r="E2919" t="inlineStr">
        <is>
          <t>ASKERSUND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64089-2021</t>
        </is>
      </c>
      <c r="B2920" s="1" t="n">
        <v>44510</v>
      </c>
      <c r="C2920" s="1" t="n">
        <v>45797</v>
      </c>
      <c r="D2920" t="inlineStr">
        <is>
          <t>ÖREBRO LÄN</t>
        </is>
      </c>
      <c r="E2920" t="inlineStr">
        <is>
          <t>KARLSKOGA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64275-2021</t>
        </is>
      </c>
      <c r="B2921" s="1" t="n">
        <v>44510</v>
      </c>
      <c r="C2921" s="1" t="n">
        <v>45797</v>
      </c>
      <c r="D2921" t="inlineStr">
        <is>
          <t>ÖREBRO LÄN</t>
        </is>
      </c>
      <c r="E2921" t="inlineStr">
        <is>
          <t>KARLSKOGA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64400-2021</t>
        </is>
      </c>
      <c r="B2922" s="1" t="n">
        <v>44511</v>
      </c>
      <c r="C2922" s="1" t="n">
        <v>45797</v>
      </c>
      <c r="D2922" t="inlineStr">
        <is>
          <t>ÖREBRO LÄN</t>
        </is>
      </c>
      <c r="E2922" t="inlineStr">
        <is>
          <t>LJUSNARSBERG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64427-2021</t>
        </is>
      </c>
      <c r="B2923" s="1" t="n">
        <v>44511</v>
      </c>
      <c r="C2923" s="1" t="n">
        <v>45797</v>
      </c>
      <c r="D2923" t="inlineStr">
        <is>
          <t>ÖREBRO LÄN</t>
        </is>
      </c>
      <c r="E2923" t="inlineStr">
        <is>
          <t>LINDESBERG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64372-2021</t>
        </is>
      </c>
      <c r="B2924" s="1" t="n">
        <v>44511</v>
      </c>
      <c r="C2924" s="1" t="n">
        <v>45797</v>
      </c>
      <c r="D2924" t="inlineStr">
        <is>
          <t>ÖREBRO LÄN</t>
        </is>
      </c>
      <c r="E2924" t="inlineStr">
        <is>
          <t>LINDESBERG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64523-2021</t>
        </is>
      </c>
      <c r="B2925" s="1" t="n">
        <v>44511</v>
      </c>
      <c r="C2925" s="1" t="n">
        <v>45797</v>
      </c>
      <c r="D2925" t="inlineStr">
        <is>
          <t>ÖREBRO LÄN</t>
        </is>
      </c>
      <c r="E2925" t="inlineStr">
        <is>
          <t>ÖREBRO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64614-2021</t>
        </is>
      </c>
      <c r="B2926" s="1" t="n">
        <v>44511</v>
      </c>
      <c r="C2926" s="1" t="n">
        <v>45797</v>
      </c>
      <c r="D2926" t="inlineStr">
        <is>
          <t>ÖREBRO LÄN</t>
        </is>
      </c>
      <c r="E2926" t="inlineStr">
        <is>
          <t>ASKERSUND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64778-2021</t>
        </is>
      </c>
      <c r="B2927" s="1" t="n">
        <v>44512</v>
      </c>
      <c r="C2927" s="1" t="n">
        <v>45797</v>
      </c>
      <c r="D2927" t="inlineStr">
        <is>
          <t>ÖREBRO LÄN</t>
        </is>
      </c>
      <c r="E2927" t="inlineStr">
        <is>
          <t>ASKERSUND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64869-2021</t>
        </is>
      </c>
      <c r="B2928" s="1" t="n">
        <v>44512</v>
      </c>
      <c r="C2928" s="1" t="n">
        <v>45797</v>
      </c>
      <c r="D2928" t="inlineStr">
        <is>
          <t>ÖREBRO LÄN</t>
        </is>
      </c>
      <c r="E2928" t="inlineStr">
        <is>
          <t>KARLSKOGA</t>
        </is>
      </c>
      <c r="F2928" t="inlineStr">
        <is>
          <t>Sveaskog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64978-2021</t>
        </is>
      </c>
      <c r="B2929" s="1" t="n">
        <v>44513</v>
      </c>
      <c r="C2929" s="1" t="n">
        <v>45797</v>
      </c>
      <c r="D2929" t="inlineStr">
        <is>
          <t>ÖREBRO LÄN</t>
        </is>
      </c>
      <c r="E2929" t="inlineStr">
        <is>
          <t>LJUSNARSBERG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65000-2021</t>
        </is>
      </c>
      <c r="B2930" s="1" t="n">
        <v>44514</v>
      </c>
      <c r="C2930" s="1" t="n">
        <v>45797</v>
      </c>
      <c r="D2930" t="inlineStr">
        <is>
          <t>ÖREBRO LÄN</t>
        </is>
      </c>
      <c r="E2930" t="inlineStr">
        <is>
          <t>ASKERSUND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65240-2021</t>
        </is>
      </c>
      <c r="B2931" s="1" t="n">
        <v>44515</v>
      </c>
      <c r="C2931" s="1" t="n">
        <v>45797</v>
      </c>
      <c r="D2931" t="inlineStr">
        <is>
          <t>ÖREBRO LÄN</t>
        </is>
      </c>
      <c r="E2931" t="inlineStr">
        <is>
          <t>HÄLLEFORS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65054-2021</t>
        </is>
      </c>
      <c r="B2932" s="1" t="n">
        <v>44515</v>
      </c>
      <c r="C2932" s="1" t="n">
        <v>45797</v>
      </c>
      <c r="D2932" t="inlineStr">
        <is>
          <t>ÖREBRO LÄN</t>
        </is>
      </c>
      <c r="E2932" t="inlineStr">
        <is>
          <t>HÄLLEFORS</t>
        </is>
      </c>
      <c r="F2932" t="inlineStr">
        <is>
          <t>Bergvik skog väst AB</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65456-2021</t>
        </is>
      </c>
      <c r="B2933" s="1" t="n">
        <v>44515</v>
      </c>
      <c r="C2933" s="1" t="n">
        <v>45797</v>
      </c>
      <c r="D2933" t="inlineStr">
        <is>
          <t>ÖREBRO LÄN</t>
        </is>
      </c>
      <c r="E2933" t="inlineStr">
        <is>
          <t>DEGERFORS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65485-2021</t>
        </is>
      </c>
      <c r="B2934" s="1" t="n">
        <v>44516</v>
      </c>
      <c r="C2934" s="1" t="n">
        <v>45797</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65709-2021</t>
        </is>
      </c>
      <c r="B2935" s="1" t="n">
        <v>44516</v>
      </c>
      <c r="C2935" s="1" t="n">
        <v>45797</v>
      </c>
      <c r="D2935" t="inlineStr">
        <is>
          <t>ÖREBRO LÄN</t>
        </is>
      </c>
      <c r="E2935" t="inlineStr">
        <is>
          <t>LINDESBERG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65926-2021</t>
        </is>
      </c>
      <c r="B2936" s="1" t="n">
        <v>44517</v>
      </c>
      <c r="C2936" s="1" t="n">
        <v>45797</v>
      </c>
      <c r="D2936" t="inlineStr">
        <is>
          <t>ÖREBRO LÄN</t>
        </is>
      </c>
      <c r="E2936" t="inlineStr">
        <is>
          <t>LEKEBERG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66010-2021</t>
        </is>
      </c>
      <c r="B2937" s="1" t="n">
        <v>44517</v>
      </c>
      <c r="C2937" s="1" t="n">
        <v>45797</v>
      </c>
      <c r="D2937" t="inlineStr">
        <is>
          <t>ÖREBRO LÄN</t>
        </is>
      </c>
      <c r="E2937" t="inlineStr">
        <is>
          <t>ASKERSUND</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66000-2021</t>
        </is>
      </c>
      <c r="B2938" s="1" t="n">
        <v>44517</v>
      </c>
      <c r="C2938" s="1" t="n">
        <v>45797</v>
      </c>
      <c r="D2938" t="inlineStr">
        <is>
          <t>ÖREBRO LÄN</t>
        </is>
      </c>
      <c r="E2938" t="inlineStr">
        <is>
          <t>ÖREBRO</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66079-2021</t>
        </is>
      </c>
      <c r="B2939" s="1" t="n">
        <v>44517</v>
      </c>
      <c r="C2939" s="1" t="n">
        <v>45797</v>
      </c>
      <c r="D2939" t="inlineStr">
        <is>
          <t>ÖREBRO LÄN</t>
        </is>
      </c>
      <c r="E2939" t="inlineStr">
        <is>
          <t>LINDESBERG</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66235-2021</t>
        </is>
      </c>
      <c r="B2940" s="1" t="n">
        <v>44518</v>
      </c>
      <c r="C2940" s="1" t="n">
        <v>45797</v>
      </c>
      <c r="D2940" t="inlineStr">
        <is>
          <t>ÖREBRO LÄN</t>
        </is>
      </c>
      <c r="E2940" t="inlineStr">
        <is>
          <t>ASKERSUND</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66341-2021</t>
        </is>
      </c>
      <c r="B2941" s="1" t="n">
        <v>44518</v>
      </c>
      <c r="C2941" s="1" t="n">
        <v>45797</v>
      </c>
      <c r="D2941" t="inlineStr">
        <is>
          <t>ÖREBRO LÄN</t>
        </is>
      </c>
      <c r="E2941" t="inlineStr">
        <is>
          <t>ASKERSUND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66425-2021</t>
        </is>
      </c>
      <c r="B2942" s="1" t="n">
        <v>44518</v>
      </c>
      <c r="C2942" s="1" t="n">
        <v>45797</v>
      </c>
      <c r="D2942" t="inlineStr">
        <is>
          <t>ÖREBRO LÄN</t>
        </is>
      </c>
      <c r="E2942" t="inlineStr">
        <is>
          <t>LINDESBERG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66559-2021</t>
        </is>
      </c>
      <c r="B2943" s="1" t="n">
        <v>44519</v>
      </c>
      <c r="C2943" s="1" t="n">
        <v>45797</v>
      </c>
      <c r="D2943" t="inlineStr">
        <is>
          <t>ÖREBRO LÄN</t>
        </is>
      </c>
      <c r="E2943" t="inlineStr">
        <is>
          <t>ÖREBRO</t>
        </is>
      </c>
      <c r="F2943" t="inlineStr">
        <is>
          <t>Allmännings- och besparingsskogar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66672-2021</t>
        </is>
      </c>
      <c r="B2944" s="1" t="n">
        <v>44519</v>
      </c>
      <c r="C2944" s="1" t="n">
        <v>45797</v>
      </c>
      <c r="D2944" t="inlineStr">
        <is>
          <t>ÖREBRO LÄN</t>
        </is>
      </c>
      <c r="E2944" t="inlineStr">
        <is>
          <t>NORA</t>
        </is>
      </c>
      <c r="F2944" t="inlineStr">
        <is>
          <t>Kommuner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66778-2021</t>
        </is>
      </c>
      <c r="B2945" s="1" t="n">
        <v>44519</v>
      </c>
      <c r="C2945" s="1" t="n">
        <v>45797</v>
      </c>
      <c r="D2945" t="inlineStr">
        <is>
          <t>ÖREBRO LÄN</t>
        </is>
      </c>
      <c r="E2945" t="inlineStr">
        <is>
          <t>LEKEBERG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66879-2021</t>
        </is>
      </c>
      <c r="B2946" s="1" t="n">
        <v>44522</v>
      </c>
      <c r="C2946" s="1" t="n">
        <v>45797</v>
      </c>
      <c r="D2946" t="inlineStr">
        <is>
          <t>ÖREBRO LÄN</t>
        </is>
      </c>
      <c r="E2946" t="inlineStr">
        <is>
          <t>ASKERSUND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66936-2021</t>
        </is>
      </c>
      <c r="B2947" s="1" t="n">
        <v>44522</v>
      </c>
      <c r="C2947" s="1" t="n">
        <v>45797</v>
      </c>
      <c r="D2947" t="inlineStr">
        <is>
          <t>ÖREBRO LÄN</t>
        </is>
      </c>
      <c r="E2947" t="inlineStr">
        <is>
          <t>ÖREBRO</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66970-2021</t>
        </is>
      </c>
      <c r="B2948" s="1" t="n">
        <v>44522</v>
      </c>
      <c r="C2948" s="1" t="n">
        <v>45797</v>
      </c>
      <c r="D2948" t="inlineStr">
        <is>
          <t>ÖREBRO LÄN</t>
        </is>
      </c>
      <c r="E2948" t="inlineStr">
        <is>
          <t>ÖREBRO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67016-2021</t>
        </is>
      </c>
      <c r="B2949" s="1" t="n">
        <v>44522</v>
      </c>
      <c r="C2949" s="1" t="n">
        <v>45797</v>
      </c>
      <c r="D2949" t="inlineStr">
        <is>
          <t>ÖREBRO LÄN</t>
        </is>
      </c>
      <c r="E2949" t="inlineStr">
        <is>
          <t>LINDESBERG</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67054-2021</t>
        </is>
      </c>
      <c r="B2950" s="1" t="n">
        <v>44522</v>
      </c>
      <c r="C2950" s="1" t="n">
        <v>45797</v>
      </c>
      <c r="D2950" t="inlineStr">
        <is>
          <t>ÖREBRO LÄN</t>
        </is>
      </c>
      <c r="E2950" t="inlineStr">
        <is>
          <t>LAXÅ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67027-2021</t>
        </is>
      </c>
      <c r="B2951" s="1" t="n">
        <v>44522</v>
      </c>
      <c r="C2951" s="1" t="n">
        <v>45797</v>
      </c>
      <c r="D2951" t="inlineStr">
        <is>
          <t>ÖREBRO LÄN</t>
        </is>
      </c>
      <c r="E2951" t="inlineStr">
        <is>
          <t>HÄLLEFORS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67052-2021</t>
        </is>
      </c>
      <c r="B2952" s="1" t="n">
        <v>44522</v>
      </c>
      <c r="C2952" s="1" t="n">
        <v>45797</v>
      </c>
      <c r="D2952" t="inlineStr">
        <is>
          <t>ÖREBRO LÄN</t>
        </is>
      </c>
      <c r="E2952" t="inlineStr">
        <is>
          <t>LAXÅ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67060-2021</t>
        </is>
      </c>
      <c r="B2953" s="1" t="n">
        <v>44522</v>
      </c>
      <c r="C2953" s="1" t="n">
        <v>45797</v>
      </c>
      <c r="D2953" t="inlineStr">
        <is>
          <t>ÖREBRO LÄN</t>
        </is>
      </c>
      <c r="E2953" t="inlineStr">
        <is>
          <t>LINDESBERG</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67053-2021</t>
        </is>
      </c>
      <c r="B2954" s="1" t="n">
        <v>44522</v>
      </c>
      <c r="C2954" s="1" t="n">
        <v>45797</v>
      </c>
      <c r="D2954" t="inlineStr">
        <is>
          <t>ÖREBRO LÄN</t>
        </is>
      </c>
      <c r="E2954" t="inlineStr">
        <is>
          <t>LAXÅ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67197-2021</t>
        </is>
      </c>
      <c r="B2955" s="1" t="n">
        <v>44523</v>
      </c>
      <c r="C2955" s="1" t="n">
        <v>45797</v>
      </c>
      <c r="D2955" t="inlineStr">
        <is>
          <t>ÖREBRO LÄN</t>
        </is>
      </c>
      <c r="E2955" t="inlineStr">
        <is>
          <t>LJUSNARSBERG</t>
        </is>
      </c>
      <c r="F2955" t="inlineStr">
        <is>
          <t>Kommuner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67201-2021</t>
        </is>
      </c>
      <c r="B2956" s="1" t="n">
        <v>44523</v>
      </c>
      <c r="C2956" s="1" t="n">
        <v>45797</v>
      </c>
      <c r="D2956" t="inlineStr">
        <is>
          <t>ÖREBRO LÄN</t>
        </is>
      </c>
      <c r="E2956" t="inlineStr">
        <is>
          <t>NORA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67275-2021</t>
        </is>
      </c>
      <c r="B2957" s="1" t="n">
        <v>44523</v>
      </c>
      <c r="C2957" s="1" t="n">
        <v>45797</v>
      </c>
      <c r="D2957" t="inlineStr">
        <is>
          <t>ÖREBRO LÄN</t>
        </is>
      </c>
      <c r="E2957" t="inlineStr">
        <is>
          <t>ASKERSUND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67298-2021</t>
        </is>
      </c>
      <c r="B2958" s="1" t="n">
        <v>44523</v>
      </c>
      <c r="C2958" s="1" t="n">
        <v>45797</v>
      </c>
      <c r="D2958" t="inlineStr">
        <is>
          <t>ÖREBRO LÄN</t>
        </is>
      </c>
      <c r="E2958" t="inlineStr">
        <is>
          <t>NORA</t>
        </is>
      </c>
      <c r="F2958" t="inlineStr">
        <is>
          <t>Sveaskog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67367-2021</t>
        </is>
      </c>
      <c r="B2959" s="1" t="n">
        <v>44523</v>
      </c>
      <c r="C2959" s="1" t="n">
        <v>45797</v>
      </c>
      <c r="D2959" t="inlineStr">
        <is>
          <t>ÖREBRO LÄN</t>
        </is>
      </c>
      <c r="E2959" t="inlineStr">
        <is>
          <t>LINDESBERG</t>
        </is>
      </c>
      <c r="F2959" t="inlineStr">
        <is>
          <t>Sveaskog</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67368-2021</t>
        </is>
      </c>
      <c r="B2960" s="1" t="n">
        <v>44523</v>
      </c>
      <c r="C2960" s="1" t="n">
        <v>45797</v>
      </c>
      <c r="D2960" t="inlineStr">
        <is>
          <t>ÖREBRO LÄN</t>
        </is>
      </c>
      <c r="E2960" t="inlineStr">
        <is>
          <t>LINDESBERG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67439-2021</t>
        </is>
      </c>
      <c r="B2961" s="1" t="n">
        <v>44523</v>
      </c>
      <c r="C2961" s="1" t="n">
        <v>45797</v>
      </c>
      <c r="D2961" t="inlineStr">
        <is>
          <t>ÖREBRO LÄN</t>
        </is>
      </c>
      <c r="E2961" t="inlineStr">
        <is>
          <t>HÄLLEFORS</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67508-2021</t>
        </is>
      </c>
      <c r="B2962" s="1" t="n">
        <v>44524</v>
      </c>
      <c r="C2962" s="1" t="n">
        <v>45797</v>
      </c>
      <c r="D2962" t="inlineStr">
        <is>
          <t>ÖREBRO LÄN</t>
        </is>
      </c>
      <c r="E2962" t="inlineStr">
        <is>
          <t>LEKEBERG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67499-2021</t>
        </is>
      </c>
      <c r="B2963" s="1" t="n">
        <v>44524</v>
      </c>
      <c r="C2963" s="1" t="n">
        <v>45797</v>
      </c>
      <c r="D2963" t="inlineStr">
        <is>
          <t>ÖREBRO LÄN</t>
        </is>
      </c>
      <c r="E2963" t="inlineStr">
        <is>
          <t>DEGERFORS</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67746-2021</t>
        </is>
      </c>
      <c r="B2964" s="1" t="n">
        <v>44524</v>
      </c>
      <c r="C2964" s="1" t="n">
        <v>45797</v>
      </c>
      <c r="D2964" t="inlineStr">
        <is>
          <t>ÖREBRO LÄN</t>
        </is>
      </c>
      <c r="E2964" t="inlineStr">
        <is>
          <t>LJUSNARSBERG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67780-2021</t>
        </is>
      </c>
      <c r="B2965" s="1" t="n">
        <v>44525</v>
      </c>
      <c r="C2965" s="1" t="n">
        <v>45797</v>
      </c>
      <c r="D2965" t="inlineStr">
        <is>
          <t>ÖREBRO LÄN</t>
        </is>
      </c>
      <c r="E2965" t="inlineStr">
        <is>
          <t>HÄLLEFORS</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67843-2021</t>
        </is>
      </c>
      <c r="B2966" s="1" t="n">
        <v>44525</v>
      </c>
      <c r="C2966" s="1" t="n">
        <v>45797</v>
      </c>
      <c r="D2966" t="inlineStr">
        <is>
          <t>ÖREBRO LÄN</t>
        </is>
      </c>
      <c r="E2966" t="inlineStr">
        <is>
          <t>HÄLLEFORS</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67971-2021</t>
        </is>
      </c>
      <c r="B2967" s="1" t="n">
        <v>44525</v>
      </c>
      <c r="C2967" s="1" t="n">
        <v>45797</v>
      </c>
      <c r="D2967" t="inlineStr">
        <is>
          <t>ÖREBRO LÄN</t>
        </is>
      </c>
      <c r="E2967" t="inlineStr">
        <is>
          <t>HÄLLEFORS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67967-2021</t>
        </is>
      </c>
      <c r="B2968" s="1" t="n">
        <v>44525</v>
      </c>
      <c r="C2968" s="1" t="n">
        <v>45797</v>
      </c>
      <c r="D2968" t="inlineStr">
        <is>
          <t>ÖREBRO LÄN</t>
        </is>
      </c>
      <c r="E2968" t="inlineStr">
        <is>
          <t>HÄLLEFORS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67998-2021</t>
        </is>
      </c>
      <c r="B2969" s="1" t="n">
        <v>44525</v>
      </c>
      <c r="C2969" s="1" t="n">
        <v>45797</v>
      </c>
      <c r="D2969" t="inlineStr">
        <is>
          <t>ÖREBRO LÄN</t>
        </is>
      </c>
      <c r="E2969" t="inlineStr">
        <is>
          <t>DEGERFORS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67743-2021</t>
        </is>
      </c>
      <c r="B2970" s="1" t="n">
        <v>44525</v>
      </c>
      <c r="C2970" s="1" t="n">
        <v>45797</v>
      </c>
      <c r="D2970" t="inlineStr">
        <is>
          <t>ÖREBRO LÄN</t>
        </is>
      </c>
      <c r="E2970" t="inlineStr">
        <is>
          <t>LAXÅ</t>
        </is>
      </c>
      <c r="F2970" t="inlineStr">
        <is>
          <t>Sveaskog</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67953-2021</t>
        </is>
      </c>
      <c r="B2971" s="1" t="n">
        <v>44525</v>
      </c>
      <c r="C2971" s="1" t="n">
        <v>45797</v>
      </c>
      <c r="D2971" t="inlineStr">
        <is>
          <t>ÖREBRO LÄN</t>
        </is>
      </c>
      <c r="E2971" t="inlineStr">
        <is>
          <t>HÄLLEFORS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68491-2021</t>
        </is>
      </c>
      <c r="B2972" s="1" t="n">
        <v>44526</v>
      </c>
      <c r="C2972" s="1" t="n">
        <v>45797</v>
      </c>
      <c r="D2972" t="inlineStr">
        <is>
          <t>ÖREBRO LÄN</t>
        </is>
      </c>
      <c r="E2972" t="inlineStr">
        <is>
          <t>LINDESBERG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68239-2021</t>
        </is>
      </c>
      <c r="B2973" s="1" t="n">
        <v>44526</v>
      </c>
      <c r="C2973" s="1" t="n">
        <v>45797</v>
      </c>
      <c r="D2973" t="inlineStr">
        <is>
          <t>ÖREBRO LÄN</t>
        </is>
      </c>
      <c r="E2973" t="inlineStr">
        <is>
          <t>LAXÅ</t>
        </is>
      </c>
      <c r="F2973" t="inlineStr">
        <is>
          <t>Sveaskog</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68240-2021</t>
        </is>
      </c>
      <c r="B2974" s="1" t="n">
        <v>44526</v>
      </c>
      <c r="C2974" s="1" t="n">
        <v>45797</v>
      </c>
      <c r="D2974" t="inlineStr">
        <is>
          <t>ÖREBRO LÄN</t>
        </is>
      </c>
      <c r="E2974" t="inlineStr">
        <is>
          <t>LAXÅ</t>
        </is>
      </c>
      <c r="F2974" t="inlineStr">
        <is>
          <t>Sveaskog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68343-2021</t>
        </is>
      </c>
      <c r="B2975" s="1" t="n">
        <v>44528</v>
      </c>
      <c r="C2975" s="1" t="n">
        <v>45797</v>
      </c>
      <c r="D2975" t="inlineStr">
        <is>
          <t>ÖREBRO LÄN</t>
        </is>
      </c>
      <c r="E2975" t="inlineStr">
        <is>
          <t>ASKERSUND</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68356-2021</t>
        </is>
      </c>
      <c r="B2976" s="1" t="n">
        <v>44528</v>
      </c>
      <c r="C2976" s="1" t="n">
        <v>45797</v>
      </c>
      <c r="D2976" t="inlineStr">
        <is>
          <t>ÖREBRO LÄN</t>
        </is>
      </c>
      <c r="E2976" t="inlineStr">
        <is>
          <t>LAXÅ</t>
        </is>
      </c>
      <c r="F2976" t="inlineStr">
        <is>
          <t>Sveaskog</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68578-2021</t>
        </is>
      </c>
      <c r="B2977" s="1" t="n">
        <v>44529</v>
      </c>
      <c r="C2977" s="1" t="n">
        <v>45797</v>
      </c>
      <c r="D2977" t="inlineStr">
        <is>
          <t>ÖREBRO LÄN</t>
        </is>
      </c>
      <c r="E2977" t="inlineStr">
        <is>
          <t>DEGERFORS</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68576-2021</t>
        </is>
      </c>
      <c r="B2978" s="1" t="n">
        <v>44529</v>
      </c>
      <c r="C2978" s="1" t="n">
        <v>45797</v>
      </c>
      <c r="D2978" t="inlineStr">
        <is>
          <t>ÖREBRO LÄN</t>
        </is>
      </c>
      <c r="E2978" t="inlineStr">
        <is>
          <t>DEGERFORS</t>
        </is>
      </c>
      <c r="F2978" t="inlineStr">
        <is>
          <t>Sveaskog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68719-2021</t>
        </is>
      </c>
      <c r="B2979" s="1" t="n">
        <v>44529</v>
      </c>
      <c r="C2979" s="1" t="n">
        <v>45797</v>
      </c>
      <c r="D2979" t="inlineStr">
        <is>
          <t>ÖREBRO LÄN</t>
        </is>
      </c>
      <c r="E2979" t="inlineStr">
        <is>
          <t>ASKERSUND</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68581-2021</t>
        </is>
      </c>
      <c r="B2980" s="1" t="n">
        <v>44529</v>
      </c>
      <c r="C2980" s="1" t="n">
        <v>45797</v>
      </c>
      <c r="D2980" t="inlineStr">
        <is>
          <t>ÖREBRO LÄN</t>
        </is>
      </c>
      <c r="E2980" t="inlineStr">
        <is>
          <t>DEGERFORS</t>
        </is>
      </c>
      <c r="F2980" t="inlineStr">
        <is>
          <t>Sveaskog</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68610-2021</t>
        </is>
      </c>
      <c r="B2981" s="1" t="n">
        <v>44529</v>
      </c>
      <c r="C2981" s="1" t="n">
        <v>45797</v>
      </c>
      <c r="D2981" t="inlineStr">
        <is>
          <t>ÖREBRO LÄN</t>
        </is>
      </c>
      <c r="E2981" t="inlineStr">
        <is>
          <t>NORA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68582-2021</t>
        </is>
      </c>
      <c r="B2982" s="1" t="n">
        <v>44529</v>
      </c>
      <c r="C2982" s="1" t="n">
        <v>45797</v>
      </c>
      <c r="D2982" t="inlineStr">
        <is>
          <t>ÖREBRO LÄN</t>
        </is>
      </c>
      <c r="E2982" t="inlineStr">
        <is>
          <t>DEGERFORS</t>
        </is>
      </c>
      <c r="F2982" t="inlineStr">
        <is>
          <t>Sveaskog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68859-2021</t>
        </is>
      </c>
      <c r="B2983" s="1" t="n">
        <v>44530</v>
      </c>
      <c r="C2983" s="1" t="n">
        <v>45797</v>
      </c>
      <c r="D2983" t="inlineStr">
        <is>
          <t>ÖREBRO LÄN</t>
        </is>
      </c>
      <c r="E2983" t="inlineStr">
        <is>
          <t>ASKERSUND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68890-2021</t>
        </is>
      </c>
      <c r="B2984" s="1" t="n">
        <v>44530</v>
      </c>
      <c r="C2984" s="1" t="n">
        <v>45797</v>
      </c>
      <c r="D2984" t="inlineStr">
        <is>
          <t>ÖREBRO LÄN</t>
        </is>
      </c>
      <c r="E2984" t="inlineStr">
        <is>
          <t>NORA</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68977-2021</t>
        </is>
      </c>
      <c r="B2985" s="1" t="n">
        <v>44530</v>
      </c>
      <c r="C2985" s="1" t="n">
        <v>45797</v>
      </c>
      <c r="D2985" t="inlineStr">
        <is>
          <t>ÖREBRO LÄN</t>
        </is>
      </c>
      <c r="E2985" t="inlineStr">
        <is>
          <t>ASKERSUND</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68887-2021</t>
        </is>
      </c>
      <c r="B2986" s="1" t="n">
        <v>44530</v>
      </c>
      <c r="C2986" s="1" t="n">
        <v>45797</v>
      </c>
      <c r="D2986" t="inlineStr">
        <is>
          <t>ÖREBRO LÄN</t>
        </is>
      </c>
      <c r="E2986" t="inlineStr">
        <is>
          <t>NORA</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68981-2021</t>
        </is>
      </c>
      <c r="B2987" s="1" t="n">
        <v>44530</v>
      </c>
      <c r="C2987" s="1" t="n">
        <v>45797</v>
      </c>
      <c r="D2987" t="inlineStr">
        <is>
          <t>ÖREBRO LÄN</t>
        </is>
      </c>
      <c r="E2987" t="inlineStr">
        <is>
          <t>ASKERSUND</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69079-2021</t>
        </is>
      </c>
      <c r="B2988" s="1" t="n">
        <v>44530</v>
      </c>
      <c r="C2988" s="1" t="n">
        <v>45797</v>
      </c>
      <c r="D2988" t="inlineStr">
        <is>
          <t>ÖREBRO LÄN</t>
        </is>
      </c>
      <c r="E2988" t="inlineStr">
        <is>
          <t>HALLSBERG</t>
        </is>
      </c>
      <c r="F2988" t="inlineStr">
        <is>
          <t>Allmännings- och besparingsskogar</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69031-2021</t>
        </is>
      </c>
      <c r="B2989" s="1" t="n">
        <v>44530</v>
      </c>
      <c r="C2989" s="1" t="n">
        <v>45797</v>
      </c>
      <c r="D2989" t="inlineStr">
        <is>
          <t>ÖREBRO LÄN</t>
        </is>
      </c>
      <c r="E2989" t="inlineStr">
        <is>
          <t>LINDESBERG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69035-2021</t>
        </is>
      </c>
      <c r="B2990" s="1" t="n">
        <v>44530</v>
      </c>
      <c r="C2990" s="1" t="n">
        <v>45797</v>
      </c>
      <c r="D2990" t="inlineStr">
        <is>
          <t>ÖREBRO LÄN</t>
        </is>
      </c>
      <c r="E2990" t="inlineStr">
        <is>
          <t>LAXÅ</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69420-2021</t>
        </is>
      </c>
      <c r="B2991" s="1" t="n">
        <v>44531</v>
      </c>
      <c r="C2991" s="1" t="n">
        <v>45797</v>
      </c>
      <c r="D2991" t="inlineStr">
        <is>
          <t>ÖREBRO LÄN</t>
        </is>
      </c>
      <c r="E2991" t="inlineStr">
        <is>
          <t>HALLSBERG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69230-2021</t>
        </is>
      </c>
      <c r="B2992" s="1" t="n">
        <v>44531</v>
      </c>
      <c r="C2992" s="1" t="n">
        <v>45797</v>
      </c>
      <c r="D2992" t="inlineStr">
        <is>
          <t>ÖREBRO LÄN</t>
        </is>
      </c>
      <c r="E2992" t="inlineStr">
        <is>
          <t>KUMLA</t>
        </is>
      </c>
      <c r="F2992" t="inlineStr">
        <is>
          <t>Kommuner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69208-2021</t>
        </is>
      </c>
      <c r="B2993" s="1" t="n">
        <v>44531</v>
      </c>
      <c r="C2993" s="1" t="n">
        <v>45797</v>
      </c>
      <c r="D2993" t="inlineStr">
        <is>
          <t>ÖREBRO LÄN</t>
        </is>
      </c>
      <c r="E2993" t="inlineStr">
        <is>
          <t>LINDESBERG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69607-2021</t>
        </is>
      </c>
      <c r="B2994" s="1" t="n">
        <v>44532</v>
      </c>
      <c r="C2994" s="1" t="n">
        <v>45797</v>
      </c>
      <c r="D2994" t="inlineStr">
        <is>
          <t>ÖREBRO LÄN</t>
        </is>
      </c>
      <c r="E2994" t="inlineStr">
        <is>
          <t>HALLSBERG</t>
        </is>
      </c>
      <c r="F2994" t="inlineStr">
        <is>
          <t>Kommuner</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69733-2021</t>
        </is>
      </c>
      <c r="B2995" s="1" t="n">
        <v>44532</v>
      </c>
      <c r="C2995" s="1" t="n">
        <v>45797</v>
      </c>
      <c r="D2995" t="inlineStr">
        <is>
          <t>ÖREBRO LÄN</t>
        </is>
      </c>
      <c r="E2995" t="inlineStr">
        <is>
          <t>ÖREBRO</t>
        </is>
      </c>
      <c r="F2995" t="inlineStr">
        <is>
          <t>Allmännings- och besparingsskogar</t>
        </is>
      </c>
      <c r="G2995" t="n">
        <v>14.7</v>
      </c>
      <c r="H2995" t="n">
        <v>0</v>
      </c>
      <c r="I2995" t="n">
        <v>0</v>
      </c>
      <c r="J2995" t="n">
        <v>0</v>
      </c>
      <c r="K2995" t="n">
        <v>0</v>
      </c>
      <c r="L2995" t="n">
        <v>0</v>
      </c>
      <c r="M2995" t="n">
        <v>0</v>
      </c>
      <c r="N2995" t="n">
        <v>0</v>
      </c>
      <c r="O2995" t="n">
        <v>0</v>
      </c>
      <c r="P2995" t="n">
        <v>0</v>
      </c>
      <c r="Q2995" t="n">
        <v>0</v>
      </c>
      <c r="R2995" s="2" t="inlineStr"/>
    </row>
    <row r="2996" ht="15" customHeight="1">
      <c r="A2996" t="inlineStr">
        <is>
          <t>A 69731-2021</t>
        </is>
      </c>
      <c r="B2996" s="1" t="n">
        <v>44532</v>
      </c>
      <c r="C2996" s="1" t="n">
        <v>45797</v>
      </c>
      <c r="D2996" t="inlineStr">
        <is>
          <t>ÖREBRO LÄN</t>
        </is>
      </c>
      <c r="E2996" t="inlineStr">
        <is>
          <t>NORA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69932-2021</t>
        </is>
      </c>
      <c r="B2997" s="1" t="n">
        <v>44533</v>
      </c>
      <c r="C2997" s="1" t="n">
        <v>45797</v>
      </c>
      <c r="D2997" t="inlineStr">
        <is>
          <t>ÖREBRO LÄN</t>
        </is>
      </c>
      <c r="E2997" t="inlineStr">
        <is>
          <t>LINDESBERG</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70138-2021</t>
        </is>
      </c>
      <c r="B2998" s="1" t="n">
        <v>44533</v>
      </c>
      <c r="C2998" s="1" t="n">
        <v>45797</v>
      </c>
      <c r="D2998" t="inlineStr">
        <is>
          <t>ÖREBRO LÄN</t>
        </is>
      </c>
      <c r="E2998" t="inlineStr">
        <is>
          <t>NORA</t>
        </is>
      </c>
      <c r="F2998" t="inlineStr">
        <is>
          <t>Sveaskog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70070-2021</t>
        </is>
      </c>
      <c r="B2999" s="1" t="n">
        <v>44533</v>
      </c>
      <c r="C2999" s="1" t="n">
        <v>45797</v>
      </c>
      <c r="D2999" t="inlineStr">
        <is>
          <t>ÖREBRO LÄN</t>
        </is>
      </c>
      <c r="E2999" t="inlineStr">
        <is>
          <t>LJUSNARSBERG</t>
        </is>
      </c>
      <c r="G2999" t="n">
        <v>14.3</v>
      </c>
      <c r="H2999" t="n">
        <v>0</v>
      </c>
      <c r="I2999" t="n">
        <v>0</v>
      </c>
      <c r="J2999" t="n">
        <v>0</v>
      </c>
      <c r="K2999" t="n">
        <v>0</v>
      </c>
      <c r="L2999" t="n">
        <v>0</v>
      </c>
      <c r="M2999" t="n">
        <v>0</v>
      </c>
      <c r="N2999" t="n">
        <v>0</v>
      </c>
      <c r="O2999" t="n">
        <v>0</v>
      </c>
      <c r="P2999" t="n">
        <v>0</v>
      </c>
      <c r="Q2999" t="n">
        <v>0</v>
      </c>
      <c r="R2999" s="2" t="inlineStr"/>
    </row>
    <row r="3000" ht="15" customHeight="1">
      <c r="A3000" t="inlineStr">
        <is>
          <t>A 70160-2021</t>
        </is>
      </c>
      <c r="B3000" s="1" t="n">
        <v>44533</v>
      </c>
      <c r="C3000" s="1" t="n">
        <v>45797</v>
      </c>
      <c r="D3000" t="inlineStr">
        <is>
          <t>ÖREBRO LÄN</t>
        </is>
      </c>
      <c r="E3000" t="inlineStr">
        <is>
          <t>HALLSBERG</t>
        </is>
      </c>
      <c r="F3000" t="inlineStr">
        <is>
          <t>Allmännings- och besparingsskogar</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70153-2021</t>
        </is>
      </c>
      <c r="B3001" s="1" t="n">
        <v>44533</v>
      </c>
      <c r="C3001" s="1" t="n">
        <v>45797</v>
      </c>
      <c r="D3001" t="inlineStr">
        <is>
          <t>ÖREBRO LÄN</t>
        </is>
      </c>
      <c r="E3001" t="inlineStr">
        <is>
          <t>HALLSBERG</t>
        </is>
      </c>
      <c r="F3001" t="inlineStr">
        <is>
          <t>Allmännings- och besparingsskogar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70005-2021</t>
        </is>
      </c>
      <c r="B3002" s="1" t="n">
        <v>44533</v>
      </c>
      <c r="C3002" s="1" t="n">
        <v>45797</v>
      </c>
      <c r="D3002" t="inlineStr">
        <is>
          <t>ÖREBRO LÄN</t>
        </is>
      </c>
      <c r="E3002" t="inlineStr">
        <is>
          <t>LJUSNARSBERG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70200-2021</t>
        </is>
      </c>
      <c r="B3003" s="1" t="n">
        <v>44534</v>
      </c>
      <c r="C3003" s="1" t="n">
        <v>45797</v>
      </c>
      <c r="D3003" t="inlineStr">
        <is>
          <t>ÖREBRO LÄN</t>
        </is>
      </c>
      <c r="E3003" t="inlineStr">
        <is>
          <t>NORA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70199-2021</t>
        </is>
      </c>
      <c r="B3004" s="1" t="n">
        <v>44534</v>
      </c>
      <c r="C3004" s="1" t="n">
        <v>45797</v>
      </c>
      <c r="D3004" t="inlineStr">
        <is>
          <t>ÖREBRO LÄN</t>
        </is>
      </c>
      <c r="E3004" t="inlineStr">
        <is>
          <t>ÖREBRO</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70206-2021</t>
        </is>
      </c>
      <c r="B3005" s="1" t="n">
        <v>44535</v>
      </c>
      <c r="C3005" s="1" t="n">
        <v>45797</v>
      </c>
      <c r="D3005" t="inlineStr">
        <is>
          <t>ÖREBRO LÄN</t>
        </is>
      </c>
      <c r="E3005" t="inlineStr">
        <is>
          <t>KARLSKOGA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70287-2021</t>
        </is>
      </c>
      <c r="B3006" s="1" t="n">
        <v>44536</v>
      </c>
      <c r="C3006" s="1" t="n">
        <v>45797</v>
      </c>
      <c r="D3006" t="inlineStr">
        <is>
          <t>ÖREBRO LÄN</t>
        </is>
      </c>
      <c r="E3006" t="inlineStr">
        <is>
          <t>LAXÅ</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70289-2021</t>
        </is>
      </c>
      <c r="B3007" s="1" t="n">
        <v>44536</v>
      </c>
      <c r="C3007" s="1" t="n">
        <v>45797</v>
      </c>
      <c r="D3007" t="inlineStr">
        <is>
          <t>ÖREBRO LÄN</t>
        </is>
      </c>
      <c r="E3007" t="inlineStr">
        <is>
          <t>ÖREBRO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70356-2021</t>
        </is>
      </c>
      <c r="B3008" s="1" t="n">
        <v>44536</v>
      </c>
      <c r="C3008" s="1" t="n">
        <v>45797</v>
      </c>
      <c r="D3008" t="inlineStr">
        <is>
          <t>ÖREBRO LÄN</t>
        </is>
      </c>
      <c r="E3008" t="inlineStr">
        <is>
          <t>HÄLLEFORS</t>
        </is>
      </c>
      <c r="F3008" t="inlineStr">
        <is>
          <t>Bergvik skog väst AB</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70500-2021</t>
        </is>
      </c>
      <c r="B3009" s="1" t="n">
        <v>44536</v>
      </c>
      <c r="C3009" s="1" t="n">
        <v>45797</v>
      </c>
      <c r="D3009" t="inlineStr">
        <is>
          <t>ÖREBRO LÄN</t>
        </is>
      </c>
      <c r="E3009" t="inlineStr">
        <is>
          <t>LINDESBERG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70475-2021</t>
        </is>
      </c>
      <c r="B3010" s="1" t="n">
        <v>44536</v>
      </c>
      <c r="C3010" s="1" t="n">
        <v>45797</v>
      </c>
      <c r="D3010" t="inlineStr">
        <is>
          <t>ÖREBRO LÄN</t>
        </is>
      </c>
      <c r="E3010" t="inlineStr">
        <is>
          <t>LINDESBERG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70595-2021</t>
        </is>
      </c>
      <c r="B3011" s="1" t="n">
        <v>44537</v>
      </c>
      <c r="C3011" s="1" t="n">
        <v>45797</v>
      </c>
      <c r="D3011" t="inlineStr">
        <is>
          <t>ÖREBRO LÄN</t>
        </is>
      </c>
      <c r="E3011" t="inlineStr">
        <is>
          <t>NORA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70707-2021</t>
        </is>
      </c>
      <c r="B3012" s="1" t="n">
        <v>44537</v>
      </c>
      <c r="C3012" s="1" t="n">
        <v>45797</v>
      </c>
      <c r="D3012" t="inlineStr">
        <is>
          <t>ÖREBRO LÄN</t>
        </is>
      </c>
      <c r="E3012" t="inlineStr">
        <is>
          <t>ÖREBRO</t>
        </is>
      </c>
      <c r="G3012" t="n">
        <v>13.2</v>
      </c>
      <c r="H3012" t="n">
        <v>0</v>
      </c>
      <c r="I3012" t="n">
        <v>0</v>
      </c>
      <c r="J3012" t="n">
        <v>0</v>
      </c>
      <c r="K3012" t="n">
        <v>0</v>
      </c>
      <c r="L3012" t="n">
        <v>0</v>
      </c>
      <c r="M3012" t="n">
        <v>0</v>
      </c>
      <c r="N3012" t="n">
        <v>0</v>
      </c>
      <c r="O3012" t="n">
        <v>0</v>
      </c>
      <c r="P3012" t="n">
        <v>0</v>
      </c>
      <c r="Q3012" t="n">
        <v>0</v>
      </c>
      <c r="R3012" s="2" t="inlineStr"/>
    </row>
    <row r="3013" ht="15" customHeight="1">
      <c r="A3013" t="inlineStr">
        <is>
          <t>A 70719-2021</t>
        </is>
      </c>
      <c r="B3013" s="1" t="n">
        <v>44537</v>
      </c>
      <c r="C3013" s="1" t="n">
        <v>45797</v>
      </c>
      <c r="D3013" t="inlineStr">
        <is>
          <t>ÖREBRO LÄN</t>
        </is>
      </c>
      <c r="E3013" t="inlineStr">
        <is>
          <t>ÖREBRO</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70540-2021</t>
        </is>
      </c>
      <c r="B3014" s="1" t="n">
        <v>44537</v>
      </c>
      <c r="C3014" s="1" t="n">
        <v>45797</v>
      </c>
      <c r="D3014" t="inlineStr">
        <is>
          <t>ÖREBRO LÄN</t>
        </is>
      </c>
      <c r="E3014" t="inlineStr">
        <is>
          <t>ÖREBRO</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70871-2021</t>
        </is>
      </c>
      <c r="B3015" s="1" t="n">
        <v>44538</v>
      </c>
      <c r="C3015" s="1" t="n">
        <v>45797</v>
      </c>
      <c r="D3015" t="inlineStr">
        <is>
          <t>ÖREBRO LÄN</t>
        </is>
      </c>
      <c r="E3015" t="inlineStr">
        <is>
          <t>ÖREBRO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71092-2021</t>
        </is>
      </c>
      <c r="B3016" s="1" t="n">
        <v>44539</v>
      </c>
      <c r="C3016" s="1" t="n">
        <v>45797</v>
      </c>
      <c r="D3016" t="inlineStr">
        <is>
          <t>ÖREBRO LÄN</t>
        </is>
      </c>
      <c r="E3016" t="inlineStr">
        <is>
          <t>LINDESBERG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71206-2021</t>
        </is>
      </c>
      <c r="B3017" s="1" t="n">
        <v>44539</v>
      </c>
      <c r="C3017" s="1" t="n">
        <v>45797</v>
      </c>
      <c r="D3017" t="inlineStr">
        <is>
          <t>ÖREBRO LÄN</t>
        </is>
      </c>
      <c r="E3017" t="inlineStr">
        <is>
          <t>ÖREBRO</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71090-2021</t>
        </is>
      </c>
      <c r="B3018" s="1" t="n">
        <v>44539</v>
      </c>
      <c r="C3018" s="1" t="n">
        <v>45797</v>
      </c>
      <c r="D3018" t="inlineStr">
        <is>
          <t>ÖREBRO LÄN</t>
        </is>
      </c>
      <c r="E3018" t="inlineStr">
        <is>
          <t>LINDESBERG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71269-2021</t>
        </is>
      </c>
      <c r="B3019" s="1" t="n">
        <v>44539</v>
      </c>
      <c r="C3019" s="1" t="n">
        <v>45797</v>
      </c>
      <c r="D3019" t="inlineStr">
        <is>
          <t>ÖREBRO LÄN</t>
        </is>
      </c>
      <c r="E3019" t="inlineStr">
        <is>
          <t>ÖREBRO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71293-2021</t>
        </is>
      </c>
      <c r="B3020" s="1" t="n">
        <v>44539</v>
      </c>
      <c r="C3020" s="1" t="n">
        <v>45797</v>
      </c>
      <c r="D3020" t="inlineStr">
        <is>
          <t>ÖREBRO LÄN</t>
        </is>
      </c>
      <c r="E3020" t="inlineStr">
        <is>
          <t>ÖREBRO</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71256-2021</t>
        </is>
      </c>
      <c r="B3021" s="1" t="n">
        <v>44539</v>
      </c>
      <c r="C3021" s="1" t="n">
        <v>45797</v>
      </c>
      <c r="D3021" t="inlineStr">
        <is>
          <t>ÖREBRO LÄN</t>
        </is>
      </c>
      <c r="E3021" t="inlineStr">
        <is>
          <t>ASKERSUND</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71267-2021</t>
        </is>
      </c>
      <c r="B3022" s="1" t="n">
        <v>44539</v>
      </c>
      <c r="C3022" s="1" t="n">
        <v>45797</v>
      </c>
      <c r="D3022" t="inlineStr">
        <is>
          <t>ÖREBRO LÄN</t>
        </is>
      </c>
      <c r="E3022" t="inlineStr">
        <is>
          <t>ÖREBRO</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71266-2021</t>
        </is>
      </c>
      <c r="B3023" s="1" t="n">
        <v>44539</v>
      </c>
      <c r="C3023" s="1" t="n">
        <v>45797</v>
      </c>
      <c r="D3023" t="inlineStr">
        <is>
          <t>ÖREBRO LÄN</t>
        </is>
      </c>
      <c r="E3023" t="inlineStr">
        <is>
          <t>ÖREBRO</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71275-2021</t>
        </is>
      </c>
      <c r="B3024" s="1" t="n">
        <v>44539</v>
      </c>
      <c r="C3024" s="1" t="n">
        <v>45797</v>
      </c>
      <c r="D3024" t="inlineStr">
        <is>
          <t>ÖREBRO LÄN</t>
        </is>
      </c>
      <c r="E3024" t="inlineStr">
        <is>
          <t>ÖREBRO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71288-2021</t>
        </is>
      </c>
      <c r="B3025" s="1" t="n">
        <v>44539</v>
      </c>
      <c r="C3025" s="1" t="n">
        <v>45797</v>
      </c>
      <c r="D3025" t="inlineStr">
        <is>
          <t>ÖREBRO LÄN</t>
        </is>
      </c>
      <c r="E3025" t="inlineStr">
        <is>
          <t>ÖREBRO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71263-2021</t>
        </is>
      </c>
      <c r="B3026" s="1" t="n">
        <v>44539</v>
      </c>
      <c r="C3026" s="1" t="n">
        <v>45797</v>
      </c>
      <c r="D3026" t="inlineStr">
        <is>
          <t>ÖREBRO LÄN</t>
        </is>
      </c>
      <c r="E3026" t="inlineStr">
        <is>
          <t>ASKERSUND</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71272-2021</t>
        </is>
      </c>
      <c r="B3027" s="1" t="n">
        <v>44539</v>
      </c>
      <c r="C3027" s="1" t="n">
        <v>45797</v>
      </c>
      <c r="D3027" t="inlineStr">
        <is>
          <t>ÖREBRO LÄN</t>
        </is>
      </c>
      <c r="E3027" t="inlineStr">
        <is>
          <t>ÖREBRO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71285-2021</t>
        </is>
      </c>
      <c r="B3028" s="1" t="n">
        <v>44539</v>
      </c>
      <c r="C3028" s="1" t="n">
        <v>45797</v>
      </c>
      <c r="D3028" t="inlineStr">
        <is>
          <t>ÖREBRO LÄN</t>
        </is>
      </c>
      <c r="E3028" t="inlineStr">
        <is>
          <t>ÖREBRO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71295-2021</t>
        </is>
      </c>
      <c r="B3029" s="1" t="n">
        <v>44539</v>
      </c>
      <c r="C3029" s="1" t="n">
        <v>45797</v>
      </c>
      <c r="D3029" t="inlineStr">
        <is>
          <t>ÖREBRO LÄN</t>
        </is>
      </c>
      <c r="E3029" t="inlineStr">
        <is>
          <t>ÖREBRO</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71280-2021</t>
        </is>
      </c>
      <c r="B3030" s="1" t="n">
        <v>44539</v>
      </c>
      <c r="C3030" s="1" t="n">
        <v>45797</v>
      </c>
      <c r="D3030" t="inlineStr">
        <is>
          <t>ÖREBRO LÄN</t>
        </is>
      </c>
      <c r="E3030" t="inlineStr">
        <is>
          <t>ÖREBRO</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71291-2021</t>
        </is>
      </c>
      <c r="B3031" s="1" t="n">
        <v>44539</v>
      </c>
      <c r="C3031" s="1" t="n">
        <v>45797</v>
      </c>
      <c r="D3031" t="inlineStr">
        <is>
          <t>ÖREBRO LÄN</t>
        </is>
      </c>
      <c r="E3031" t="inlineStr">
        <is>
          <t>ÖREBRO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71405-2021</t>
        </is>
      </c>
      <c r="B3032" s="1" t="n">
        <v>44540</v>
      </c>
      <c r="C3032" s="1" t="n">
        <v>45797</v>
      </c>
      <c r="D3032" t="inlineStr">
        <is>
          <t>ÖREBRO LÄN</t>
        </is>
      </c>
      <c r="E3032" t="inlineStr">
        <is>
          <t>KARLSKOGA</t>
        </is>
      </c>
      <c r="F3032" t="inlineStr">
        <is>
          <t>Sveaskog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71481-2021</t>
        </is>
      </c>
      <c r="B3033" s="1" t="n">
        <v>44540</v>
      </c>
      <c r="C3033" s="1" t="n">
        <v>45797</v>
      </c>
      <c r="D3033" t="inlineStr">
        <is>
          <t>ÖREBRO LÄN</t>
        </is>
      </c>
      <c r="E3033" t="inlineStr">
        <is>
          <t>HALLSBERG</t>
        </is>
      </c>
      <c r="F3033" t="inlineStr">
        <is>
          <t>Övriga Aktiebolag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71766-2021</t>
        </is>
      </c>
      <c r="B3034" s="1" t="n">
        <v>44543</v>
      </c>
      <c r="C3034" s="1" t="n">
        <v>45797</v>
      </c>
      <c r="D3034" t="inlineStr">
        <is>
          <t>ÖREBRO LÄN</t>
        </is>
      </c>
      <c r="E3034" t="inlineStr">
        <is>
          <t>HÄLLEFORS</t>
        </is>
      </c>
      <c r="F3034" t="inlineStr">
        <is>
          <t>Bergvik skog väst AB</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72157-2021</t>
        </is>
      </c>
      <c r="B3035" s="1" t="n">
        <v>44544</v>
      </c>
      <c r="C3035" s="1" t="n">
        <v>45797</v>
      </c>
      <c r="D3035" t="inlineStr">
        <is>
          <t>ÖREBRO LÄN</t>
        </is>
      </c>
      <c r="E3035" t="inlineStr">
        <is>
          <t>LJUSNARSBERG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72331-2021</t>
        </is>
      </c>
      <c r="B3036" s="1" t="n">
        <v>44544</v>
      </c>
      <c r="C3036" s="1" t="n">
        <v>45797</v>
      </c>
      <c r="D3036" t="inlineStr">
        <is>
          <t>ÖREBRO LÄN</t>
        </is>
      </c>
      <c r="E3036" t="inlineStr">
        <is>
          <t>LINDESBERG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72313-2021</t>
        </is>
      </c>
      <c r="B3037" s="1" t="n">
        <v>44545</v>
      </c>
      <c r="C3037" s="1" t="n">
        <v>45797</v>
      </c>
      <c r="D3037" t="inlineStr">
        <is>
          <t>ÖREBRO LÄN</t>
        </is>
      </c>
      <c r="E3037" t="inlineStr">
        <is>
          <t>ASKERSUND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72329-2021</t>
        </is>
      </c>
      <c r="B3038" s="1" t="n">
        <v>44545</v>
      </c>
      <c r="C3038" s="1" t="n">
        <v>45797</v>
      </c>
      <c r="D3038" t="inlineStr">
        <is>
          <t>ÖREBRO LÄN</t>
        </is>
      </c>
      <c r="E3038" t="inlineStr">
        <is>
          <t>ÖREBRO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72338-2021</t>
        </is>
      </c>
      <c r="B3039" s="1" t="n">
        <v>44545</v>
      </c>
      <c r="C3039" s="1" t="n">
        <v>45797</v>
      </c>
      <c r="D3039" t="inlineStr">
        <is>
          <t>ÖREBRO LÄN</t>
        </is>
      </c>
      <c r="E3039" t="inlineStr">
        <is>
          <t>ÖREBRO</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72354-2021</t>
        </is>
      </c>
      <c r="B3040" s="1" t="n">
        <v>44545</v>
      </c>
      <c r="C3040" s="1" t="n">
        <v>45797</v>
      </c>
      <c r="D3040" t="inlineStr">
        <is>
          <t>ÖREBRO LÄN</t>
        </is>
      </c>
      <c r="E3040" t="inlineStr">
        <is>
          <t>LAXÅ</t>
        </is>
      </c>
      <c r="F3040" t="inlineStr">
        <is>
          <t>Sveaskog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72681-2021</t>
        </is>
      </c>
      <c r="B3041" s="1" t="n">
        <v>44545</v>
      </c>
      <c r="C3041" s="1" t="n">
        <v>45797</v>
      </c>
      <c r="D3041" t="inlineStr">
        <is>
          <t>ÖREBRO LÄN</t>
        </is>
      </c>
      <c r="E3041" t="inlineStr">
        <is>
          <t>LINDESBERG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72698-2021</t>
        </is>
      </c>
      <c r="B3042" s="1" t="n">
        <v>44546</v>
      </c>
      <c r="C3042" s="1" t="n">
        <v>45797</v>
      </c>
      <c r="D3042" t="inlineStr">
        <is>
          <t>ÖREBRO LÄN</t>
        </is>
      </c>
      <c r="E3042" t="inlineStr">
        <is>
          <t>LINDESBERG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72706-2021</t>
        </is>
      </c>
      <c r="B3043" s="1" t="n">
        <v>44546</v>
      </c>
      <c r="C3043" s="1" t="n">
        <v>45797</v>
      </c>
      <c r="D3043" t="inlineStr">
        <is>
          <t>ÖREBRO LÄN</t>
        </is>
      </c>
      <c r="E3043" t="inlineStr">
        <is>
          <t>LINDESBERG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72713-2021</t>
        </is>
      </c>
      <c r="B3044" s="1" t="n">
        <v>44546</v>
      </c>
      <c r="C3044" s="1" t="n">
        <v>45797</v>
      </c>
      <c r="D3044" t="inlineStr">
        <is>
          <t>ÖREBRO LÄN</t>
        </is>
      </c>
      <c r="E3044" t="inlineStr">
        <is>
          <t>LINDESBERG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72803-2021</t>
        </is>
      </c>
      <c r="B3045" s="1" t="n">
        <v>44546</v>
      </c>
      <c r="C3045" s="1" t="n">
        <v>45797</v>
      </c>
      <c r="D3045" t="inlineStr">
        <is>
          <t>ÖREBRO LÄN</t>
        </is>
      </c>
      <c r="E3045" t="inlineStr">
        <is>
          <t>KARLSKOGA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72881-2021</t>
        </is>
      </c>
      <c r="B3046" s="1" t="n">
        <v>44547</v>
      </c>
      <c r="C3046" s="1" t="n">
        <v>45797</v>
      </c>
      <c r="D3046" t="inlineStr">
        <is>
          <t>ÖREBRO LÄN</t>
        </is>
      </c>
      <c r="E3046" t="inlineStr">
        <is>
          <t>LJUSNARSBERG</t>
        </is>
      </c>
      <c r="G3046" t="n">
        <v>20.6</v>
      </c>
      <c r="H3046" t="n">
        <v>0</v>
      </c>
      <c r="I3046" t="n">
        <v>0</v>
      </c>
      <c r="J3046" t="n">
        <v>0</v>
      </c>
      <c r="K3046" t="n">
        <v>0</v>
      </c>
      <c r="L3046" t="n">
        <v>0</v>
      </c>
      <c r="M3046" t="n">
        <v>0</v>
      </c>
      <c r="N3046" t="n">
        <v>0</v>
      </c>
      <c r="O3046" t="n">
        <v>0</v>
      </c>
      <c r="P3046" t="n">
        <v>0</v>
      </c>
      <c r="Q3046" t="n">
        <v>0</v>
      </c>
      <c r="R3046" s="2" t="inlineStr"/>
    </row>
    <row r="3047" ht="15" customHeight="1">
      <c r="A3047" t="inlineStr">
        <is>
          <t>A 73009-2021</t>
        </is>
      </c>
      <c r="B3047" s="1" t="n">
        <v>44550</v>
      </c>
      <c r="C3047" s="1" t="n">
        <v>45797</v>
      </c>
      <c r="D3047" t="inlineStr">
        <is>
          <t>ÖREBRO LÄN</t>
        </is>
      </c>
      <c r="E3047" t="inlineStr">
        <is>
          <t>NORA</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73201-2021</t>
        </is>
      </c>
      <c r="B3048" s="1" t="n">
        <v>44550</v>
      </c>
      <c r="C3048" s="1" t="n">
        <v>45797</v>
      </c>
      <c r="D3048" t="inlineStr">
        <is>
          <t>ÖREBRO LÄN</t>
        </is>
      </c>
      <c r="E3048" t="inlineStr">
        <is>
          <t>HÄLLEFORS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73321-2021</t>
        </is>
      </c>
      <c r="B3049" s="1" t="n">
        <v>44550</v>
      </c>
      <c r="C3049" s="1" t="n">
        <v>45797</v>
      </c>
      <c r="D3049" t="inlineStr">
        <is>
          <t>ÖREBRO LÄN</t>
        </is>
      </c>
      <c r="E3049" t="inlineStr">
        <is>
          <t>DEGERFORS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73500-2021</t>
        </is>
      </c>
      <c r="B3050" s="1" t="n">
        <v>44551</v>
      </c>
      <c r="C3050" s="1" t="n">
        <v>45797</v>
      </c>
      <c r="D3050" t="inlineStr">
        <is>
          <t>ÖREBRO LÄN</t>
        </is>
      </c>
      <c r="E3050" t="inlineStr">
        <is>
          <t>LINDESBERG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73579-2021</t>
        </is>
      </c>
      <c r="B3051" s="1" t="n">
        <v>44552</v>
      </c>
      <c r="C3051" s="1" t="n">
        <v>45797</v>
      </c>
      <c r="D3051" t="inlineStr">
        <is>
          <t>ÖREBRO LÄN</t>
        </is>
      </c>
      <c r="E3051" t="inlineStr">
        <is>
          <t>ASKERSUND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73693-2021</t>
        </is>
      </c>
      <c r="B3052" s="1" t="n">
        <v>44552</v>
      </c>
      <c r="C3052" s="1" t="n">
        <v>45797</v>
      </c>
      <c r="D3052" t="inlineStr">
        <is>
          <t>ÖREBRO LÄN</t>
        </is>
      </c>
      <c r="E3052" t="inlineStr">
        <is>
          <t>DEGERFORS</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73701-2021</t>
        </is>
      </c>
      <c r="B3053" s="1" t="n">
        <v>44552</v>
      </c>
      <c r="C3053" s="1" t="n">
        <v>45797</v>
      </c>
      <c r="D3053" t="inlineStr">
        <is>
          <t>ÖREBRO LÄN</t>
        </is>
      </c>
      <c r="E3053" t="inlineStr">
        <is>
          <t>KARLSKOGA</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73946-2021</t>
        </is>
      </c>
      <c r="B3054" s="1" t="n">
        <v>44552</v>
      </c>
      <c r="C3054" s="1" t="n">
        <v>45797</v>
      </c>
      <c r="D3054" t="inlineStr">
        <is>
          <t>ÖREBRO LÄN</t>
        </is>
      </c>
      <c r="E3054" t="inlineStr">
        <is>
          <t>ÖREBRO</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73941-2021</t>
        </is>
      </c>
      <c r="B3055" s="1" t="n">
        <v>44553</v>
      </c>
      <c r="C3055" s="1" t="n">
        <v>45797</v>
      </c>
      <c r="D3055" t="inlineStr">
        <is>
          <t>ÖREBRO LÄN</t>
        </is>
      </c>
      <c r="E3055" t="inlineStr">
        <is>
          <t>HALLSBERG</t>
        </is>
      </c>
      <c r="F3055" t="inlineStr">
        <is>
          <t>Allmännings- och besparingsskogar</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73860-2021</t>
        </is>
      </c>
      <c r="B3056" s="1" t="n">
        <v>44553</v>
      </c>
      <c r="C3056" s="1" t="n">
        <v>45797</v>
      </c>
      <c r="D3056" t="inlineStr">
        <is>
          <t>ÖREBRO LÄN</t>
        </is>
      </c>
      <c r="E3056" t="inlineStr">
        <is>
          <t>LINDESBERG</t>
        </is>
      </c>
      <c r="G3056" t="n">
        <v>12.7</v>
      </c>
      <c r="H3056" t="n">
        <v>0</v>
      </c>
      <c r="I3056" t="n">
        <v>0</v>
      </c>
      <c r="J3056" t="n">
        <v>0</v>
      </c>
      <c r="K3056" t="n">
        <v>0</v>
      </c>
      <c r="L3056" t="n">
        <v>0</v>
      </c>
      <c r="M3056" t="n">
        <v>0</v>
      </c>
      <c r="N3056" t="n">
        <v>0</v>
      </c>
      <c r="O3056" t="n">
        <v>0</v>
      </c>
      <c r="P3056" t="n">
        <v>0</v>
      </c>
      <c r="Q3056" t="n">
        <v>0</v>
      </c>
      <c r="R3056" s="2" t="inlineStr"/>
    </row>
    <row r="3057" ht="15" customHeight="1">
      <c r="A3057" t="inlineStr">
        <is>
          <t>A 73947-2021</t>
        </is>
      </c>
      <c r="B3057" s="1" t="n">
        <v>44553</v>
      </c>
      <c r="C3057" s="1" t="n">
        <v>45797</v>
      </c>
      <c r="D3057" t="inlineStr">
        <is>
          <t>ÖREBRO LÄN</t>
        </is>
      </c>
      <c r="E3057" t="inlineStr">
        <is>
          <t>HALLSBERG</t>
        </is>
      </c>
      <c r="F3057" t="inlineStr">
        <is>
          <t>Allmännings- och besparingsskogar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74186-2021</t>
        </is>
      </c>
      <c r="B3058" s="1" t="n">
        <v>44558</v>
      </c>
      <c r="C3058" s="1" t="n">
        <v>45797</v>
      </c>
      <c r="D3058" t="inlineStr">
        <is>
          <t>ÖREBRO LÄN</t>
        </is>
      </c>
      <c r="E3058" t="inlineStr">
        <is>
          <t>ASKERSUND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74451-2021</t>
        </is>
      </c>
      <c r="B3059" s="1" t="n">
        <v>44560</v>
      </c>
      <c r="C3059" s="1" t="n">
        <v>45797</v>
      </c>
      <c r="D3059" t="inlineStr">
        <is>
          <t>ÖREBRO LÄN</t>
        </is>
      </c>
      <c r="E3059" t="inlineStr">
        <is>
          <t>NORA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74464-2021</t>
        </is>
      </c>
      <c r="B3060" s="1" t="n">
        <v>44560</v>
      </c>
      <c r="C3060" s="1" t="n">
        <v>45797</v>
      </c>
      <c r="D3060" t="inlineStr">
        <is>
          <t>ÖREBRO LÄN</t>
        </is>
      </c>
      <c r="E3060" t="inlineStr">
        <is>
          <t>HÄLLEFORS</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195-2022</t>
        </is>
      </c>
      <c r="B3061" s="1" t="n">
        <v>44564</v>
      </c>
      <c r="C3061" s="1" t="n">
        <v>45797</v>
      </c>
      <c r="D3061" t="inlineStr">
        <is>
          <t>ÖREBRO LÄN</t>
        </is>
      </c>
      <c r="E3061" t="inlineStr">
        <is>
          <t>LINDESBERG</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289-2022</t>
        </is>
      </c>
      <c r="B3062" s="1" t="n">
        <v>44564</v>
      </c>
      <c r="C3062" s="1" t="n">
        <v>45797</v>
      </c>
      <c r="D3062" t="inlineStr">
        <is>
          <t>ÖREBRO LÄN</t>
        </is>
      </c>
      <c r="E3062" t="inlineStr">
        <is>
          <t>LJUSNARSBERG</t>
        </is>
      </c>
      <c r="F3062" t="inlineStr">
        <is>
          <t>Bergvik skog väst AB</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392-2022</t>
        </is>
      </c>
      <c r="B3063" s="1" t="n">
        <v>44565</v>
      </c>
      <c r="C3063" s="1" t="n">
        <v>45797</v>
      </c>
      <c r="D3063" t="inlineStr">
        <is>
          <t>ÖREBRO LÄN</t>
        </is>
      </c>
      <c r="E3063" t="inlineStr">
        <is>
          <t>LJUSNARSBERG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484-2022</t>
        </is>
      </c>
      <c r="B3064" s="1" t="n">
        <v>44566</v>
      </c>
      <c r="C3064" s="1" t="n">
        <v>45797</v>
      </c>
      <c r="D3064" t="inlineStr">
        <is>
          <t>ÖREBRO LÄN</t>
        </is>
      </c>
      <c r="E3064" t="inlineStr">
        <is>
          <t>LINDESBERG</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797-2022</t>
        </is>
      </c>
      <c r="B3065" s="1" t="n">
        <v>44566</v>
      </c>
      <c r="C3065" s="1" t="n">
        <v>45797</v>
      </c>
      <c r="D3065" t="inlineStr">
        <is>
          <t>ÖREBRO LÄN</t>
        </is>
      </c>
      <c r="E3065" t="inlineStr">
        <is>
          <t>ÖREBRO</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642-2022</t>
        </is>
      </c>
      <c r="B3066" s="1" t="n">
        <v>44568</v>
      </c>
      <c r="C3066" s="1" t="n">
        <v>45797</v>
      </c>
      <c r="D3066" t="inlineStr">
        <is>
          <t>ÖREBRO LÄN</t>
        </is>
      </c>
      <c r="E3066" t="inlineStr">
        <is>
          <t>ASKERSUND</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765-2022</t>
        </is>
      </c>
      <c r="B3067" s="1" t="n">
        <v>44570</v>
      </c>
      <c r="C3067" s="1" t="n">
        <v>45797</v>
      </c>
      <c r="D3067" t="inlineStr">
        <is>
          <t>ÖREBRO LÄN</t>
        </is>
      </c>
      <c r="E3067" t="inlineStr">
        <is>
          <t>HALLSBERG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951-2022</t>
        </is>
      </c>
      <c r="B3068" s="1" t="n">
        <v>44571</v>
      </c>
      <c r="C3068" s="1" t="n">
        <v>45797</v>
      </c>
      <c r="D3068" t="inlineStr">
        <is>
          <t>ÖREBRO LÄN</t>
        </is>
      </c>
      <c r="E3068" t="inlineStr">
        <is>
          <t>LAXÅ</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978-2022</t>
        </is>
      </c>
      <c r="B3069" s="1" t="n">
        <v>44571</v>
      </c>
      <c r="C3069" s="1" t="n">
        <v>45797</v>
      </c>
      <c r="D3069" t="inlineStr">
        <is>
          <t>ÖREBRO LÄN</t>
        </is>
      </c>
      <c r="E3069" t="inlineStr">
        <is>
          <t>LAXÅ</t>
        </is>
      </c>
      <c r="F3069" t="inlineStr">
        <is>
          <t>Sveaskog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1149-2022</t>
        </is>
      </c>
      <c r="B3070" s="1" t="n">
        <v>44571</v>
      </c>
      <c r="C3070" s="1" t="n">
        <v>45797</v>
      </c>
      <c r="D3070" t="inlineStr">
        <is>
          <t>ÖREBRO LÄN</t>
        </is>
      </c>
      <c r="E3070" t="inlineStr">
        <is>
          <t>LAXÅ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1153-2022</t>
        </is>
      </c>
      <c r="B3071" s="1" t="n">
        <v>44571</v>
      </c>
      <c r="C3071" s="1" t="n">
        <v>45797</v>
      </c>
      <c r="D3071" t="inlineStr">
        <is>
          <t>ÖREBRO LÄN</t>
        </is>
      </c>
      <c r="E3071" t="inlineStr">
        <is>
          <t>LAXÅ</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1104-2022</t>
        </is>
      </c>
      <c r="B3072" s="1" t="n">
        <v>44571</v>
      </c>
      <c r="C3072" s="1" t="n">
        <v>45797</v>
      </c>
      <c r="D3072" t="inlineStr">
        <is>
          <t>ÖREBRO LÄN</t>
        </is>
      </c>
      <c r="E3072" t="inlineStr">
        <is>
          <t>LAXÅ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1121-2022</t>
        </is>
      </c>
      <c r="B3073" s="1" t="n">
        <v>44571</v>
      </c>
      <c r="C3073" s="1" t="n">
        <v>45797</v>
      </c>
      <c r="D3073" t="inlineStr">
        <is>
          <t>ÖREBRO LÄN</t>
        </is>
      </c>
      <c r="E3073" t="inlineStr">
        <is>
          <t>LAXÅ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1236-2022</t>
        </is>
      </c>
      <c r="B3074" s="1" t="n">
        <v>44572</v>
      </c>
      <c r="C3074" s="1" t="n">
        <v>45797</v>
      </c>
      <c r="D3074" t="inlineStr">
        <is>
          <t>ÖREBRO LÄN</t>
        </is>
      </c>
      <c r="E3074" t="inlineStr">
        <is>
          <t>ASKERSUND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1303-2022</t>
        </is>
      </c>
      <c r="B3075" s="1" t="n">
        <v>44572</v>
      </c>
      <c r="C3075" s="1" t="n">
        <v>45797</v>
      </c>
      <c r="D3075" t="inlineStr">
        <is>
          <t>ÖREBRO LÄN</t>
        </is>
      </c>
      <c r="E3075" t="inlineStr">
        <is>
          <t>LJUSNARSBERG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1257-2022</t>
        </is>
      </c>
      <c r="B3076" s="1" t="n">
        <v>44572</v>
      </c>
      <c r="C3076" s="1" t="n">
        <v>45797</v>
      </c>
      <c r="D3076" t="inlineStr">
        <is>
          <t>ÖREBRO LÄN</t>
        </is>
      </c>
      <c r="E3076" t="inlineStr">
        <is>
          <t>ÖREBRO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1320-2022</t>
        </is>
      </c>
      <c r="B3077" s="1" t="n">
        <v>44572</v>
      </c>
      <c r="C3077" s="1" t="n">
        <v>45797</v>
      </c>
      <c r="D3077" t="inlineStr">
        <is>
          <t>ÖREBRO LÄN</t>
        </is>
      </c>
      <c r="E3077" t="inlineStr">
        <is>
          <t>LJUSNARSBERG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1492-2022</t>
        </is>
      </c>
      <c r="B3078" s="1" t="n">
        <v>44573</v>
      </c>
      <c r="C3078" s="1" t="n">
        <v>45797</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1360-2022</t>
        </is>
      </c>
      <c r="B3079" s="1" t="n">
        <v>44573</v>
      </c>
      <c r="C3079" s="1" t="n">
        <v>45797</v>
      </c>
      <c r="D3079" t="inlineStr">
        <is>
          <t>ÖREBRO LÄN</t>
        </is>
      </c>
      <c r="E3079" t="inlineStr">
        <is>
          <t>ASKERSUND</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1359-2022</t>
        </is>
      </c>
      <c r="B3080" s="1" t="n">
        <v>44573</v>
      </c>
      <c r="C3080" s="1" t="n">
        <v>45797</v>
      </c>
      <c r="D3080" t="inlineStr">
        <is>
          <t>ÖREBRO LÄN</t>
        </is>
      </c>
      <c r="E3080" t="inlineStr">
        <is>
          <t>ASKERSUND</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1742-2022</t>
        </is>
      </c>
      <c r="B3081" s="1" t="n">
        <v>44574</v>
      </c>
      <c r="C3081" s="1" t="n">
        <v>45797</v>
      </c>
      <c r="D3081" t="inlineStr">
        <is>
          <t>ÖREBRO LÄN</t>
        </is>
      </c>
      <c r="E3081" t="inlineStr">
        <is>
          <t>LINDESBERG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2106-2022</t>
        </is>
      </c>
      <c r="B3082" s="1" t="n">
        <v>44577</v>
      </c>
      <c r="C3082" s="1" t="n">
        <v>45797</v>
      </c>
      <c r="D3082" t="inlineStr">
        <is>
          <t>ÖREBRO LÄN</t>
        </is>
      </c>
      <c r="E3082" t="inlineStr">
        <is>
          <t>LINDESBERG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2110-2022</t>
        </is>
      </c>
      <c r="B3083" s="1" t="n">
        <v>44577</v>
      </c>
      <c r="C3083" s="1" t="n">
        <v>45797</v>
      </c>
      <c r="D3083" t="inlineStr">
        <is>
          <t>ÖREBRO LÄN</t>
        </is>
      </c>
      <c r="E3083" t="inlineStr">
        <is>
          <t>LINDESBERG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2103-2022</t>
        </is>
      </c>
      <c r="B3084" s="1" t="n">
        <v>44577</v>
      </c>
      <c r="C3084" s="1" t="n">
        <v>45797</v>
      </c>
      <c r="D3084" t="inlineStr">
        <is>
          <t>ÖREBRO LÄN</t>
        </is>
      </c>
      <c r="E3084" t="inlineStr">
        <is>
          <t>LINDESBERG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2102-2022</t>
        </is>
      </c>
      <c r="B3085" s="1" t="n">
        <v>44577</v>
      </c>
      <c r="C3085" s="1" t="n">
        <v>45797</v>
      </c>
      <c r="D3085" t="inlineStr">
        <is>
          <t>ÖREBRO LÄN</t>
        </is>
      </c>
      <c r="E3085" t="inlineStr">
        <is>
          <t>LINDESBERG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2107-2022</t>
        </is>
      </c>
      <c r="B3086" s="1" t="n">
        <v>44577</v>
      </c>
      <c r="C3086" s="1" t="n">
        <v>45797</v>
      </c>
      <c r="D3086" t="inlineStr">
        <is>
          <t>ÖREBRO LÄN</t>
        </is>
      </c>
      <c r="E3086" t="inlineStr">
        <is>
          <t>LINDESBERG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2282-2022</t>
        </is>
      </c>
      <c r="B3087" s="1" t="n">
        <v>44578</v>
      </c>
      <c r="C3087" s="1" t="n">
        <v>45797</v>
      </c>
      <c r="D3087" t="inlineStr">
        <is>
          <t>ÖREBRO LÄN</t>
        </is>
      </c>
      <c r="E3087" t="inlineStr">
        <is>
          <t>ASKERSUND</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2357-2022</t>
        </is>
      </c>
      <c r="B3088" s="1" t="n">
        <v>44578</v>
      </c>
      <c r="C3088" s="1" t="n">
        <v>45797</v>
      </c>
      <c r="D3088" t="inlineStr">
        <is>
          <t>ÖREBRO LÄN</t>
        </is>
      </c>
      <c r="E3088" t="inlineStr">
        <is>
          <t>DEGERFORS</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2372-2022</t>
        </is>
      </c>
      <c r="B3089" s="1" t="n">
        <v>44579</v>
      </c>
      <c r="C3089" s="1" t="n">
        <v>45797</v>
      </c>
      <c r="D3089" t="inlineStr">
        <is>
          <t>ÖREBRO LÄN</t>
        </is>
      </c>
      <c r="E3089" t="inlineStr">
        <is>
          <t>LAXÅ</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2565-2022</t>
        </is>
      </c>
      <c r="B3090" s="1" t="n">
        <v>44579</v>
      </c>
      <c r="C3090" s="1" t="n">
        <v>45797</v>
      </c>
      <c r="D3090" t="inlineStr">
        <is>
          <t>ÖREBRO LÄN</t>
        </is>
      </c>
      <c r="E3090" t="inlineStr">
        <is>
          <t>DEGERFORS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2596-2022</t>
        </is>
      </c>
      <c r="B3091" s="1" t="n">
        <v>44580</v>
      </c>
      <c r="C3091" s="1" t="n">
        <v>45797</v>
      </c>
      <c r="D3091" t="inlineStr">
        <is>
          <t>ÖREBRO LÄN</t>
        </is>
      </c>
      <c r="E3091" t="inlineStr">
        <is>
          <t>ÖREBRO</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2851-2022</t>
        </is>
      </c>
      <c r="B3092" s="1" t="n">
        <v>44581</v>
      </c>
      <c r="C3092" s="1" t="n">
        <v>45797</v>
      </c>
      <c r="D3092" t="inlineStr">
        <is>
          <t>ÖREBRO LÄN</t>
        </is>
      </c>
      <c r="E3092" t="inlineStr">
        <is>
          <t>LEKEBERG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2954-2022</t>
        </is>
      </c>
      <c r="B3093" s="1" t="n">
        <v>44581</v>
      </c>
      <c r="C3093" s="1" t="n">
        <v>45797</v>
      </c>
      <c r="D3093" t="inlineStr">
        <is>
          <t>ÖREBRO LÄN</t>
        </is>
      </c>
      <c r="E3093" t="inlineStr">
        <is>
          <t>KUMLA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3120-2022</t>
        </is>
      </c>
      <c r="B3094" s="1" t="n">
        <v>44582</v>
      </c>
      <c r="C3094" s="1" t="n">
        <v>45797</v>
      </c>
      <c r="D3094" t="inlineStr">
        <is>
          <t>ÖREBRO LÄN</t>
        </is>
      </c>
      <c r="E3094" t="inlineStr">
        <is>
          <t>ÖREBRO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3177-2022</t>
        </is>
      </c>
      <c r="B3095" s="1" t="n">
        <v>44582</v>
      </c>
      <c r="C3095" s="1" t="n">
        <v>45797</v>
      </c>
      <c r="D3095" t="inlineStr">
        <is>
          <t>ÖREBRO LÄN</t>
        </is>
      </c>
      <c r="E3095" t="inlineStr">
        <is>
          <t>DEGERFORS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3351-2022</t>
        </is>
      </c>
      <c r="B3096" s="1" t="n">
        <v>44585</v>
      </c>
      <c r="C3096" s="1" t="n">
        <v>45797</v>
      </c>
      <c r="D3096" t="inlineStr">
        <is>
          <t>ÖREBRO LÄN</t>
        </is>
      </c>
      <c r="E3096" t="inlineStr">
        <is>
          <t>LINDESBERG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3366-2022</t>
        </is>
      </c>
      <c r="B3097" s="1" t="n">
        <v>44585</v>
      </c>
      <c r="C3097" s="1" t="n">
        <v>45797</v>
      </c>
      <c r="D3097" t="inlineStr">
        <is>
          <t>ÖREBRO LÄN</t>
        </is>
      </c>
      <c r="E3097" t="inlineStr">
        <is>
          <t>HALLSBERG</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3537-2022</t>
        </is>
      </c>
      <c r="B3098" s="1" t="n">
        <v>44585</v>
      </c>
      <c r="C3098" s="1" t="n">
        <v>45797</v>
      </c>
      <c r="D3098" t="inlineStr">
        <is>
          <t>ÖREBRO LÄN</t>
        </is>
      </c>
      <c r="E3098" t="inlineStr">
        <is>
          <t>KARLSKOGA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3563-2022</t>
        </is>
      </c>
      <c r="B3099" s="1" t="n">
        <v>44585</v>
      </c>
      <c r="C3099" s="1" t="n">
        <v>45797</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3675-2022</t>
        </is>
      </c>
      <c r="B3100" s="1" t="n">
        <v>44586</v>
      </c>
      <c r="C3100" s="1" t="n">
        <v>45797</v>
      </c>
      <c r="D3100" t="inlineStr">
        <is>
          <t>ÖREBRO LÄN</t>
        </is>
      </c>
      <c r="E3100" t="inlineStr">
        <is>
          <t>HALLSBERG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3652-2022</t>
        </is>
      </c>
      <c r="B3101" s="1" t="n">
        <v>44586</v>
      </c>
      <c r="C3101" s="1" t="n">
        <v>45797</v>
      </c>
      <c r="D3101" t="inlineStr">
        <is>
          <t>ÖREBRO LÄN</t>
        </is>
      </c>
      <c r="E3101" t="inlineStr">
        <is>
          <t>ÖREBRO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4164-2022</t>
        </is>
      </c>
      <c r="B3102" s="1" t="n">
        <v>44588</v>
      </c>
      <c r="C3102" s="1" t="n">
        <v>45797</v>
      </c>
      <c r="D3102" t="inlineStr">
        <is>
          <t>ÖREBRO LÄN</t>
        </is>
      </c>
      <c r="E3102" t="inlineStr">
        <is>
          <t>KARLSKOGA</t>
        </is>
      </c>
      <c r="F3102" t="inlineStr">
        <is>
          <t>Kommuner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4058-2022</t>
        </is>
      </c>
      <c r="B3103" s="1" t="n">
        <v>44588</v>
      </c>
      <c r="C3103" s="1" t="n">
        <v>45797</v>
      </c>
      <c r="D3103" t="inlineStr">
        <is>
          <t>ÖREBRO LÄN</t>
        </is>
      </c>
      <c r="E3103" t="inlineStr">
        <is>
          <t>KARLSKOGA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4467-2022</t>
        </is>
      </c>
      <c r="B3104" s="1" t="n">
        <v>44589</v>
      </c>
      <c r="C3104" s="1" t="n">
        <v>45797</v>
      </c>
      <c r="D3104" t="inlineStr">
        <is>
          <t>ÖREBRO LÄN</t>
        </is>
      </c>
      <c r="E3104" t="inlineStr">
        <is>
          <t>LEKEBERG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4472-2022</t>
        </is>
      </c>
      <c r="B3105" s="1" t="n">
        <v>44589</v>
      </c>
      <c r="C3105" s="1" t="n">
        <v>45797</v>
      </c>
      <c r="D3105" t="inlineStr">
        <is>
          <t>ÖREBRO LÄN</t>
        </is>
      </c>
      <c r="E3105" t="inlineStr">
        <is>
          <t>LEKEBERG</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4470-2022</t>
        </is>
      </c>
      <c r="B3106" s="1" t="n">
        <v>44589</v>
      </c>
      <c r="C3106" s="1" t="n">
        <v>45797</v>
      </c>
      <c r="D3106" t="inlineStr">
        <is>
          <t>ÖREBRO LÄN</t>
        </is>
      </c>
      <c r="E3106" t="inlineStr">
        <is>
          <t>LEKEBERG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4468-2022</t>
        </is>
      </c>
      <c r="B3107" s="1" t="n">
        <v>44589</v>
      </c>
      <c r="C3107" s="1" t="n">
        <v>45797</v>
      </c>
      <c r="D3107" t="inlineStr">
        <is>
          <t>ÖREBRO LÄN</t>
        </is>
      </c>
      <c r="E3107" t="inlineStr">
        <is>
          <t>LEKEBERG</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4548-2022</t>
        </is>
      </c>
      <c r="B3108" s="1" t="n">
        <v>44590</v>
      </c>
      <c r="C3108" s="1" t="n">
        <v>45797</v>
      </c>
      <c r="D3108" t="inlineStr">
        <is>
          <t>ÖREBRO LÄN</t>
        </is>
      </c>
      <c r="E3108" t="inlineStr">
        <is>
          <t>HÄLLEFORS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4537-2022</t>
        </is>
      </c>
      <c r="B3109" s="1" t="n">
        <v>44590</v>
      </c>
      <c r="C3109" s="1" t="n">
        <v>45797</v>
      </c>
      <c r="D3109" t="inlineStr">
        <is>
          <t>ÖREBRO LÄN</t>
        </is>
      </c>
      <c r="E3109" t="inlineStr">
        <is>
          <t>KARLSKOGA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4716-2022</t>
        </is>
      </c>
      <c r="B3110" s="1" t="n">
        <v>44592</v>
      </c>
      <c r="C3110" s="1" t="n">
        <v>45797</v>
      </c>
      <c r="D3110" t="inlineStr">
        <is>
          <t>ÖREBRO LÄN</t>
        </is>
      </c>
      <c r="E3110" t="inlineStr">
        <is>
          <t>HÄLLEFORS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4761-2022</t>
        </is>
      </c>
      <c r="B3111" s="1" t="n">
        <v>44592</v>
      </c>
      <c r="C3111" s="1" t="n">
        <v>45797</v>
      </c>
      <c r="D3111" t="inlineStr">
        <is>
          <t>ÖREBRO LÄN</t>
        </is>
      </c>
      <c r="E3111" t="inlineStr">
        <is>
          <t>ÖREBRO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4786-2022</t>
        </is>
      </c>
      <c r="B3112" s="1" t="n">
        <v>44592</v>
      </c>
      <c r="C3112" s="1" t="n">
        <v>45797</v>
      </c>
      <c r="D3112" t="inlineStr">
        <is>
          <t>ÖREBRO LÄN</t>
        </is>
      </c>
      <c r="E3112" t="inlineStr">
        <is>
          <t>ASKERSUND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4766-2022</t>
        </is>
      </c>
      <c r="B3113" s="1" t="n">
        <v>44592</v>
      </c>
      <c r="C3113" s="1" t="n">
        <v>45797</v>
      </c>
      <c r="D3113" t="inlineStr">
        <is>
          <t>ÖREBRO LÄN</t>
        </is>
      </c>
      <c r="E3113" t="inlineStr">
        <is>
          <t>ÖREBRO</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4956-2022</t>
        </is>
      </c>
      <c r="B3114" s="1" t="n">
        <v>44593</v>
      </c>
      <c r="C3114" s="1" t="n">
        <v>45797</v>
      </c>
      <c r="D3114" t="inlineStr">
        <is>
          <t>ÖREBRO LÄN</t>
        </is>
      </c>
      <c r="E3114" t="inlineStr">
        <is>
          <t>ÖREBRO</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4961-2022</t>
        </is>
      </c>
      <c r="B3115" s="1" t="n">
        <v>44593</v>
      </c>
      <c r="C3115" s="1" t="n">
        <v>45797</v>
      </c>
      <c r="D3115" t="inlineStr">
        <is>
          <t>ÖREBRO LÄN</t>
        </is>
      </c>
      <c r="E3115" t="inlineStr">
        <is>
          <t>ÖREBRO</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4887-2022</t>
        </is>
      </c>
      <c r="B3116" s="1" t="n">
        <v>44593</v>
      </c>
      <c r="C3116" s="1" t="n">
        <v>45797</v>
      </c>
      <c r="D3116" t="inlineStr">
        <is>
          <t>ÖREBRO LÄN</t>
        </is>
      </c>
      <c r="E3116" t="inlineStr">
        <is>
          <t>ÖREBRO</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4970-2022</t>
        </is>
      </c>
      <c r="B3117" s="1" t="n">
        <v>44593</v>
      </c>
      <c r="C3117" s="1" t="n">
        <v>45797</v>
      </c>
      <c r="D3117" t="inlineStr">
        <is>
          <t>ÖREBRO LÄN</t>
        </is>
      </c>
      <c r="E3117" t="inlineStr">
        <is>
          <t>ÖREBRO</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5025-2022</t>
        </is>
      </c>
      <c r="B3118" s="1" t="n">
        <v>44593</v>
      </c>
      <c r="C3118" s="1" t="n">
        <v>45797</v>
      </c>
      <c r="D3118" t="inlineStr">
        <is>
          <t>ÖREBRO LÄN</t>
        </is>
      </c>
      <c r="E3118" t="inlineStr">
        <is>
          <t>HÄLLEFORS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5043-2022</t>
        </is>
      </c>
      <c r="B3119" s="1" t="n">
        <v>44593</v>
      </c>
      <c r="C3119" s="1" t="n">
        <v>45797</v>
      </c>
      <c r="D3119" t="inlineStr">
        <is>
          <t>ÖREBRO LÄN</t>
        </is>
      </c>
      <c r="E3119" t="inlineStr">
        <is>
          <t>LEKEBERG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5049-2022</t>
        </is>
      </c>
      <c r="B3120" s="1" t="n">
        <v>44593</v>
      </c>
      <c r="C3120" s="1" t="n">
        <v>45797</v>
      </c>
      <c r="D3120" t="inlineStr">
        <is>
          <t>ÖREBRO LÄN</t>
        </is>
      </c>
      <c r="E3120" t="inlineStr">
        <is>
          <t>NORA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5026-2022</t>
        </is>
      </c>
      <c r="B3121" s="1" t="n">
        <v>44593</v>
      </c>
      <c r="C3121" s="1" t="n">
        <v>45797</v>
      </c>
      <c r="D3121" t="inlineStr">
        <is>
          <t>ÖREBRO LÄN</t>
        </is>
      </c>
      <c r="E3121" t="inlineStr">
        <is>
          <t>ÖREBRO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5039-2022</t>
        </is>
      </c>
      <c r="B3122" s="1" t="n">
        <v>44593</v>
      </c>
      <c r="C3122" s="1" t="n">
        <v>45797</v>
      </c>
      <c r="D3122" t="inlineStr">
        <is>
          <t>ÖREBRO LÄN</t>
        </is>
      </c>
      <c r="E3122" t="inlineStr">
        <is>
          <t>NORA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5044-2022</t>
        </is>
      </c>
      <c r="B3123" s="1" t="n">
        <v>44593</v>
      </c>
      <c r="C3123" s="1" t="n">
        <v>45797</v>
      </c>
      <c r="D3123" t="inlineStr">
        <is>
          <t>ÖREBRO LÄN</t>
        </is>
      </c>
      <c r="E3123" t="inlineStr">
        <is>
          <t>ASKERSUND</t>
        </is>
      </c>
      <c r="F3123" t="inlineStr">
        <is>
          <t>Allmännings- och besparingsskogar</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5050-2022</t>
        </is>
      </c>
      <c r="B3124" s="1" t="n">
        <v>44593</v>
      </c>
      <c r="C3124" s="1" t="n">
        <v>45797</v>
      </c>
      <c r="D3124" t="inlineStr">
        <is>
          <t>ÖREBRO LÄN</t>
        </is>
      </c>
      <c r="E3124" t="inlineStr">
        <is>
          <t>ASKERSUND</t>
        </is>
      </c>
      <c r="F3124" t="inlineStr">
        <is>
          <t>Allmännings- och besparingsskogar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5181-2022</t>
        </is>
      </c>
      <c r="B3125" s="1" t="n">
        <v>44593</v>
      </c>
      <c r="C3125" s="1" t="n">
        <v>45797</v>
      </c>
      <c r="D3125" t="inlineStr">
        <is>
          <t>ÖREBRO LÄN</t>
        </is>
      </c>
      <c r="E3125" t="inlineStr">
        <is>
          <t>NORA</t>
        </is>
      </c>
      <c r="F3125" t="inlineStr">
        <is>
          <t>Övriga Aktiebolag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5217-2022</t>
        </is>
      </c>
      <c r="B3126" s="1" t="n">
        <v>44593</v>
      </c>
      <c r="C3126" s="1" t="n">
        <v>45797</v>
      </c>
      <c r="D3126" t="inlineStr">
        <is>
          <t>ÖREBRO LÄN</t>
        </is>
      </c>
      <c r="E3126" t="inlineStr">
        <is>
          <t>NORA</t>
        </is>
      </c>
      <c r="F3126" t="inlineStr">
        <is>
          <t>Övriga Aktiebolag</t>
        </is>
      </c>
      <c r="G3126" t="n">
        <v>38.4</v>
      </c>
      <c r="H3126" t="n">
        <v>0</v>
      </c>
      <c r="I3126" t="n">
        <v>0</v>
      </c>
      <c r="J3126" t="n">
        <v>0</v>
      </c>
      <c r="K3126" t="n">
        <v>0</v>
      </c>
      <c r="L3126" t="n">
        <v>0</v>
      </c>
      <c r="M3126" t="n">
        <v>0</v>
      </c>
      <c r="N3126" t="n">
        <v>0</v>
      </c>
      <c r="O3126" t="n">
        <v>0</v>
      </c>
      <c r="P3126" t="n">
        <v>0</v>
      </c>
      <c r="Q3126" t="n">
        <v>0</v>
      </c>
      <c r="R3126" s="2" t="inlineStr"/>
    </row>
    <row r="3127" ht="15" customHeight="1">
      <c r="A3127" t="inlineStr">
        <is>
          <t>A 5319-2022</t>
        </is>
      </c>
      <c r="B3127" s="1" t="n">
        <v>44594</v>
      </c>
      <c r="C3127" s="1" t="n">
        <v>45797</v>
      </c>
      <c r="D3127" t="inlineStr">
        <is>
          <t>ÖREBRO LÄN</t>
        </is>
      </c>
      <c r="E3127" t="inlineStr">
        <is>
          <t>DEGERFORS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5338-2022</t>
        </is>
      </c>
      <c r="B3128" s="1" t="n">
        <v>44594</v>
      </c>
      <c r="C3128" s="1" t="n">
        <v>45797</v>
      </c>
      <c r="D3128" t="inlineStr">
        <is>
          <t>ÖREBRO LÄN</t>
        </is>
      </c>
      <c r="E3128" t="inlineStr">
        <is>
          <t>LINDESBERG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5358-2022</t>
        </is>
      </c>
      <c r="B3129" s="1" t="n">
        <v>44594</v>
      </c>
      <c r="C3129" s="1" t="n">
        <v>45797</v>
      </c>
      <c r="D3129" t="inlineStr">
        <is>
          <t>ÖREBRO LÄN</t>
        </is>
      </c>
      <c r="E3129" t="inlineStr">
        <is>
          <t>LINDESBERG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5339-2022</t>
        </is>
      </c>
      <c r="B3130" s="1" t="n">
        <v>44594</v>
      </c>
      <c r="C3130" s="1" t="n">
        <v>45797</v>
      </c>
      <c r="D3130" t="inlineStr">
        <is>
          <t>ÖREBRO LÄN</t>
        </is>
      </c>
      <c r="E3130" t="inlineStr">
        <is>
          <t>KARLSKOGA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5401-2022</t>
        </is>
      </c>
      <c r="B3131" s="1" t="n">
        <v>44595</v>
      </c>
      <c r="C3131" s="1" t="n">
        <v>45797</v>
      </c>
      <c r="D3131" t="inlineStr">
        <is>
          <t>ÖREBRO LÄN</t>
        </is>
      </c>
      <c r="E3131" t="inlineStr">
        <is>
          <t>ÖREBRO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5504-2022</t>
        </is>
      </c>
      <c r="B3132" s="1" t="n">
        <v>44595</v>
      </c>
      <c r="C3132" s="1" t="n">
        <v>45797</v>
      </c>
      <c r="D3132" t="inlineStr">
        <is>
          <t>ÖREBRO LÄN</t>
        </is>
      </c>
      <c r="E3132" t="inlineStr">
        <is>
          <t>ASKERSUND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5398-2022</t>
        </is>
      </c>
      <c r="B3133" s="1" t="n">
        <v>44595</v>
      </c>
      <c r="C3133" s="1" t="n">
        <v>45797</v>
      </c>
      <c r="D3133" t="inlineStr">
        <is>
          <t>ÖREBRO LÄN</t>
        </is>
      </c>
      <c r="E3133" t="inlineStr">
        <is>
          <t>ÖREBRO</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5518-2022</t>
        </is>
      </c>
      <c r="B3134" s="1" t="n">
        <v>44595</v>
      </c>
      <c r="C3134" s="1" t="n">
        <v>45797</v>
      </c>
      <c r="D3134" t="inlineStr">
        <is>
          <t>ÖREBRO LÄN</t>
        </is>
      </c>
      <c r="E3134" t="inlineStr">
        <is>
          <t>ASKERSUND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5441-2022</t>
        </is>
      </c>
      <c r="B3135" s="1" t="n">
        <v>44595</v>
      </c>
      <c r="C3135" s="1" t="n">
        <v>45797</v>
      </c>
      <c r="D3135" t="inlineStr">
        <is>
          <t>ÖREBRO LÄN</t>
        </is>
      </c>
      <c r="E3135" t="inlineStr">
        <is>
          <t>LAXÅ</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5636-2022</t>
        </is>
      </c>
      <c r="B3136" s="1" t="n">
        <v>44595</v>
      </c>
      <c r="C3136" s="1" t="n">
        <v>45797</v>
      </c>
      <c r="D3136" t="inlineStr">
        <is>
          <t>ÖREBRO LÄN</t>
        </is>
      </c>
      <c r="E3136" t="inlineStr">
        <is>
          <t>LJUSNARSBERG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5781-2022</t>
        </is>
      </c>
      <c r="B3137" s="1" t="n">
        <v>44596</v>
      </c>
      <c r="C3137" s="1" t="n">
        <v>45797</v>
      </c>
      <c r="D3137" t="inlineStr">
        <is>
          <t>ÖREBRO LÄN</t>
        </is>
      </c>
      <c r="E3137" t="inlineStr">
        <is>
          <t>KUMLA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5764-2022</t>
        </is>
      </c>
      <c r="B3138" s="1" t="n">
        <v>44596</v>
      </c>
      <c r="C3138" s="1" t="n">
        <v>45797</v>
      </c>
      <c r="D3138" t="inlineStr">
        <is>
          <t>ÖREBRO LÄN</t>
        </is>
      </c>
      <c r="E3138" t="inlineStr">
        <is>
          <t>ÖREBRO</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5773-2022</t>
        </is>
      </c>
      <c r="B3139" s="1" t="n">
        <v>44596</v>
      </c>
      <c r="C3139" s="1" t="n">
        <v>45797</v>
      </c>
      <c r="D3139" t="inlineStr">
        <is>
          <t>ÖREBRO LÄN</t>
        </is>
      </c>
      <c r="E3139" t="inlineStr">
        <is>
          <t>LAXÅ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6107-2022</t>
        </is>
      </c>
      <c r="B3140" s="1" t="n">
        <v>44599</v>
      </c>
      <c r="C3140" s="1" t="n">
        <v>45797</v>
      </c>
      <c r="D3140" t="inlineStr">
        <is>
          <t>ÖREBRO LÄN</t>
        </is>
      </c>
      <c r="E3140" t="inlineStr">
        <is>
          <t>HÄLLEFORS</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6231-2022</t>
        </is>
      </c>
      <c r="B3141" s="1" t="n">
        <v>44600</v>
      </c>
      <c r="C3141" s="1" t="n">
        <v>45797</v>
      </c>
      <c r="D3141" t="inlineStr">
        <is>
          <t>ÖREBRO LÄN</t>
        </is>
      </c>
      <c r="E3141" t="inlineStr">
        <is>
          <t>HÄLLEFORS</t>
        </is>
      </c>
      <c r="F3141" t="inlineStr">
        <is>
          <t>Bergvik skog väst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6245-2022</t>
        </is>
      </c>
      <c r="B3142" s="1" t="n">
        <v>44600</v>
      </c>
      <c r="C3142" s="1" t="n">
        <v>45797</v>
      </c>
      <c r="D3142" t="inlineStr">
        <is>
          <t>ÖREBRO LÄN</t>
        </is>
      </c>
      <c r="E3142" t="inlineStr">
        <is>
          <t>NORA</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6468-2022</t>
        </is>
      </c>
      <c r="B3143" s="1" t="n">
        <v>44601</v>
      </c>
      <c r="C3143" s="1" t="n">
        <v>45797</v>
      </c>
      <c r="D3143" t="inlineStr">
        <is>
          <t>ÖREBRO LÄN</t>
        </is>
      </c>
      <c r="E3143" t="inlineStr">
        <is>
          <t>LEKEBERG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6579-2022</t>
        </is>
      </c>
      <c r="B3144" s="1" t="n">
        <v>44601</v>
      </c>
      <c r="C3144" s="1" t="n">
        <v>45797</v>
      </c>
      <c r="D3144" t="inlineStr">
        <is>
          <t>ÖREBRO LÄN</t>
        </is>
      </c>
      <c r="E3144" t="inlineStr">
        <is>
          <t>KUMLA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6638-2022</t>
        </is>
      </c>
      <c r="B3145" s="1" t="n">
        <v>44601</v>
      </c>
      <c r="C3145" s="1" t="n">
        <v>45797</v>
      </c>
      <c r="D3145" t="inlineStr">
        <is>
          <t>ÖREBRO LÄN</t>
        </is>
      </c>
      <c r="E3145" t="inlineStr">
        <is>
          <t>ÖREBRO</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6723-2022</t>
        </is>
      </c>
      <c r="B3146" s="1" t="n">
        <v>44602</v>
      </c>
      <c r="C3146" s="1" t="n">
        <v>45797</v>
      </c>
      <c r="D3146" t="inlineStr">
        <is>
          <t>ÖREBRO LÄN</t>
        </is>
      </c>
      <c r="E3146" t="inlineStr">
        <is>
          <t>LINDESBERG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6727-2022</t>
        </is>
      </c>
      <c r="B3147" s="1" t="n">
        <v>44602</v>
      </c>
      <c r="C3147" s="1" t="n">
        <v>45797</v>
      </c>
      <c r="D3147" t="inlineStr">
        <is>
          <t>ÖREBRO LÄN</t>
        </is>
      </c>
      <c r="E3147" t="inlineStr">
        <is>
          <t>LINDESBERG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6752-2022</t>
        </is>
      </c>
      <c r="B3148" s="1" t="n">
        <v>44602</v>
      </c>
      <c r="C3148" s="1" t="n">
        <v>45797</v>
      </c>
      <c r="D3148" t="inlineStr">
        <is>
          <t>ÖREBRO LÄN</t>
        </is>
      </c>
      <c r="E3148" t="inlineStr">
        <is>
          <t>ÖREBRO</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6726-2022</t>
        </is>
      </c>
      <c r="B3149" s="1" t="n">
        <v>44602</v>
      </c>
      <c r="C3149" s="1" t="n">
        <v>45797</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6828-2022</t>
        </is>
      </c>
      <c r="B3150" s="1" t="n">
        <v>44602</v>
      </c>
      <c r="C3150" s="1" t="n">
        <v>45797</v>
      </c>
      <c r="D3150" t="inlineStr">
        <is>
          <t>ÖREBRO LÄN</t>
        </is>
      </c>
      <c r="E3150" t="inlineStr">
        <is>
          <t>ASKERSUND</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6842-2022</t>
        </is>
      </c>
      <c r="B3151" s="1" t="n">
        <v>44602</v>
      </c>
      <c r="C3151" s="1" t="n">
        <v>45797</v>
      </c>
      <c r="D3151" t="inlineStr">
        <is>
          <t>ÖREBRO LÄN</t>
        </is>
      </c>
      <c r="E3151" t="inlineStr">
        <is>
          <t>LAXÅ</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6958-2022</t>
        </is>
      </c>
      <c r="B3152" s="1" t="n">
        <v>44603</v>
      </c>
      <c r="C3152" s="1" t="n">
        <v>45797</v>
      </c>
      <c r="D3152" t="inlineStr">
        <is>
          <t>ÖREBRO LÄN</t>
        </is>
      </c>
      <c r="E3152" t="inlineStr">
        <is>
          <t>LINDESBERG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7106-2022</t>
        </is>
      </c>
      <c r="B3153" s="1" t="n">
        <v>44603</v>
      </c>
      <c r="C3153" s="1" t="n">
        <v>45797</v>
      </c>
      <c r="D3153" t="inlineStr">
        <is>
          <t>ÖREBRO LÄN</t>
        </is>
      </c>
      <c r="E3153" t="inlineStr">
        <is>
          <t>LINDESBERG</t>
        </is>
      </c>
      <c r="F3153" t="inlineStr">
        <is>
          <t>Kyrkan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7294-2022</t>
        </is>
      </c>
      <c r="B3154" s="1" t="n">
        <v>44606</v>
      </c>
      <c r="C3154" s="1" t="n">
        <v>45797</v>
      </c>
      <c r="D3154" t="inlineStr">
        <is>
          <t>ÖREBRO LÄN</t>
        </is>
      </c>
      <c r="E3154" t="inlineStr">
        <is>
          <t>HÄLLEFORS</t>
        </is>
      </c>
      <c r="F3154" t="inlineStr">
        <is>
          <t>Bergvik skog väst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7365-2022</t>
        </is>
      </c>
      <c r="B3155" s="1" t="n">
        <v>44606</v>
      </c>
      <c r="C3155" s="1" t="n">
        <v>45797</v>
      </c>
      <c r="D3155" t="inlineStr">
        <is>
          <t>ÖREBRO LÄN</t>
        </is>
      </c>
      <c r="E3155" t="inlineStr">
        <is>
          <t>ÖREBRO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7374-2022</t>
        </is>
      </c>
      <c r="B3156" s="1" t="n">
        <v>44606</v>
      </c>
      <c r="C3156" s="1" t="n">
        <v>45797</v>
      </c>
      <c r="D3156" t="inlineStr">
        <is>
          <t>ÖREBRO LÄN</t>
        </is>
      </c>
      <c r="E3156" t="inlineStr">
        <is>
          <t>ASKERSUND</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7413-2022</t>
        </is>
      </c>
      <c r="B3157" s="1" t="n">
        <v>44606</v>
      </c>
      <c r="C3157" s="1" t="n">
        <v>45797</v>
      </c>
      <c r="D3157" t="inlineStr">
        <is>
          <t>ÖREBRO LÄN</t>
        </is>
      </c>
      <c r="E3157" t="inlineStr">
        <is>
          <t>NORA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7400-2022</t>
        </is>
      </c>
      <c r="B3158" s="1" t="n">
        <v>44606</v>
      </c>
      <c r="C3158" s="1" t="n">
        <v>45797</v>
      </c>
      <c r="D3158" t="inlineStr">
        <is>
          <t>ÖREBRO LÄN</t>
        </is>
      </c>
      <c r="E3158" t="inlineStr">
        <is>
          <t>ASKERSUND</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7371-2022</t>
        </is>
      </c>
      <c r="B3159" s="1" t="n">
        <v>44606</v>
      </c>
      <c r="C3159" s="1" t="n">
        <v>45797</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7481-2022</t>
        </is>
      </c>
      <c r="B3160" s="1" t="n">
        <v>44607</v>
      </c>
      <c r="C3160" s="1" t="n">
        <v>45797</v>
      </c>
      <c r="D3160" t="inlineStr">
        <is>
          <t>ÖREBRO LÄN</t>
        </is>
      </c>
      <c r="E3160" t="inlineStr">
        <is>
          <t>ASKERSUND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7468-2022</t>
        </is>
      </c>
      <c r="B3161" s="1" t="n">
        <v>44607</v>
      </c>
      <c r="C3161" s="1" t="n">
        <v>45797</v>
      </c>
      <c r="D3161" t="inlineStr">
        <is>
          <t>ÖREBRO LÄN</t>
        </is>
      </c>
      <c r="E3161" t="inlineStr">
        <is>
          <t>ASKERSUND</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7476-2022</t>
        </is>
      </c>
      <c r="B3162" s="1" t="n">
        <v>44607</v>
      </c>
      <c r="C3162" s="1" t="n">
        <v>45797</v>
      </c>
      <c r="D3162" t="inlineStr">
        <is>
          <t>ÖREBRO LÄN</t>
        </is>
      </c>
      <c r="E3162" t="inlineStr">
        <is>
          <t>ASKERSUND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7510-2022</t>
        </is>
      </c>
      <c r="B3163" s="1" t="n">
        <v>44607</v>
      </c>
      <c r="C3163" s="1" t="n">
        <v>45797</v>
      </c>
      <c r="D3163" t="inlineStr">
        <is>
          <t>ÖREBRO LÄN</t>
        </is>
      </c>
      <c r="E3163" t="inlineStr">
        <is>
          <t>DEGERFORS</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7598-2022</t>
        </is>
      </c>
      <c r="B3164" s="1" t="n">
        <v>44607</v>
      </c>
      <c r="C3164" s="1" t="n">
        <v>45797</v>
      </c>
      <c r="D3164" t="inlineStr">
        <is>
          <t>ÖREBRO LÄN</t>
        </is>
      </c>
      <c r="E3164" t="inlineStr">
        <is>
          <t>LINDESBERG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7903-2022</t>
        </is>
      </c>
      <c r="B3165" s="1" t="n">
        <v>44607</v>
      </c>
      <c r="C3165" s="1" t="n">
        <v>45797</v>
      </c>
      <c r="D3165" t="inlineStr">
        <is>
          <t>ÖREBRO LÄN</t>
        </is>
      </c>
      <c r="E3165" t="inlineStr">
        <is>
          <t>LJUSNARSBERG</t>
        </is>
      </c>
      <c r="F3165" t="inlineStr">
        <is>
          <t>Kyrkan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7704-2022</t>
        </is>
      </c>
      <c r="B3166" s="1" t="n">
        <v>44608</v>
      </c>
      <c r="C3166" s="1" t="n">
        <v>45797</v>
      </c>
      <c r="D3166" t="inlineStr">
        <is>
          <t>ÖREBRO LÄN</t>
        </is>
      </c>
      <c r="E3166" t="inlineStr">
        <is>
          <t>ASKERSUND</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7846-2022</t>
        </is>
      </c>
      <c r="B3167" s="1" t="n">
        <v>44608</v>
      </c>
      <c r="C3167" s="1" t="n">
        <v>45797</v>
      </c>
      <c r="D3167" t="inlineStr">
        <is>
          <t>ÖREBRO LÄN</t>
        </is>
      </c>
      <c r="E3167" t="inlineStr">
        <is>
          <t>LAXÅ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7859-2022</t>
        </is>
      </c>
      <c r="B3168" s="1" t="n">
        <v>44608</v>
      </c>
      <c r="C3168" s="1" t="n">
        <v>45797</v>
      </c>
      <c r="D3168" t="inlineStr">
        <is>
          <t>ÖREBRO LÄN</t>
        </is>
      </c>
      <c r="E3168" t="inlineStr">
        <is>
          <t>LINDESBERG</t>
        </is>
      </c>
      <c r="F3168" t="inlineStr">
        <is>
          <t>Kyrkan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7730-2022</t>
        </is>
      </c>
      <c r="B3169" s="1" t="n">
        <v>44608</v>
      </c>
      <c r="C3169" s="1" t="n">
        <v>45797</v>
      </c>
      <c r="D3169" t="inlineStr">
        <is>
          <t>ÖREBRO LÄN</t>
        </is>
      </c>
      <c r="E3169" t="inlineStr">
        <is>
          <t>ASKERSUND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7774-2022</t>
        </is>
      </c>
      <c r="B3170" s="1" t="n">
        <v>44608</v>
      </c>
      <c r="C3170" s="1" t="n">
        <v>45797</v>
      </c>
      <c r="D3170" t="inlineStr">
        <is>
          <t>ÖREBRO LÄN</t>
        </is>
      </c>
      <c r="E3170" t="inlineStr">
        <is>
          <t>HÄLLEFORS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7717-2022</t>
        </is>
      </c>
      <c r="B3171" s="1" t="n">
        <v>44608</v>
      </c>
      <c r="C3171" s="1" t="n">
        <v>45797</v>
      </c>
      <c r="D3171" t="inlineStr">
        <is>
          <t>ÖREBRO LÄN</t>
        </is>
      </c>
      <c r="E3171" t="inlineStr">
        <is>
          <t>ASKERSUND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7713-2022</t>
        </is>
      </c>
      <c r="B3172" s="1" t="n">
        <v>44608</v>
      </c>
      <c r="C3172" s="1" t="n">
        <v>45797</v>
      </c>
      <c r="D3172" t="inlineStr">
        <is>
          <t>ÖREBRO LÄN</t>
        </is>
      </c>
      <c r="E3172" t="inlineStr">
        <is>
          <t>ASKERSUND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7900-2022</t>
        </is>
      </c>
      <c r="B3173" s="1" t="n">
        <v>44608</v>
      </c>
      <c r="C3173" s="1" t="n">
        <v>45797</v>
      </c>
      <c r="D3173" t="inlineStr">
        <is>
          <t>ÖREBRO LÄN</t>
        </is>
      </c>
      <c r="E3173" t="inlineStr">
        <is>
          <t>LINDESBERG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7995-2022</t>
        </is>
      </c>
      <c r="B3174" s="1" t="n">
        <v>44608</v>
      </c>
      <c r="C3174" s="1" t="n">
        <v>45797</v>
      </c>
      <c r="D3174" t="inlineStr">
        <is>
          <t>ÖREBRO LÄN</t>
        </is>
      </c>
      <c r="E3174" t="inlineStr">
        <is>
          <t>LJUSNARSBERG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8022-2022</t>
        </is>
      </c>
      <c r="B3175" s="1" t="n">
        <v>44609</v>
      </c>
      <c r="C3175" s="1" t="n">
        <v>45797</v>
      </c>
      <c r="D3175" t="inlineStr">
        <is>
          <t>ÖREBRO LÄN</t>
        </is>
      </c>
      <c r="E3175" t="inlineStr">
        <is>
          <t>ÖREBRO</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8050-2022</t>
        </is>
      </c>
      <c r="B3176" s="1" t="n">
        <v>44609</v>
      </c>
      <c r="C3176" s="1" t="n">
        <v>45797</v>
      </c>
      <c r="D3176" t="inlineStr">
        <is>
          <t>ÖREBRO LÄN</t>
        </is>
      </c>
      <c r="E3176" t="inlineStr">
        <is>
          <t>LEKEBERG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8047-2022</t>
        </is>
      </c>
      <c r="B3177" s="1" t="n">
        <v>44609</v>
      </c>
      <c r="C3177" s="1" t="n">
        <v>45797</v>
      </c>
      <c r="D3177" t="inlineStr">
        <is>
          <t>ÖREBRO LÄN</t>
        </is>
      </c>
      <c r="E3177" t="inlineStr">
        <is>
          <t>LEKEBERG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8159-2022</t>
        </is>
      </c>
      <c r="B3178" s="1" t="n">
        <v>44609</v>
      </c>
      <c r="C3178" s="1" t="n">
        <v>45797</v>
      </c>
      <c r="D3178" t="inlineStr">
        <is>
          <t>ÖREBRO LÄN</t>
        </is>
      </c>
      <c r="E3178" t="inlineStr">
        <is>
          <t>ÖREBRO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8163-2022</t>
        </is>
      </c>
      <c r="B3179" s="1" t="n">
        <v>44609</v>
      </c>
      <c r="C3179" s="1" t="n">
        <v>45797</v>
      </c>
      <c r="D3179" t="inlineStr">
        <is>
          <t>ÖREBRO LÄN</t>
        </is>
      </c>
      <c r="E3179" t="inlineStr">
        <is>
          <t>ÖREBRO</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8184-2022</t>
        </is>
      </c>
      <c r="B3180" s="1" t="n">
        <v>44609</v>
      </c>
      <c r="C3180" s="1" t="n">
        <v>45797</v>
      </c>
      <c r="D3180" t="inlineStr">
        <is>
          <t>ÖREBRO LÄN</t>
        </is>
      </c>
      <c r="E3180" t="inlineStr">
        <is>
          <t>DEGERFORS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8186-2022</t>
        </is>
      </c>
      <c r="B3181" s="1" t="n">
        <v>44609</v>
      </c>
      <c r="C3181" s="1" t="n">
        <v>45797</v>
      </c>
      <c r="D3181" t="inlineStr">
        <is>
          <t>ÖREBRO LÄN</t>
        </is>
      </c>
      <c r="E3181" t="inlineStr">
        <is>
          <t>DEGERFORS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8210-2022</t>
        </is>
      </c>
      <c r="B3182" s="1" t="n">
        <v>44609</v>
      </c>
      <c r="C3182" s="1" t="n">
        <v>45797</v>
      </c>
      <c r="D3182" t="inlineStr">
        <is>
          <t>ÖREBRO LÄN</t>
        </is>
      </c>
      <c r="E3182" t="inlineStr">
        <is>
          <t>ASKERSUND</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8156-2022</t>
        </is>
      </c>
      <c r="B3183" s="1" t="n">
        <v>44609</v>
      </c>
      <c r="C3183" s="1" t="n">
        <v>45797</v>
      </c>
      <c r="D3183" t="inlineStr">
        <is>
          <t>ÖREBRO LÄN</t>
        </is>
      </c>
      <c r="E3183" t="inlineStr">
        <is>
          <t>ÖREBRO</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8217-2022</t>
        </is>
      </c>
      <c r="B3184" s="1" t="n">
        <v>44609</v>
      </c>
      <c r="C3184" s="1" t="n">
        <v>45797</v>
      </c>
      <c r="D3184" t="inlineStr">
        <is>
          <t>ÖREBRO LÄN</t>
        </is>
      </c>
      <c r="E3184" t="inlineStr">
        <is>
          <t>LEKEBERG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8252-2022</t>
        </is>
      </c>
      <c r="B3185" s="1" t="n">
        <v>44610</v>
      </c>
      <c r="C3185" s="1" t="n">
        <v>45797</v>
      </c>
      <c r="D3185" t="inlineStr">
        <is>
          <t>ÖREBRO LÄN</t>
        </is>
      </c>
      <c r="E3185" t="inlineStr">
        <is>
          <t>HALLSBERG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8298-2022</t>
        </is>
      </c>
      <c r="B3186" s="1" t="n">
        <v>44610</v>
      </c>
      <c r="C3186" s="1" t="n">
        <v>45797</v>
      </c>
      <c r="D3186" t="inlineStr">
        <is>
          <t>ÖREBRO LÄN</t>
        </is>
      </c>
      <c r="E3186" t="inlineStr">
        <is>
          <t>ASKERSUND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8387-2022</t>
        </is>
      </c>
      <c r="B3187" s="1" t="n">
        <v>44610</v>
      </c>
      <c r="C3187" s="1" t="n">
        <v>45797</v>
      </c>
      <c r="D3187" t="inlineStr">
        <is>
          <t>ÖREBRO LÄN</t>
        </is>
      </c>
      <c r="E3187" t="inlineStr">
        <is>
          <t>HÄLLEFORS</t>
        </is>
      </c>
      <c r="F3187" t="inlineStr">
        <is>
          <t>Bergvik skog väst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8606-2022</t>
        </is>
      </c>
      <c r="B3188" s="1" t="n">
        <v>44610</v>
      </c>
      <c r="C3188" s="1" t="n">
        <v>45797</v>
      </c>
      <c r="D3188" t="inlineStr">
        <is>
          <t>ÖREBRO LÄN</t>
        </is>
      </c>
      <c r="E3188" t="inlineStr">
        <is>
          <t>HALLSBERG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8587-2022</t>
        </is>
      </c>
      <c r="B3189" s="1" t="n">
        <v>44613</v>
      </c>
      <c r="C3189" s="1" t="n">
        <v>45797</v>
      </c>
      <c r="D3189" t="inlineStr">
        <is>
          <t>ÖREBRO LÄN</t>
        </is>
      </c>
      <c r="E3189" t="inlineStr">
        <is>
          <t>NORA</t>
        </is>
      </c>
      <c r="F3189" t="inlineStr">
        <is>
          <t>Sveaskog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8590-2022</t>
        </is>
      </c>
      <c r="B3190" s="1" t="n">
        <v>44613</v>
      </c>
      <c r="C3190" s="1" t="n">
        <v>45797</v>
      </c>
      <c r="D3190" t="inlineStr">
        <is>
          <t>ÖREBRO LÄN</t>
        </is>
      </c>
      <c r="E3190" t="inlineStr">
        <is>
          <t>NORA</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8620-2022</t>
        </is>
      </c>
      <c r="B3191" s="1" t="n">
        <v>44613</v>
      </c>
      <c r="C3191" s="1" t="n">
        <v>45797</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8589-2022</t>
        </is>
      </c>
      <c r="B3192" s="1" t="n">
        <v>44613</v>
      </c>
      <c r="C3192" s="1" t="n">
        <v>45797</v>
      </c>
      <c r="D3192" t="inlineStr">
        <is>
          <t>ÖREBRO LÄN</t>
        </is>
      </c>
      <c r="E3192" t="inlineStr">
        <is>
          <t>NORA</t>
        </is>
      </c>
      <c r="F3192" t="inlineStr">
        <is>
          <t>Sveaskog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8503-2022</t>
        </is>
      </c>
      <c r="B3193" s="1" t="n">
        <v>44613</v>
      </c>
      <c r="C3193" s="1" t="n">
        <v>45797</v>
      </c>
      <c r="D3193" t="inlineStr">
        <is>
          <t>ÖREBRO LÄN</t>
        </is>
      </c>
      <c r="E3193" t="inlineStr">
        <is>
          <t>HÄLLEFORS</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8513-2022</t>
        </is>
      </c>
      <c r="B3194" s="1" t="n">
        <v>44613</v>
      </c>
      <c r="C3194" s="1" t="n">
        <v>45797</v>
      </c>
      <c r="D3194" t="inlineStr">
        <is>
          <t>ÖREBRO LÄN</t>
        </is>
      </c>
      <c r="E3194" t="inlineStr">
        <is>
          <t>HÄLLEFORS</t>
        </is>
      </c>
      <c r="F3194" t="inlineStr">
        <is>
          <t>Bergvik skog väst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8555-2022</t>
        </is>
      </c>
      <c r="B3195" s="1" t="n">
        <v>44613</v>
      </c>
      <c r="C3195" s="1" t="n">
        <v>45797</v>
      </c>
      <c r="D3195" t="inlineStr">
        <is>
          <t>ÖREBRO LÄN</t>
        </is>
      </c>
      <c r="E3195" t="inlineStr">
        <is>
          <t>LINDESBERG</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8832-2022</t>
        </is>
      </c>
      <c r="B3196" s="1" t="n">
        <v>44614</v>
      </c>
      <c r="C3196" s="1" t="n">
        <v>45797</v>
      </c>
      <c r="D3196" t="inlineStr">
        <is>
          <t>ÖREBRO LÄN</t>
        </is>
      </c>
      <c r="E3196" t="inlineStr">
        <is>
          <t>ASKERSUND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8869-2022</t>
        </is>
      </c>
      <c r="B3197" s="1" t="n">
        <v>44614</v>
      </c>
      <c r="C3197" s="1" t="n">
        <v>45797</v>
      </c>
      <c r="D3197" t="inlineStr">
        <is>
          <t>ÖREBRO LÄN</t>
        </is>
      </c>
      <c r="E3197" t="inlineStr">
        <is>
          <t>HALLSBERG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8884-2022</t>
        </is>
      </c>
      <c r="B3198" s="1" t="n">
        <v>44614</v>
      </c>
      <c r="C3198" s="1" t="n">
        <v>45797</v>
      </c>
      <c r="D3198" t="inlineStr">
        <is>
          <t>ÖREBRO LÄN</t>
        </is>
      </c>
      <c r="E3198" t="inlineStr">
        <is>
          <t>ÖREBRO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8898-2022</t>
        </is>
      </c>
      <c r="B3199" s="1" t="n">
        <v>44614</v>
      </c>
      <c r="C3199" s="1" t="n">
        <v>45797</v>
      </c>
      <c r="D3199" t="inlineStr">
        <is>
          <t>ÖREBRO LÄN</t>
        </is>
      </c>
      <c r="E3199" t="inlineStr">
        <is>
          <t>LAXÅ</t>
        </is>
      </c>
      <c r="F3199" t="inlineStr">
        <is>
          <t>Kyrkan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9126-2022</t>
        </is>
      </c>
      <c r="B3200" s="1" t="n">
        <v>44615</v>
      </c>
      <c r="C3200" s="1" t="n">
        <v>45797</v>
      </c>
      <c r="D3200" t="inlineStr">
        <is>
          <t>ÖREBRO LÄN</t>
        </is>
      </c>
      <c r="E3200" t="inlineStr">
        <is>
          <t>HALLSBERG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9169-2022</t>
        </is>
      </c>
      <c r="B3201" s="1" t="n">
        <v>44615</v>
      </c>
      <c r="C3201" s="1" t="n">
        <v>45797</v>
      </c>
      <c r="D3201" t="inlineStr">
        <is>
          <t>ÖREBRO LÄN</t>
        </is>
      </c>
      <c r="E3201" t="inlineStr">
        <is>
          <t>ASKERSUND</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9137-2022</t>
        </is>
      </c>
      <c r="B3202" s="1" t="n">
        <v>44615</v>
      </c>
      <c r="C3202" s="1" t="n">
        <v>45797</v>
      </c>
      <c r="D3202" t="inlineStr">
        <is>
          <t>ÖREBRO LÄN</t>
        </is>
      </c>
      <c r="E3202" t="inlineStr">
        <is>
          <t>NORA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9172-2022</t>
        </is>
      </c>
      <c r="B3203" s="1" t="n">
        <v>44615</v>
      </c>
      <c r="C3203" s="1" t="n">
        <v>45797</v>
      </c>
      <c r="D3203" t="inlineStr">
        <is>
          <t>ÖREBRO LÄN</t>
        </is>
      </c>
      <c r="E3203" t="inlineStr">
        <is>
          <t>ASKERSUND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9387-2022</t>
        </is>
      </c>
      <c r="B3204" s="1" t="n">
        <v>44616</v>
      </c>
      <c r="C3204" s="1" t="n">
        <v>45797</v>
      </c>
      <c r="D3204" t="inlineStr">
        <is>
          <t>ÖREBRO LÄN</t>
        </is>
      </c>
      <c r="E3204" t="inlineStr">
        <is>
          <t>HÄLLEFORS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9395-2022</t>
        </is>
      </c>
      <c r="B3205" s="1" t="n">
        <v>44616</v>
      </c>
      <c r="C3205" s="1" t="n">
        <v>45797</v>
      </c>
      <c r="D3205" t="inlineStr">
        <is>
          <t>ÖREBRO LÄN</t>
        </is>
      </c>
      <c r="E3205" t="inlineStr">
        <is>
          <t>ÖREBRO</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9412-2022</t>
        </is>
      </c>
      <c r="B3206" s="1" t="n">
        <v>44616</v>
      </c>
      <c r="C3206" s="1" t="n">
        <v>45797</v>
      </c>
      <c r="D3206" t="inlineStr">
        <is>
          <t>ÖREBRO LÄN</t>
        </is>
      </c>
      <c r="E3206" t="inlineStr">
        <is>
          <t>HALLSBERG</t>
        </is>
      </c>
      <c r="F3206" t="inlineStr">
        <is>
          <t>Allmännings- och besparingsskogar</t>
        </is>
      </c>
      <c r="G3206" t="n">
        <v>28.8</v>
      </c>
      <c r="H3206" t="n">
        <v>0</v>
      </c>
      <c r="I3206" t="n">
        <v>0</v>
      </c>
      <c r="J3206" t="n">
        <v>0</v>
      </c>
      <c r="K3206" t="n">
        <v>0</v>
      </c>
      <c r="L3206" t="n">
        <v>0</v>
      </c>
      <c r="M3206" t="n">
        <v>0</v>
      </c>
      <c r="N3206" t="n">
        <v>0</v>
      </c>
      <c r="O3206" t="n">
        <v>0</v>
      </c>
      <c r="P3206" t="n">
        <v>0</v>
      </c>
      <c r="Q3206" t="n">
        <v>0</v>
      </c>
      <c r="R3206" s="2" t="inlineStr"/>
    </row>
    <row r="3207" ht="15" customHeight="1">
      <c r="A3207" t="inlineStr">
        <is>
          <t>A 9405-2022</t>
        </is>
      </c>
      <c r="B3207" s="1" t="n">
        <v>44616</v>
      </c>
      <c r="C3207" s="1" t="n">
        <v>45797</v>
      </c>
      <c r="D3207" t="inlineStr">
        <is>
          <t>ÖREBRO LÄN</t>
        </is>
      </c>
      <c r="E3207" t="inlineStr">
        <is>
          <t>HÄLLEFORS</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9411-2022</t>
        </is>
      </c>
      <c r="B3208" s="1" t="n">
        <v>44616</v>
      </c>
      <c r="C3208" s="1" t="n">
        <v>45797</v>
      </c>
      <c r="D3208" t="inlineStr">
        <is>
          <t>ÖREBRO LÄN</t>
        </is>
      </c>
      <c r="E3208" t="inlineStr">
        <is>
          <t>HÄLLEFORS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9417-2022</t>
        </is>
      </c>
      <c r="B3209" s="1" t="n">
        <v>44616</v>
      </c>
      <c r="C3209" s="1" t="n">
        <v>45797</v>
      </c>
      <c r="D3209" t="inlineStr">
        <is>
          <t>ÖREBRO LÄN</t>
        </is>
      </c>
      <c r="E3209" t="inlineStr">
        <is>
          <t>HÄLLEFORS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9426-2022</t>
        </is>
      </c>
      <c r="B3210" s="1" t="n">
        <v>44616</v>
      </c>
      <c r="C3210" s="1" t="n">
        <v>45797</v>
      </c>
      <c r="D3210" t="inlineStr">
        <is>
          <t>ÖREBRO LÄN</t>
        </is>
      </c>
      <c r="E3210" t="inlineStr">
        <is>
          <t>HALLSBERG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9362-2022</t>
        </is>
      </c>
      <c r="B3211" s="1" t="n">
        <v>44616</v>
      </c>
      <c r="C3211" s="1" t="n">
        <v>45797</v>
      </c>
      <c r="D3211" t="inlineStr">
        <is>
          <t>ÖREBRO LÄN</t>
        </is>
      </c>
      <c r="E3211" t="inlineStr">
        <is>
          <t>ÖREBRO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9378-2022</t>
        </is>
      </c>
      <c r="B3212" s="1" t="n">
        <v>44616</v>
      </c>
      <c r="C3212" s="1" t="n">
        <v>45797</v>
      </c>
      <c r="D3212" t="inlineStr">
        <is>
          <t>ÖREBRO LÄN</t>
        </is>
      </c>
      <c r="E3212" t="inlineStr">
        <is>
          <t>HÄLLEFORS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9392-2022</t>
        </is>
      </c>
      <c r="B3213" s="1" t="n">
        <v>44616</v>
      </c>
      <c r="C3213" s="1" t="n">
        <v>45797</v>
      </c>
      <c r="D3213" t="inlineStr">
        <is>
          <t>ÖREBRO LÄN</t>
        </is>
      </c>
      <c r="E3213" t="inlineStr">
        <is>
          <t>ÖREBRO</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9397-2022</t>
        </is>
      </c>
      <c r="B3214" s="1" t="n">
        <v>44616</v>
      </c>
      <c r="C3214" s="1" t="n">
        <v>45797</v>
      </c>
      <c r="D3214" t="inlineStr">
        <is>
          <t>ÖREBRO LÄN</t>
        </is>
      </c>
      <c r="E3214" t="inlineStr">
        <is>
          <t>ÖREBRO</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9414-2022</t>
        </is>
      </c>
      <c r="B3215" s="1" t="n">
        <v>44616</v>
      </c>
      <c r="C3215" s="1" t="n">
        <v>45797</v>
      </c>
      <c r="D3215" t="inlineStr">
        <is>
          <t>ÖREBRO LÄN</t>
        </is>
      </c>
      <c r="E3215" t="inlineStr">
        <is>
          <t>HALLSBERG</t>
        </is>
      </c>
      <c r="F3215" t="inlineStr">
        <is>
          <t>Allmännings- och besparingsskogar</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9424-2022</t>
        </is>
      </c>
      <c r="B3216" s="1" t="n">
        <v>44616</v>
      </c>
      <c r="C3216" s="1" t="n">
        <v>45797</v>
      </c>
      <c r="D3216" t="inlineStr">
        <is>
          <t>ÖREBRO LÄN</t>
        </is>
      </c>
      <c r="E3216" t="inlineStr">
        <is>
          <t>HÄLLEFORS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9665-2022</t>
        </is>
      </c>
      <c r="B3217" s="1" t="n">
        <v>44617</v>
      </c>
      <c r="C3217" s="1" t="n">
        <v>45797</v>
      </c>
      <c r="D3217" t="inlineStr">
        <is>
          <t>ÖREBRO LÄN</t>
        </is>
      </c>
      <c r="E3217" t="inlineStr">
        <is>
          <t>LAXÅ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9754-2022</t>
        </is>
      </c>
      <c r="B3218" s="1" t="n">
        <v>44618</v>
      </c>
      <c r="C3218" s="1" t="n">
        <v>45797</v>
      </c>
      <c r="D3218" t="inlineStr">
        <is>
          <t>ÖREBRO LÄN</t>
        </is>
      </c>
      <c r="E3218" t="inlineStr">
        <is>
          <t>NORA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9751-2022</t>
        </is>
      </c>
      <c r="B3219" s="1" t="n">
        <v>44618</v>
      </c>
      <c r="C3219" s="1" t="n">
        <v>45797</v>
      </c>
      <c r="D3219" t="inlineStr">
        <is>
          <t>ÖREBRO LÄN</t>
        </is>
      </c>
      <c r="E3219" t="inlineStr">
        <is>
          <t>LINDESBERG</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9772-2022</t>
        </is>
      </c>
      <c r="B3220" s="1" t="n">
        <v>44619</v>
      </c>
      <c r="C3220" s="1" t="n">
        <v>45797</v>
      </c>
      <c r="D3220" t="inlineStr">
        <is>
          <t>ÖREBRO LÄN</t>
        </is>
      </c>
      <c r="E3220" t="inlineStr">
        <is>
          <t>LINDESBERG</t>
        </is>
      </c>
      <c r="G3220" t="n">
        <v>11.8</v>
      </c>
      <c r="H3220" t="n">
        <v>0</v>
      </c>
      <c r="I3220" t="n">
        <v>0</v>
      </c>
      <c r="J3220" t="n">
        <v>0</v>
      </c>
      <c r="K3220" t="n">
        <v>0</v>
      </c>
      <c r="L3220" t="n">
        <v>0</v>
      </c>
      <c r="M3220" t="n">
        <v>0</v>
      </c>
      <c r="N3220" t="n">
        <v>0</v>
      </c>
      <c r="O3220" t="n">
        <v>0</v>
      </c>
      <c r="P3220" t="n">
        <v>0</v>
      </c>
      <c r="Q3220" t="n">
        <v>0</v>
      </c>
      <c r="R3220" s="2" t="inlineStr"/>
    </row>
    <row r="3221" ht="15" customHeight="1">
      <c r="A3221" t="inlineStr">
        <is>
          <t>A 10019-2022</t>
        </is>
      </c>
      <c r="B3221" s="1" t="n">
        <v>44621</v>
      </c>
      <c r="C3221" s="1" t="n">
        <v>45797</v>
      </c>
      <c r="D3221" t="inlineStr">
        <is>
          <t>ÖREBRO LÄN</t>
        </is>
      </c>
      <c r="E3221" t="inlineStr">
        <is>
          <t>ÖREBRO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9996-2022</t>
        </is>
      </c>
      <c r="B3222" s="1" t="n">
        <v>44621</v>
      </c>
      <c r="C3222" s="1" t="n">
        <v>45797</v>
      </c>
      <c r="D3222" t="inlineStr">
        <is>
          <t>ÖREBRO LÄN</t>
        </is>
      </c>
      <c r="E3222" t="inlineStr">
        <is>
          <t>LINDESBERG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10069-2022</t>
        </is>
      </c>
      <c r="B3223" s="1" t="n">
        <v>44621</v>
      </c>
      <c r="C3223" s="1" t="n">
        <v>45797</v>
      </c>
      <c r="D3223" t="inlineStr">
        <is>
          <t>ÖREBRO LÄN</t>
        </is>
      </c>
      <c r="E3223" t="inlineStr">
        <is>
          <t>LAXÅ</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10041-2022</t>
        </is>
      </c>
      <c r="B3224" s="1" t="n">
        <v>44621</v>
      </c>
      <c r="C3224" s="1" t="n">
        <v>45797</v>
      </c>
      <c r="D3224" t="inlineStr">
        <is>
          <t>ÖREBRO LÄN</t>
        </is>
      </c>
      <c r="E3224" t="inlineStr">
        <is>
          <t>LAXÅ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10111-2022</t>
        </is>
      </c>
      <c r="B3225" s="1" t="n">
        <v>44621</v>
      </c>
      <c r="C3225" s="1" t="n">
        <v>45797</v>
      </c>
      <c r="D3225" t="inlineStr">
        <is>
          <t>ÖREBRO LÄN</t>
        </is>
      </c>
      <c r="E3225" t="inlineStr">
        <is>
          <t>LINDESBERG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10277-2022</t>
        </is>
      </c>
      <c r="B3226" s="1" t="n">
        <v>44622</v>
      </c>
      <c r="C3226" s="1" t="n">
        <v>45797</v>
      </c>
      <c r="D3226" t="inlineStr">
        <is>
          <t>ÖREBRO LÄN</t>
        </is>
      </c>
      <c r="E3226" t="inlineStr">
        <is>
          <t>LINDESBERG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10278-2022</t>
        </is>
      </c>
      <c r="B3227" s="1" t="n">
        <v>44622</v>
      </c>
      <c r="C3227" s="1" t="n">
        <v>45797</v>
      </c>
      <c r="D3227" t="inlineStr">
        <is>
          <t>ÖREBRO LÄN</t>
        </is>
      </c>
      <c r="E3227" t="inlineStr">
        <is>
          <t>LINDESBERG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10404-2022</t>
        </is>
      </c>
      <c r="B3228" s="1" t="n">
        <v>44623</v>
      </c>
      <c r="C3228" s="1" t="n">
        <v>45797</v>
      </c>
      <c r="D3228" t="inlineStr">
        <is>
          <t>ÖREBRO LÄN</t>
        </is>
      </c>
      <c r="E3228" t="inlineStr">
        <is>
          <t>KARLSKOGA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10617-2022</t>
        </is>
      </c>
      <c r="B3229" s="1" t="n">
        <v>44624</v>
      </c>
      <c r="C3229" s="1" t="n">
        <v>45797</v>
      </c>
      <c r="D3229" t="inlineStr">
        <is>
          <t>ÖREBRO LÄN</t>
        </is>
      </c>
      <c r="E3229" t="inlineStr">
        <is>
          <t>LEKEBERG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10821-2022</t>
        </is>
      </c>
      <c r="B3230" s="1" t="n">
        <v>44627</v>
      </c>
      <c r="C3230" s="1" t="n">
        <v>45797</v>
      </c>
      <c r="D3230" t="inlineStr">
        <is>
          <t>ÖREBRO LÄN</t>
        </is>
      </c>
      <c r="E3230" t="inlineStr">
        <is>
          <t>LINDESBERG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10824-2022</t>
        </is>
      </c>
      <c r="B3231" s="1" t="n">
        <v>44627</v>
      </c>
      <c r="C3231" s="1" t="n">
        <v>45797</v>
      </c>
      <c r="D3231" t="inlineStr">
        <is>
          <t>ÖREBRO LÄN</t>
        </is>
      </c>
      <c r="E3231" t="inlineStr">
        <is>
          <t>LINDESBERG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10863-2022</t>
        </is>
      </c>
      <c r="B3232" s="1" t="n">
        <v>44627</v>
      </c>
      <c r="C3232" s="1" t="n">
        <v>45797</v>
      </c>
      <c r="D3232" t="inlineStr">
        <is>
          <t>ÖREBRO LÄN</t>
        </is>
      </c>
      <c r="E3232" t="inlineStr">
        <is>
          <t>HALLSBERG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11081-2022</t>
        </is>
      </c>
      <c r="B3233" s="1" t="n">
        <v>44628</v>
      </c>
      <c r="C3233" s="1" t="n">
        <v>45797</v>
      </c>
      <c r="D3233" t="inlineStr">
        <is>
          <t>ÖREBRO LÄN</t>
        </is>
      </c>
      <c r="E3233" t="inlineStr">
        <is>
          <t>KARLSKOGA</t>
        </is>
      </c>
      <c r="F3233" t="inlineStr">
        <is>
          <t>Sveaskog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11159-2022</t>
        </is>
      </c>
      <c r="B3234" s="1" t="n">
        <v>44629</v>
      </c>
      <c r="C3234" s="1" t="n">
        <v>45797</v>
      </c>
      <c r="D3234" t="inlineStr">
        <is>
          <t>ÖREBRO LÄN</t>
        </is>
      </c>
      <c r="E3234" t="inlineStr">
        <is>
          <t>LINDESBERG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11161-2022</t>
        </is>
      </c>
      <c r="B3235" s="1" t="n">
        <v>44629</v>
      </c>
      <c r="C3235" s="1" t="n">
        <v>45797</v>
      </c>
      <c r="D3235" t="inlineStr">
        <is>
          <t>ÖREBRO LÄN</t>
        </is>
      </c>
      <c r="E3235" t="inlineStr">
        <is>
          <t>ASKERSUND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11271-2022</t>
        </is>
      </c>
      <c r="B3236" s="1" t="n">
        <v>44629</v>
      </c>
      <c r="C3236" s="1" t="n">
        <v>45797</v>
      </c>
      <c r="D3236" t="inlineStr">
        <is>
          <t>ÖREBRO LÄN</t>
        </is>
      </c>
      <c r="E3236" t="inlineStr">
        <is>
          <t>LINDESBERG</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11163-2022</t>
        </is>
      </c>
      <c r="B3237" s="1" t="n">
        <v>44629</v>
      </c>
      <c r="C3237" s="1" t="n">
        <v>45797</v>
      </c>
      <c r="D3237" t="inlineStr">
        <is>
          <t>ÖREBRO LÄN</t>
        </is>
      </c>
      <c r="E3237" t="inlineStr">
        <is>
          <t>ASKERSUND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11164-2022</t>
        </is>
      </c>
      <c r="B3238" s="1" t="n">
        <v>44629</v>
      </c>
      <c r="C3238" s="1" t="n">
        <v>45797</v>
      </c>
      <c r="D3238" t="inlineStr">
        <is>
          <t>ÖREBRO LÄN</t>
        </is>
      </c>
      <c r="E3238" t="inlineStr">
        <is>
          <t>LINDESBERG</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11361-2022</t>
        </is>
      </c>
      <c r="B3239" s="1" t="n">
        <v>44630</v>
      </c>
      <c r="C3239" s="1" t="n">
        <v>45797</v>
      </c>
      <c r="D3239" t="inlineStr">
        <is>
          <t>ÖREBRO LÄN</t>
        </is>
      </c>
      <c r="E3239" t="inlineStr">
        <is>
          <t>LINDESBERG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11594-2022</t>
        </is>
      </c>
      <c r="B3240" s="1" t="n">
        <v>44631</v>
      </c>
      <c r="C3240" s="1" t="n">
        <v>45797</v>
      </c>
      <c r="D3240" t="inlineStr">
        <is>
          <t>ÖREBRO LÄN</t>
        </is>
      </c>
      <c r="E3240" t="inlineStr">
        <is>
          <t>ÖREBRO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11625-2022</t>
        </is>
      </c>
      <c r="B3241" s="1" t="n">
        <v>44631</v>
      </c>
      <c r="C3241" s="1" t="n">
        <v>45797</v>
      </c>
      <c r="D3241" t="inlineStr">
        <is>
          <t>ÖREBRO LÄN</t>
        </is>
      </c>
      <c r="E3241" t="inlineStr">
        <is>
          <t>ASKERSUND</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11631-2022</t>
        </is>
      </c>
      <c r="B3242" s="1" t="n">
        <v>44631</v>
      </c>
      <c r="C3242" s="1" t="n">
        <v>45797</v>
      </c>
      <c r="D3242" t="inlineStr">
        <is>
          <t>ÖREBRO LÄN</t>
        </is>
      </c>
      <c r="E3242" t="inlineStr">
        <is>
          <t>NORA</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11632-2022</t>
        </is>
      </c>
      <c r="B3243" s="1" t="n">
        <v>44631</v>
      </c>
      <c r="C3243" s="1" t="n">
        <v>45797</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11661-2022</t>
        </is>
      </c>
      <c r="B3244" s="1" t="n">
        <v>44632</v>
      </c>
      <c r="C3244" s="1" t="n">
        <v>45797</v>
      </c>
      <c r="D3244" t="inlineStr">
        <is>
          <t>ÖREBRO LÄN</t>
        </is>
      </c>
      <c r="E3244" t="inlineStr">
        <is>
          <t>LEKEBERG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11899-2022</t>
        </is>
      </c>
      <c r="B3245" s="1" t="n">
        <v>44635</v>
      </c>
      <c r="C3245" s="1" t="n">
        <v>45797</v>
      </c>
      <c r="D3245" t="inlineStr">
        <is>
          <t>ÖREBRO LÄN</t>
        </is>
      </c>
      <c r="E3245" t="inlineStr">
        <is>
          <t>ÖREBRO</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11853-2022</t>
        </is>
      </c>
      <c r="B3246" s="1" t="n">
        <v>44635</v>
      </c>
      <c r="C3246" s="1" t="n">
        <v>45797</v>
      </c>
      <c r="D3246" t="inlineStr">
        <is>
          <t>ÖREBRO LÄN</t>
        </is>
      </c>
      <c r="E3246" t="inlineStr">
        <is>
          <t>LINDESBERG</t>
        </is>
      </c>
      <c r="F3246" t="inlineStr">
        <is>
          <t>Kyrkan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11926-2022</t>
        </is>
      </c>
      <c r="B3247" s="1" t="n">
        <v>44635</v>
      </c>
      <c r="C3247" s="1" t="n">
        <v>45797</v>
      </c>
      <c r="D3247" t="inlineStr">
        <is>
          <t>ÖREBRO LÄN</t>
        </is>
      </c>
      <c r="E3247" t="inlineStr">
        <is>
          <t>LINDESBERG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12073-2022</t>
        </is>
      </c>
      <c r="B3248" s="1" t="n">
        <v>44636</v>
      </c>
      <c r="C3248" s="1" t="n">
        <v>45797</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12082-2022</t>
        </is>
      </c>
      <c r="B3249" s="1" t="n">
        <v>44636</v>
      </c>
      <c r="C3249" s="1" t="n">
        <v>45797</v>
      </c>
      <c r="D3249" t="inlineStr">
        <is>
          <t>ÖREBRO LÄN</t>
        </is>
      </c>
      <c r="E3249" t="inlineStr">
        <is>
          <t>LINDESBERG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12053-2022</t>
        </is>
      </c>
      <c r="B3250" s="1" t="n">
        <v>44636</v>
      </c>
      <c r="C3250" s="1" t="n">
        <v>45797</v>
      </c>
      <c r="D3250" t="inlineStr">
        <is>
          <t>ÖREBRO LÄN</t>
        </is>
      </c>
      <c r="E3250" t="inlineStr">
        <is>
          <t>HALLSBERG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12290-2022</t>
        </is>
      </c>
      <c r="B3251" s="1" t="n">
        <v>44637</v>
      </c>
      <c r="C3251" s="1" t="n">
        <v>45797</v>
      </c>
      <c r="D3251" t="inlineStr">
        <is>
          <t>ÖREBRO LÄN</t>
        </is>
      </c>
      <c r="E3251" t="inlineStr">
        <is>
          <t>ASKERSUND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12302-2022</t>
        </is>
      </c>
      <c r="B3252" s="1" t="n">
        <v>44637</v>
      </c>
      <c r="C3252" s="1" t="n">
        <v>45797</v>
      </c>
      <c r="D3252" t="inlineStr">
        <is>
          <t>ÖREBRO LÄN</t>
        </is>
      </c>
      <c r="E3252" t="inlineStr">
        <is>
          <t>ASKERSUND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12289-2022</t>
        </is>
      </c>
      <c r="B3253" s="1" t="n">
        <v>44637</v>
      </c>
      <c r="C3253" s="1" t="n">
        <v>45797</v>
      </c>
      <c r="D3253" t="inlineStr">
        <is>
          <t>ÖREBRO LÄN</t>
        </is>
      </c>
      <c r="E3253" t="inlineStr">
        <is>
          <t>ASKERSUND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12292-2022</t>
        </is>
      </c>
      <c r="B3254" s="1" t="n">
        <v>44637</v>
      </c>
      <c r="C3254" s="1" t="n">
        <v>45797</v>
      </c>
      <c r="D3254" t="inlineStr">
        <is>
          <t>ÖREBRO LÄN</t>
        </is>
      </c>
      <c r="E3254" t="inlineStr">
        <is>
          <t>ASKERSUND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12471-2022</t>
        </is>
      </c>
      <c r="B3255" s="1" t="n">
        <v>44638</v>
      </c>
      <c r="C3255" s="1" t="n">
        <v>45797</v>
      </c>
      <c r="D3255" t="inlineStr">
        <is>
          <t>ÖREBRO LÄN</t>
        </is>
      </c>
      <c r="E3255" t="inlineStr">
        <is>
          <t>HALLSBERG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12465-2022</t>
        </is>
      </c>
      <c r="B3256" s="1" t="n">
        <v>44638</v>
      </c>
      <c r="C3256" s="1" t="n">
        <v>45797</v>
      </c>
      <c r="D3256" t="inlineStr">
        <is>
          <t>ÖREBRO LÄN</t>
        </is>
      </c>
      <c r="E3256" t="inlineStr">
        <is>
          <t>ASKERSUND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12522-2022</t>
        </is>
      </c>
      <c r="B3257" s="1" t="n">
        <v>44638</v>
      </c>
      <c r="C3257" s="1" t="n">
        <v>45797</v>
      </c>
      <c r="D3257" t="inlineStr">
        <is>
          <t>ÖREBRO LÄN</t>
        </is>
      </c>
      <c r="E3257" t="inlineStr">
        <is>
          <t>LINDESBERG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12478-2022</t>
        </is>
      </c>
      <c r="B3258" s="1" t="n">
        <v>44638</v>
      </c>
      <c r="C3258" s="1" t="n">
        <v>45797</v>
      </c>
      <c r="D3258" t="inlineStr">
        <is>
          <t>ÖREBRO LÄN</t>
        </is>
      </c>
      <c r="E3258" t="inlineStr">
        <is>
          <t>ÖREBRO</t>
        </is>
      </c>
      <c r="F3258" t="inlineStr">
        <is>
          <t>Kyrkan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12520-2022</t>
        </is>
      </c>
      <c r="B3259" s="1" t="n">
        <v>44638</v>
      </c>
      <c r="C3259" s="1" t="n">
        <v>45797</v>
      </c>
      <c r="D3259" t="inlineStr">
        <is>
          <t>ÖREBRO LÄN</t>
        </is>
      </c>
      <c r="E3259" t="inlineStr">
        <is>
          <t>HALLSBERG</t>
        </is>
      </c>
      <c r="F3259" t="inlineStr">
        <is>
          <t>Kyrkan</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12729-2022</t>
        </is>
      </c>
      <c r="B3260" s="1" t="n">
        <v>44641</v>
      </c>
      <c r="C3260" s="1" t="n">
        <v>45797</v>
      </c>
      <c r="D3260" t="inlineStr">
        <is>
          <t>ÖREBRO LÄN</t>
        </is>
      </c>
      <c r="E3260" t="inlineStr">
        <is>
          <t>ASKERSUND</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12733-2022</t>
        </is>
      </c>
      <c r="B3261" s="1" t="n">
        <v>44641</v>
      </c>
      <c r="C3261" s="1" t="n">
        <v>45797</v>
      </c>
      <c r="D3261" t="inlineStr">
        <is>
          <t>ÖREBRO LÄN</t>
        </is>
      </c>
      <c r="E3261" t="inlineStr">
        <is>
          <t>ASKERSUND</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12732-2022</t>
        </is>
      </c>
      <c r="B3262" s="1" t="n">
        <v>44641</v>
      </c>
      <c r="C3262" s="1" t="n">
        <v>45797</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12730-2022</t>
        </is>
      </c>
      <c r="B3263" s="1" t="n">
        <v>44641</v>
      </c>
      <c r="C3263" s="1" t="n">
        <v>45797</v>
      </c>
      <c r="D3263" t="inlineStr">
        <is>
          <t>ÖREBRO LÄN</t>
        </is>
      </c>
      <c r="E3263" t="inlineStr">
        <is>
          <t>ASKERSUND</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12731-2022</t>
        </is>
      </c>
      <c r="B3264" s="1" t="n">
        <v>44641</v>
      </c>
      <c r="C3264" s="1" t="n">
        <v>45797</v>
      </c>
      <c r="D3264" t="inlineStr">
        <is>
          <t>ÖREBRO LÄN</t>
        </is>
      </c>
      <c r="E3264" t="inlineStr">
        <is>
          <t>ASKERSUND</t>
        </is>
      </c>
      <c r="F3264" t="inlineStr">
        <is>
          <t>Sveaskog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12895-2022</t>
        </is>
      </c>
      <c r="B3265" s="1" t="n">
        <v>44642</v>
      </c>
      <c r="C3265" s="1" t="n">
        <v>45797</v>
      </c>
      <c r="D3265" t="inlineStr">
        <is>
          <t>ÖREBRO LÄN</t>
        </is>
      </c>
      <c r="E3265" t="inlineStr">
        <is>
          <t>ASKERSUND</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13120-2022</t>
        </is>
      </c>
      <c r="B3266" s="1" t="n">
        <v>44643</v>
      </c>
      <c r="C3266" s="1" t="n">
        <v>45797</v>
      </c>
      <c r="D3266" t="inlineStr">
        <is>
          <t>ÖREBRO LÄN</t>
        </is>
      </c>
      <c r="E3266" t="inlineStr">
        <is>
          <t>HALLSBERG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12990-2022</t>
        </is>
      </c>
      <c r="B3267" s="1" t="n">
        <v>44643</v>
      </c>
      <c r="C3267" s="1" t="n">
        <v>45797</v>
      </c>
      <c r="D3267" t="inlineStr">
        <is>
          <t>ÖREBRO LÄN</t>
        </is>
      </c>
      <c r="E3267" t="inlineStr">
        <is>
          <t>ÖREBRO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12977-2022</t>
        </is>
      </c>
      <c r="B3268" s="1" t="n">
        <v>44643</v>
      </c>
      <c r="C3268" s="1" t="n">
        <v>45797</v>
      </c>
      <c r="D3268" t="inlineStr">
        <is>
          <t>ÖREBRO LÄN</t>
        </is>
      </c>
      <c r="E3268" t="inlineStr">
        <is>
          <t>DEGERFORS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13045-2022</t>
        </is>
      </c>
      <c r="B3269" s="1" t="n">
        <v>44643</v>
      </c>
      <c r="C3269" s="1" t="n">
        <v>45797</v>
      </c>
      <c r="D3269" t="inlineStr">
        <is>
          <t>ÖREBRO LÄN</t>
        </is>
      </c>
      <c r="E3269" t="inlineStr">
        <is>
          <t>ÖREBRO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13078-2022</t>
        </is>
      </c>
      <c r="B3270" s="1" t="n">
        <v>44643</v>
      </c>
      <c r="C3270" s="1" t="n">
        <v>45797</v>
      </c>
      <c r="D3270" t="inlineStr">
        <is>
          <t>ÖREBRO LÄN</t>
        </is>
      </c>
      <c r="E3270" t="inlineStr">
        <is>
          <t>LAXÅ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13382-2022</t>
        </is>
      </c>
      <c r="B3271" s="1" t="n">
        <v>44645</v>
      </c>
      <c r="C3271" s="1" t="n">
        <v>45797</v>
      </c>
      <c r="D3271" t="inlineStr">
        <is>
          <t>ÖREBRO LÄN</t>
        </is>
      </c>
      <c r="E3271" t="inlineStr">
        <is>
          <t>HÄLLEFORS</t>
        </is>
      </c>
      <c r="F3271" t="inlineStr">
        <is>
          <t>Bergvik skog väst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13425-2022</t>
        </is>
      </c>
      <c r="B3272" s="1" t="n">
        <v>44645</v>
      </c>
      <c r="C3272" s="1" t="n">
        <v>45797</v>
      </c>
      <c r="D3272" t="inlineStr">
        <is>
          <t>ÖREBRO LÄN</t>
        </is>
      </c>
      <c r="E3272" t="inlineStr">
        <is>
          <t>ASKERSUND</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13449-2022</t>
        </is>
      </c>
      <c r="B3273" s="1" t="n">
        <v>44645</v>
      </c>
      <c r="C3273" s="1" t="n">
        <v>45797</v>
      </c>
      <c r="D3273" t="inlineStr">
        <is>
          <t>ÖREBRO LÄN</t>
        </is>
      </c>
      <c r="E3273" t="inlineStr">
        <is>
          <t>LINDESBERG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13454-2022</t>
        </is>
      </c>
      <c r="B3274" s="1" t="n">
        <v>44645</v>
      </c>
      <c r="C3274" s="1" t="n">
        <v>45797</v>
      </c>
      <c r="D3274" t="inlineStr">
        <is>
          <t>ÖREBRO LÄN</t>
        </is>
      </c>
      <c r="E3274" t="inlineStr">
        <is>
          <t>KARLSKOGA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13493-2022</t>
        </is>
      </c>
      <c r="B3275" s="1" t="n">
        <v>44647</v>
      </c>
      <c r="C3275" s="1" t="n">
        <v>45797</v>
      </c>
      <c r="D3275" t="inlineStr">
        <is>
          <t>ÖREBRO LÄN</t>
        </is>
      </c>
      <c r="E3275" t="inlineStr">
        <is>
          <t>NORA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13502-2022</t>
        </is>
      </c>
      <c r="B3276" s="1" t="n">
        <v>44647</v>
      </c>
      <c r="C3276" s="1" t="n">
        <v>45797</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13511-2022</t>
        </is>
      </c>
      <c r="B3277" s="1" t="n">
        <v>44647</v>
      </c>
      <c r="C3277" s="1" t="n">
        <v>45797</v>
      </c>
      <c r="D3277" t="inlineStr">
        <is>
          <t>ÖREBRO LÄN</t>
        </is>
      </c>
      <c r="E3277" t="inlineStr">
        <is>
          <t>ÖREBRO</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13631-2022</t>
        </is>
      </c>
      <c r="B3278" s="1" t="n">
        <v>44648</v>
      </c>
      <c r="C3278" s="1" t="n">
        <v>45797</v>
      </c>
      <c r="D3278" t="inlineStr">
        <is>
          <t>ÖREBRO LÄN</t>
        </is>
      </c>
      <c r="E3278" t="inlineStr">
        <is>
          <t>ÖREBRO</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13617-2022</t>
        </is>
      </c>
      <c r="B3279" s="1" t="n">
        <v>44648</v>
      </c>
      <c r="C3279" s="1" t="n">
        <v>45797</v>
      </c>
      <c r="D3279" t="inlineStr">
        <is>
          <t>ÖREBRO LÄN</t>
        </is>
      </c>
      <c r="E3279" t="inlineStr">
        <is>
          <t>ASKERSUND</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13660-2022</t>
        </is>
      </c>
      <c r="B3280" s="1" t="n">
        <v>44648</v>
      </c>
      <c r="C3280" s="1" t="n">
        <v>45797</v>
      </c>
      <c r="D3280" t="inlineStr">
        <is>
          <t>ÖREBRO LÄN</t>
        </is>
      </c>
      <c r="E3280" t="inlineStr">
        <is>
          <t>HALLSBERG</t>
        </is>
      </c>
      <c r="F3280" t="inlineStr">
        <is>
          <t>Kyrkan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13677-2022</t>
        </is>
      </c>
      <c r="B3281" s="1" t="n">
        <v>44648</v>
      </c>
      <c r="C3281" s="1" t="n">
        <v>45797</v>
      </c>
      <c r="D3281" t="inlineStr">
        <is>
          <t>ÖREBRO LÄN</t>
        </is>
      </c>
      <c r="E3281" t="inlineStr">
        <is>
          <t>LINDESBERG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13856-2022</t>
        </is>
      </c>
      <c r="B3282" s="1" t="n">
        <v>44649</v>
      </c>
      <c r="C3282" s="1" t="n">
        <v>45797</v>
      </c>
      <c r="D3282" t="inlineStr">
        <is>
          <t>ÖREBRO LÄN</t>
        </is>
      </c>
      <c r="E3282" t="inlineStr">
        <is>
          <t>ÖREBRO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13857-2022</t>
        </is>
      </c>
      <c r="B3283" s="1" t="n">
        <v>44649</v>
      </c>
      <c r="C3283" s="1" t="n">
        <v>45797</v>
      </c>
      <c r="D3283" t="inlineStr">
        <is>
          <t>ÖREBRO LÄN</t>
        </is>
      </c>
      <c r="E3283" t="inlineStr">
        <is>
          <t>ÖREBRO</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13943-2022</t>
        </is>
      </c>
      <c r="B3284" s="1" t="n">
        <v>44650</v>
      </c>
      <c r="C3284" s="1" t="n">
        <v>45797</v>
      </c>
      <c r="D3284" t="inlineStr">
        <is>
          <t>ÖREBRO LÄN</t>
        </is>
      </c>
      <c r="E3284" t="inlineStr">
        <is>
          <t>LINDESBERG</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13970-2022</t>
        </is>
      </c>
      <c r="B3285" s="1" t="n">
        <v>44650</v>
      </c>
      <c r="C3285" s="1" t="n">
        <v>45797</v>
      </c>
      <c r="D3285" t="inlineStr">
        <is>
          <t>ÖREBRO LÄN</t>
        </is>
      </c>
      <c r="E3285" t="inlineStr">
        <is>
          <t>ASKERSUND</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14011-2022</t>
        </is>
      </c>
      <c r="B3286" s="1" t="n">
        <v>44650</v>
      </c>
      <c r="C3286" s="1" t="n">
        <v>45797</v>
      </c>
      <c r="D3286" t="inlineStr">
        <is>
          <t>ÖREBRO LÄN</t>
        </is>
      </c>
      <c r="E3286" t="inlineStr">
        <is>
          <t>LJUSNARSBERG</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13997-2022</t>
        </is>
      </c>
      <c r="B3287" s="1" t="n">
        <v>44650</v>
      </c>
      <c r="C3287" s="1" t="n">
        <v>45797</v>
      </c>
      <c r="D3287" t="inlineStr">
        <is>
          <t>ÖREBRO LÄN</t>
        </is>
      </c>
      <c r="E3287" t="inlineStr">
        <is>
          <t>ASKERSUND</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13981-2022</t>
        </is>
      </c>
      <c r="B3288" s="1" t="n">
        <v>44650</v>
      </c>
      <c r="C3288" s="1" t="n">
        <v>45797</v>
      </c>
      <c r="D3288" t="inlineStr">
        <is>
          <t>ÖREBRO LÄN</t>
        </is>
      </c>
      <c r="E3288" t="inlineStr">
        <is>
          <t>ASKERSUND</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14121-2022</t>
        </is>
      </c>
      <c r="B3289" s="1" t="n">
        <v>44651</v>
      </c>
      <c r="C3289" s="1" t="n">
        <v>45797</v>
      </c>
      <c r="D3289" t="inlineStr">
        <is>
          <t>ÖREBRO LÄN</t>
        </is>
      </c>
      <c r="E3289" t="inlineStr">
        <is>
          <t>DEGERFORS</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14348-2022</t>
        </is>
      </c>
      <c r="B3290" s="1" t="n">
        <v>44651</v>
      </c>
      <c r="C3290" s="1" t="n">
        <v>45797</v>
      </c>
      <c r="D3290" t="inlineStr">
        <is>
          <t>ÖREBRO LÄN</t>
        </is>
      </c>
      <c r="E3290" t="inlineStr">
        <is>
          <t>HALLSBERG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14333-2022</t>
        </is>
      </c>
      <c r="B3291" s="1" t="n">
        <v>44651</v>
      </c>
      <c r="C3291" s="1" t="n">
        <v>45797</v>
      </c>
      <c r="D3291" t="inlineStr">
        <is>
          <t>ÖREBRO LÄN</t>
        </is>
      </c>
      <c r="E3291" t="inlineStr">
        <is>
          <t>HALLSBERG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14335-2022</t>
        </is>
      </c>
      <c r="B3292" s="1" t="n">
        <v>44651</v>
      </c>
      <c r="C3292" s="1" t="n">
        <v>45797</v>
      </c>
      <c r="D3292" t="inlineStr">
        <is>
          <t>ÖREBRO LÄN</t>
        </is>
      </c>
      <c r="E3292" t="inlineStr">
        <is>
          <t>HALLSBERG</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14345-2022</t>
        </is>
      </c>
      <c r="B3293" s="1" t="n">
        <v>44651</v>
      </c>
      <c r="C3293" s="1" t="n">
        <v>45797</v>
      </c>
      <c r="D3293" t="inlineStr">
        <is>
          <t>ÖREBRO LÄN</t>
        </is>
      </c>
      <c r="E3293" t="inlineStr">
        <is>
          <t>HALLSBERG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14499-2022</t>
        </is>
      </c>
      <c r="B3294" s="1" t="n">
        <v>44655</v>
      </c>
      <c r="C3294" s="1" t="n">
        <v>45797</v>
      </c>
      <c r="D3294" t="inlineStr">
        <is>
          <t>ÖREBRO LÄN</t>
        </is>
      </c>
      <c r="E3294" t="inlineStr">
        <is>
          <t>ASKERSUND</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14562-2022</t>
        </is>
      </c>
      <c r="B3295" s="1" t="n">
        <v>44655</v>
      </c>
      <c r="C3295" s="1" t="n">
        <v>45797</v>
      </c>
      <c r="D3295" t="inlineStr">
        <is>
          <t>ÖREBRO LÄN</t>
        </is>
      </c>
      <c r="E3295" t="inlineStr">
        <is>
          <t>ÖREBRO</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14830-2022</t>
        </is>
      </c>
      <c r="B3296" s="1" t="n">
        <v>44656</v>
      </c>
      <c r="C3296" s="1" t="n">
        <v>45797</v>
      </c>
      <c r="D3296" t="inlineStr">
        <is>
          <t>ÖREBRO LÄN</t>
        </is>
      </c>
      <c r="E3296" t="inlineStr">
        <is>
          <t>LEKEBERG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14878-2022</t>
        </is>
      </c>
      <c r="B3297" s="1" t="n">
        <v>44656</v>
      </c>
      <c r="C3297" s="1" t="n">
        <v>45797</v>
      </c>
      <c r="D3297" t="inlineStr">
        <is>
          <t>ÖREBRO LÄN</t>
        </is>
      </c>
      <c r="E3297" t="inlineStr">
        <is>
          <t>ÖREBRO</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14877-2022</t>
        </is>
      </c>
      <c r="B3298" s="1" t="n">
        <v>44656</v>
      </c>
      <c r="C3298" s="1" t="n">
        <v>45797</v>
      </c>
      <c r="D3298" t="inlineStr">
        <is>
          <t>ÖREBRO LÄN</t>
        </is>
      </c>
      <c r="E3298" t="inlineStr">
        <is>
          <t>ÖREBRO</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14928-2022</t>
        </is>
      </c>
      <c r="B3299" s="1" t="n">
        <v>44657</v>
      </c>
      <c r="C3299" s="1" t="n">
        <v>45797</v>
      </c>
      <c r="D3299" t="inlineStr">
        <is>
          <t>ÖREBRO LÄN</t>
        </is>
      </c>
      <c r="E3299" t="inlineStr">
        <is>
          <t>HALLSBERG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15073-2022</t>
        </is>
      </c>
      <c r="B3300" s="1" t="n">
        <v>44657</v>
      </c>
      <c r="C3300" s="1" t="n">
        <v>45797</v>
      </c>
      <c r="D3300" t="inlineStr">
        <is>
          <t>ÖREBRO LÄN</t>
        </is>
      </c>
      <c r="E3300" t="inlineStr">
        <is>
          <t>HÄLLEFORS</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15086-2022</t>
        </is>
      </c>
      <c r="B3301" s="1" t="n">
        <v>44657</v>
      </c>
      <c r="C3301" s="1" t="n">
        <v>45797</v>
      </c>
      <c r="D3301" t="inlineStr">
        <is>
          <t>ÖREBRO LÄN</t>
        </is>
      </c>
      <c r="E3301" t="inlineStr">
        <is>
          <t>HALLSBERG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15424-2022</t>
        </is>
      </c>
      <c r="B3302" s="1" t="n">
        <v>44659</v>
      </c>
      <c r="C3302" s="1" t="n">
        <v>45797</v>
      </c>
      <c r="D3302" t="inlineStr">
        <is>
          <t>ÖREBRO LÄN</t>
        </is>
      </c>
      <c r="E3302" t="inlineStr">
        <is>
          <t>ÖREBRO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15422-2022</t>
        </is>
      </c>
      <c r="B3303" s="1" t="n">
        <v>44659</v>
      </c>
      <c r="C3303" s="1" t="n">
        <v>45797</v>
      </c>
      <c r="D3303" t="inlineStr">
        <is>
          <t>ÖREBRO LÄN</t>
        </is>
      </c>
      <c r="E3303" t="inlineStr">
        <is>
          <t>ÖREBRO</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15475-2022</t>
        </is>
      </c>
      <c r="B3304" s="1" t="n">
        <v>44662</v>
      </c>
      <c r="C3304" s="1" t="n">
        <v>45797</v>
      </c>
      <c r="D3304" t="inlineStr">
        <is>
          <t>ÖREBRO LÄN</t>
        </is>
      </c>
      <c r="E3304" t="inlineStr">
        <is>
          <t>HÄLLEFORS</t>
        </is>
      </c>
      <c r="F3304" t="inlineStr">
        <is>
          <t>Bergvik skog väst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15488-2022</t>
        </is>
      </c>
      <c r="B3305" s="1" t="n">
        <v>44662</v>
      </c>
      <c r="C3305" s="1" t="n">
        <v>45797</v>
      </c>
      <c r="D3305" t="inlineStr">
        <is>
          <t>ÖREBRO LÄN</t>
        </is>
      </c>
      <c r="E3305" t="inlineStr">
        <is>
          <t>LAXÅ</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15490-2022</t>
        </is>
      </c>
      <c r="B3306" s="1" t="n">
        <v>44662</v>
      </c>
      <c r="C3306" s="1" t="n">
        <v>45797</v>
      </c>
      <c r="D3306" t="inlineStr">
        <is>
          <t>ÖREBRO LÄN</t>
        </is>
      </c>
      <c r="E3306" t="inlineStr">
        <is>
          <t>LAXÅ</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15502-2022</t>
        </is>
      </c>
      <c r="B3307" s="1" t="n">
        <v>44662</v>
      </c>
      <c r="C3307" s="1" t="n">
        <v>45797</v>
      </c>
      <c r="D3307" t="inlineStr">
        <is>
          <t>ÖREBRO LÄN</t>
        </is>
      </c>
      <c r="E3307" t="inlineStr">
        <is>
          <t>LAXÅ</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15575-2022</t>
        </is>
      </c>
      <c r="B3308" s="1" t="n">
        <v>44662</v>
      </c>
      <c r="C3308" s="1" t="n">
        <v>45797</v>
      </c>
      <c r="D3308" t="inlineStr">
        <is>
          <t>ÖREBRO LÄN</t>
        </is>
      </c>
      <c r="E3308" t="inlineStr">
        <is>
          <t>ASKERSUND</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15624-2022</t>
        </is>
      </c>
      <c r="B3309" s="1" t="n">
        <v>44662</v>
      </c>
      <c r="C3309" s="1" t="n">
        <v>45797</v>
      </c>
      <c r="D3309" t="inlineStr">
        <is>
          <t>ÖREBRO LÄN</t>
        </is>
      </c>
      <c r="E3309" t="inlineStr">
        <is>
          <t>ÖREBRO</t>
        </is>
      </c>
      <c r="F3309" t="inlineStr">
        <is>
          <t>Övriga Aktiebolag</t>
        </is>
      </c>
      <c r="G3309" t="n">
        <v>18.8</v>
      </c>
      <c r="H3309" t="n">
        <v>0</v>
      </c>
      <c r="I3309" t="n">
        <v>0</v>
      </c>
      <c r="J3309" t="n">
        <v>0</v>
      </c>
      <c r="K3309" t="n">
        <v>0</v>
      </c>
      <c r="L3309" t="n">
        <v>0</v>
      </c>
      <c r="M3309" t="n">
        <v>0</v>
      </c>
      <c r="N3309" t="n">
        <v>0</v>
      </c>
      <c r="O3309" t="n">
        <v>0</v>
      </c>
      <c r="P3309" t="n">
        <v>0</v>
      </c>
      <c r="Q3309" t="n">
        <v>0</v>
      </c>
      <c r="R3309" s="2" t="inlineStr"/>
    </row>
    <row r="3310" ht="15" customHeight="1">
      <c r="A3310" t="inlineStr">
        <is>
          <t>A 15489-2022</t>
        </is>
      </c>
      <c r="B3310" s="1" t="n">
        <v>44662</v>
      </c>
      <c r="C3310" s="1" t="n">
        <v>45797</v>
      </c>
      <c r="D3310" t="inlineStr">
        <is>
          <t>ÖREBRO LÄN</t>
        </is>
      </c>
      <c r="E3310" t="inlineStr">
        <is>
          <t>LAXÅ</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15491-2022</t>
        </is>
      </c>
      <c r="B3311" s="1" t="n">
        <v>44662</v>
      </c>
      <c r="C3311" s="1" t="n">
        <v>45797</v>
      </c>
      <c r="D3311" t="inlineStr">
        <is>
          <t>ÖREBRO LÄN</t>
        </is>
      </c>
      <c r="E3311" t="inlineStr">
        <is>
          <t>LAXÅ</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15504-2022</t>
        </is>
      </c>
      <c r="B3312" s="1" t="n">
        <v>44662</v>
      </c>
      <c r="C3312" s="1" t="n">
        <v>45797</v>
      </c>
      <c r="D3312" t="inlineStr">
        <is>
          <t>ÖREBRO LÄN</t>
        </is>
      </c>
      <c r="E3312" t="inlineStr">
        <is>
          <t>LAXÅ</t>
        </is>
      </c>
      <c r="F3312" t="inlineStr">
        <is>
          <t>Sveaskog</t>
        </is>
      </c>
      <c r="G3312" t="n">
        <v>16.4</v>
      </c>
      <c r="H3312" t="n">
        <v>0</v>
      </c>
      <c r="I3312" t="n">
        <v>0</v>
      </c>
      <c r="J3312" t="n">
        <v>0</v>
      </c>
      <c r="K3312" t="n">
        <v>0</v>
      </c>
      <c r="L3312" t="n">
        <v>0</v>
      </c>
      <c r="M3312" t="n">
        <v>0</v>
      </c>
      <c r="N3312" t="n">
        <v>0</v>
      </c>
      <c r="O3312" t="n">
        <v>0</v>
      </c>
      <c r="P3312" t="n">
        <v>0</v>
      </c>
      <c r="Q3312" t="n">
        <v>0</v>
      </c>
      <c r="R3312" s="2" t="inlineStr"/>
    </row>
    <row r="3313" ht="15" customHeight="1">
      <c r="A3313" t="inlineStr">
        <is>
          <t>A 15518-2022</t>
        </is>
      </c>
      <c r="B3313" s="1" t="n">
        <v>44662</v>
      </c>
      <c r="C3313" s="1" t="n">
        <v>45797</v>
      </c>
      <c r="D3313" t="inlineStr">
        <is>
          <t>ÖREBRO LÄN</t>
        </is>
      </c>
      <c r="E3313" t="inlineStr">
        <is>
          <t>LAXÅ</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15572-2022</t>
        </is>
      </c>
      <c r="B3314" s="1" t="n">
        <v>44662</v>
      </c>
      <c r="C3314" s="1" t="n">
        <v>45797</v>
      </c>
      <c r="D3314" t="inlineStr">
        <is>
          <t>ÖREBRO LÄN</t>
        </is>
      </c>
      <c r="E3314" t="inlineStr">
        <is>
          <t>ASKERSUND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15625-2022</t>
        </is>
      </c>
      <c r="B3315" s="1" t="n">
        <v>44662</v>
      </c>
      <c r="C3315" s="1" t="n">
        <v>45797</v>
      </c>
      <c r="D3315" t="inlineStr">
        <is>
          <t>ÖREBRO LÄN</t>
        </is>
      </c>
      <c r="E3315" t="inlineStr">
        <is>
          <t>ASKERSUND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15771-2022</t>
        </is>
      </c>
      <c r="B3316" s="1" t="n">
        <v>44663</v>
      </c>
      <c r="C3316" s="1" t="n">
        <v>45797</v>
      </c>
      <c r="D3316" t="inlineStr">
        <is>
          <t>ÖREBRO LÄN</t>
        </is>
      </c>
      <c r="E3316" t="inlineStr">
        <is>
          <t>HÄLLEFORS</t>
        </is>
      </c>
      <c r="F3316" t="inlineStr">
        <is>
          <t>Bergvik skog väst AB</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15896-2022</t>
        </is>
      </c>
      <c r="B3317" s="1" t="n">
        <v>44664</v>
      </c>
      <c r="C3317" s="1" t="n">
        <v>45797</v>
      </c>
      <c r="D3317" t="inlineStr">
        <is>
          <t>ÖREBRO LÄN</t>
        </is>
      </c>
      <c r="E3317" t="inlineStr">
        <is>
          <t>ÖREBRO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15866-2022</t>
        </is>
      </c>
      <c r="B3318" s="1" t="n">
        <v>44664</v>
      </c>
      <c r="C3318" s="1" t="n">
        <v>45797</v>
      </c>
      <c r="D3318" t="inlineStr">
        <is>
          <t>ÖREBRO LÄN</t>
        </is>
      </c>
      <c r="E3318" t="inlineStr">
        <is>
          <t>ÖREBRO</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16054-2022</t>
        </is>
      </c>
      <c r="B3319" s="1" t="n">
        <v>44665</v>
      </c>
      <c r="C3319" s="1" t="n">
        <v>45797</v>
      </c>
      <c r="D3319" t="inlineStr">
        <is>
          <t>ÖREBRO LÄN</t>
        </is>
      </c>
      <c r="E3319" t="inlineStr">
        <is>
          <t>LINDESBERG</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16094-2022</t>
        </is>
      </c>
      <c r="B3320" s="1" t="n">
        <v>44665</v>
      </c>
      <c r="C3320" s="1" t="n">
        <v>45797</v>
      </c>
      <c r="D3320" t="inlineStr">
        <is>
          <t>ÖREBRO LÄN</t>
        </is>
      </c>
      <c r="E3320" t="inlineStr">
        <is>
          <t>ÖREBRO</t>
        </is>
      </c>
      <c r="F3320" t="inlineStr">
        <is>
          <t>Allmännings- och besparingsskogar</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16082-2022</t>
        </is>
      </c>
      <c r="B3321" s="1" t="n">
        <v>44665</v>
      </c>
      <c r="C3321" s="1" t="n">
        <v>45797</v>
      </c>
      <c r="D3321" t="inlineStr">
        <is>
          <t>ÖREBRO LÄN</t>
        </is>
      </c>
      <c r="E3321" t="inlineStr">
        <is>
          <t>LINDESBERG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16130-2022</t>
        </is>
      </c>
      <c r="B3322" s="1" t="n">
        <v>44665</v>
      </c>
      <c r="C3322" s="1" t="n">
        <v>45797</v>
      </c>
      <c r="D3322" t="inlineStr">
        <is>
          <t>ÖREBRO LÄN</t>
        </is>
      </c>
      <c r="E3322" t="inlineStr">
        <is>
          <t>LINDESBERG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16092-2022</t>
        </is>
      </c>
      <c r="B3323" s="1" t="n">
        <v>44665</v>
      </c>
      <c r="C3323" s="1" t="n">
        <v>45797</v>
      </c>
      <c r="D3323" t="inlineStr">
        <is>
          <t>ÖREBRO LÄN</t>
        </is>
      </c>
      <c r="E3323" t="inlineStr">
        <is>
          <t>HALLSBERG</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16131-2022</t>
        </is>
      </c>
      <c r="B3324" s="1" t="n">
        <v>44665</v>
      </c>
      <c r="C3324" s="1" t="n">
        <v>45797</v>
      </c>
      <c r="D3324" t="inlineStr">
        <is>
          <t>ÖREBRO LÄN</t>
        </is>
      </c>
      <c r="E3324" t="inlineStr">
        <is>
          <t>LINDESBERG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16085-2022</t>
        </is>
      </c>
      <c r="B3325" s="1" t="n">
        <v>44665</v>
      </c>
      <c r="C3325" s="1" t="n">
        <v>45797</v>
      </c>
      <c r="D3325" t="inlineStr">
        <is>
          <t>ÖREBRO LÄN</t>
        </is>
      </c>
      <c r="E3325" t="inlineStr">
        <is>
          <t>HALLSBERG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16079-2022</t>
        </is>
      </c>
      <c r="B3326" s="1" t="n">
        <v>44665</v>
      </c>
      <c r="C3326" s="1" t="n">
        <v>45797</v>
      </c>
      <c r="D3326" t="inlineStr">
        <is>
          <t>ÖREBRO LÄN</t>
        </is>
      </c>
      <c r="E3326" t="inlineStr">
        <is>
          <t>LINDESBERG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16044-2022</t>
        </is>
      </c>
      <c r="B3327" s="1" t="n">
        <v>44665</v>
      </c>
      <c r="C3327" s="1" t="n">
        <v>45797</v>
      </c>
      <c r="D3327" t="inlineStr">
        <is>
          <t>ÖREBRO LÄN</t>
        </is>
      </c>
      <c r="E3327" t="inlineStr">
        <is>
          <t>LAXÅ</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16123-2022</t>
        </is>
      </c>
      <c r="B3328" s="1" t="n">
        <v>44665</v>
      </c>
      <c r="C3328" s="1" t="n">
        <v>45797</v>
      </c>
      <c r="D3328" t="inlineStr">
        <is>
          <t>ÖREBRO LÄN</t>
        </is>
      </c>
      <c r="E3328" t="inlineStr">
        <is>
          <t>LINDESBERG</t>
        </is>
      </c>
      <c r="G3328" t="n">
        <v>10.6</v>
      </c>
      <c r="H3328" t="n">
        <v>0</v>
      </c>
      <c r="I3328" t="n">
        <v>0</v>
      </c>
      <c r="J3328" t="n">
        <v>0</v>
      </c>
      <c r="K3328" t="n">
        <v>0</v>
      </c>
      <c r="L3328" t="n">
        <v>0</v>
      </c>
      <c r="M3328" t="n">
        <v>0</v>
      </c>
      <c r="N3328" t="n">
        <v>0</v>
      </c>
      <c r="O3328" t="n">
        <v>0</v>
      </c>
      <c r="P3328" t="n">
        <v>0</v>
      </c>
      <c r="Q3328" t="n">
        <v>0</v>
      </c>
      <c r="R3328" s="2" t="inlineStr"/>
    </row>
    <row r="3329" ht="15" customHeight="1">
      <c r="A3329" t="inlineStr">
        <is>
          <t>A 16245-2022</t>
        </is>
      </c>
      <c r="B3329" s="1" t="n">
        <v>44670</v>
      </c>
      <c r="C3329" s="1" t="n">
        <v>45797</v>
      </c>
      <c r="D3329" t="inlineStr">
        <is>
          <t>ÖREBRO LÄN</t>
        </is>
      </c>
      <c r="E3329" t="inlineStr">
        <is>
          <t>KUMLA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16258-2022</t>
        </is>
      </c>
      <c r="B3330" s="1" t="n">
        <v>44670</v>
      </c>
      <c r="C3330" s="1" t="n">
        <v>45797</v>
      </c>
      <c r="D3330" t="inlineStr">
        <is>
          <t>ÖREBRO LÄN</t>
        </is>
      </c>
      <c r="E3330" t="inlineStr">
        <is>
          <t>ÖREBRO</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16261-2022</t>
        </is>
      </c>
      <c r="B3331" s="1" t="n">
        <v>44670</v>
      </c>
      <c r="C3331" s="1" t="n">
        <v>45797</v>
      </c>
      <c r="D3331" t="inlineStr">
        <is>
          <t>ÖREBRO LÄN</t>
        </is>
      </c>
      <c r="E3331" t="inlineStr">
        <is>
          <t>ÖREBRO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16300-2022</t>
        </is>
      </c>
      <c r="B3332" s="1" t="n">
        <v>44670</v>
      </c>
      <c r="C3332" s="1" t="n">
        <v>45797</v>
      </c>
      <c r="D3332" t="inlineStr">
        <is>
          <t>ÖREBRO LÄN</t>
        </is>
      </c>
      <c r="E3332" t="inlineStr">
        <is>
          <t>ÖREBRO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16374-2022</t>
        </is>
      </c>
      <c r="B3333" s="1" t="n">
        <v>44671</v>
      </c>
      <c r="C3333" s="1" t="n">
        <v>45797</v>
      </c>
      <c r="D3333" t="inlineStr">
        <is>
          <t>ÖREBRO LÄN</t>
        </is>
      </c>
      <c r="E3333" t="inlineStr">
        <is>
          <t>ÖREBRO</t>
        </is>
      </c>
      <c r="F3333" t="inlineStr">
        <is>
          <t>Övriga Aktiebolag</t>
        </is>
      </c>
      <c r="G3333" t="n">
        <v>30.3</v>
      </c>
      <c r="H3333" t="n">
        <v>0</v>
      </c>
      <c r="I3333" t="n">
        <v>0</v>
      </c>
      <c r="J3333" t="n">
        <v>0</v>
      </c>
      <c r="K3333" t="n">
        <v>0</v>
      </c>
      <c r="L3333" t="n">
        <v>0</v>
      </c>
      <c r="M3333" t="n">
        <v>0</v>
      </c>
      <c r="N3333" t="n">
        <v>0</v>
      </c>
      <c r="O3333" t="n">
        <v>0</v>
      </c>
      <c r="P3333" t="n">
        <v>0</v>
      </c>
      <c r="Q3333" t="n">
        <v>0</v>
      </c>
      <c r="R3333" s="2" t="inlineStr"/>
    </row>
    <row r="3334" ht="15" customHeight="1">
      <c r="A3334" t="inlineStr">
        <is>
          <t>A 16424-2022</t>
        </is>
      </c>
      <c r="B3334" s="1" t="n">
        <v>44671</v>
      </c>
      <c r="C3334" s="1" t="n">
        <v>45797</v>
      </c>
      <c r="D3334" t="inlineStr">
        <is>
          <t>ÖREBRO LÄN</t>
        </is>
      </c>
      <c r="E3334" t="inlineStr">
        <is>
          <t>LINDESBERG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16435-2022</t>
        </is>
      </c>
      <c r="B3335" s="1" t="n">
        <v>44671</v>
      </c>
      <c r="C3335" s="1" t="n">
        <v>45797</v>
      </c>
      <c r="D3335" t="inlineStr">
        <is>
          <t>ÖREBRO LÄN</t>
        </is>
      </c>
      <c r="E3335" t="inlineStr">
        <is>
          <t>LINDESBERG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16451-2022</t>
        </is>
      </c>
      <c r="B3336" s="1" t="n">
        <v>44671</v>
      </c>
      <c r="C3336" s="1" t="n">
        <v>45797</v>
      </c>
      <c r="D3336" t="inlineStr">
        <is>
          <t>ÖREBRO LÄN</t>
        </is>
      </c>
      <c r="E3336" t="inlineStr">
        <is>
          <t>DEGERFORS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16501-2022</t>
        </is>
      </c>
      <c r="B3337" s="1" t="n">
        <v>44671</v>
      </c>
      <c r="C3337" s="1" t="n">
        <v>45797</v>
      </c>
      <c r="D3337" t="inlineStr">
        <is>
          <t>ÖREBRO LÄN</t>
        </is>
      </c>
      <c r="E3337" t="inlineStr">
        <is>
          <t>LAXÅ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16600-2022</t>
        </is>
      </c>
      <c r="B3338" s="1" t="n">
        <v>44672</v>
      </c>
      <c r="C3338" s="1" t="n">
        <v>45797</v>
      </c>
      <c r="D3338" t="inlineStr">
        <is>
          <t>ÖREBRO LÄN</t>
        </is>
      </c>
      <c r="E3338" t="inlineStr">
        <is>
          <t>LINDESBERG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16759-2022</t>
        </is>
      </c>
      <c r="B3339" s="1" t="n">
        <v>44673</v>
      </c>
      <c r="C3339" s="1" t="n">
        <v>45797</v>
      </c>
      <c r="D3339" t="inlineStr">
        <is>
          <t>ÖREBRO LÄN</t>
        </is>
      </c>
      <c r="E3339" t="inlineStr">
        <is>
          <t>ÖREBRO</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16732-2022</t>
        </is>
      </c>
      <c r="B3340" s="1" t="n">
        <v>44673</v>
      </c>
      <c r="C3340" s="1" t="n">
        <v>45797</v>
      </c>
      <c r="D3340" t="inlineStr">
        <is>
          <t>ÖREBRO LÄN</t>
        </is>
      </c>
      <c r="E3340" t="inlineStr">
        <is>
          <t>ÖREBRO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16739-2022</t>
        </is>
      </c>
      <c r="B3341" s="1" t="n">
        <v>44673</v>
      </c>
      <c r="C3341" s="1" t="n">
        <v>45797</v>
      </c>
      <c r="D3341" t="inlineStr">
        <is>
          <t>ÖREBRO LÄN</t>
        </is>
      </c>
      <c r="E3341" t="inlineStr">
        <is>
          <t>ÖREBRO</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16749-2022</t>
        </is>
      </c>
      <c r="B3342" s="1" t="n">
        <v>44673</v>
      </c>
      <c r="C3342" s="1" t="n">
        <v>45797</v>
      </c>
      <c r="D3342" t="inlineStr">
        <is>
          <t>ÖREBRO LÄN</t>
        </is>
      </c>
      <c r="E3342" t="inlineStr">
        <is>
          <t>LINDESBERG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16864-2022</t>
        </is>
      </c>
      <c r="B3343" s="1" t="n">
        <v>44675</v>
      </c>
      <c r="C3343" s="1" t="n">
        <v>45797</v>
      </c>
      <c r="D3343" t="inlineStr">
        <is>
          <t>ÖREBRO LÄN</t>
        </is>
      </c>
      <c r="E3343" t="inlineStr">
        <is>
          <t>LINDESBERG</t>
        </is>
      </c>
      <c r="F3343" t="inlineStr">
        <is>
          <t>Kyrkan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16865-2022</t>
        </is>
      </c>
      <c r="B3344" s="1" t="n">
        <v>44675</v>
      </c>
      <c r="C3344" s="1" t="n">
        <v>45797</v>
      </c>
      <c r="D3344" t="inlineStr">
        <is>
          <t>ÖREBRO LÄN</t>
        </is>
      </c>
      <c r="E3344" t="inlineStr">
        <is>
          <t>LINDESBERG</t>
        </is>
      </c>
      <c r="F3344" t="inlineStr">
        <is>
          <t>Kyrkan</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16952-2022</t>
        </is>
      </c>
      <c r="B3345" s="1" t="n">
        <v>44676</v>
      </c>
      <c r="C3345" s="1" t="n">
        <v>45797</v>
      </c>
      <c r="D3345" t="inlineStr">
        <is>
          <t>ÖREBRO LÄN</t>
        </is>
      </c>
      <c r="E3345" t="inlineStr">
        <is>
          <t>ASKERSUND</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16958-2022</t>
        </is>
      </c>
      <c r="B3346" s="1" t="n">
        <v>44676</v>
      </c>
      <c r="C3346" s="1" t="n">
        <v>45797</v>
      </c>
      <c r="D3346" t="inlineStr">
        <is>
          <t>ÖREBRO LÄN</t>
        </is>
      </c>
      <c r="E3346" t="inlineStr">
        <is>
          <t>ÖREBRO</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16969-2022</t>
        </is>
      </c>
      <c r="B3347" s="1" t="n">
        <v>44676</v>
      </c>
      <c r="C3347" s="1" t="n">
        <v>45797</v>
      </c>
      <c r="D3347" t="inlineStr">
        <is>
          <t>ÖREBRO LÄN</t>
        </is>
      </c>
      <c r="E3347" t="inlineStr">
        <is>
          <t>ÖREBRO</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16914-2022</t>
        </is>
      </c>
      <c r="B3348" s="1" t="n">
        <v>44676</v>
      </c>
      <c r="C3348" s="1" t="n">
        <v>45797</v>
      </c>
      <c r="D3348" t="inlineStr">
        <is>
          <t>ÖREBRO LÄN</t>
        </is>
      </c>
      <c r="E3348" t="inlineStr">
        <is>
          <t>LEKEBERG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16953-2022</t>
        </is>
      </c>
      <c r="B3349" s="1" t="n">
        <v>44676</v>
      </c>
      <c r="C3349" s="1" t="n">
        <v>45797</v>
      </c>
      <c r="D3349" t="inlineStr">
        <is>
          <t>ÖREBRO LÄN</t>
        </is>
      </c>
      <c r="E3349" t="inlineStr">
        <is>
          <t>ASKERSUND</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16961-2022</t>
        </is>
      </c>
      <c r="B3350" s="1" t="n">
        <v>44676</v>
      </c>
      <c r="C3350" s="1" t="n">
        <v>45797</v>
      </c>
      <c r="D3350" t="inlineStr">
        <is>
          <t>ÖREBRO LÄN</t>
        </is>
      </c>
      <c r="E3350" t="inlineStr">
        <is>
          <t>ÖREBRO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16939-2022</t>
        </is>
      </c>
      <c r="B3351" s="1" t="n">
        <v>44676</v>
      </c>
      <c r="C3351" s="1" t="n">
        <v>45797</v>
      </c>
      <c r="D3351" t="inlineStr">
        <is>
          <t>ÖREBRO LÄN</t>
        </is>
      </c>
      <c r="E3351" t="inlineStr">
        <is>
          <t>LINDESBERG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17003-2022</t>
        </is>
      </c>
      <c r="B3352" s="1" t="n">
        <v>44676</v>
      </c>
      <c r="C3352" s="1" t="n">
        <v>45797</v>
      </c>
      <c r="D3352" t="inlineStr">
        <is>
          <t>ÖREBRO LÄN</t>
        </is>
      </c>
      <c r="E3352" t="inlineStr">
        <is>
          <t>HALLSBERG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17140-2022</t>
        </is>
      </c>
      <c r="B3353" s="1" t="n">
        <v>44677</v>
      </c>
      <c r="C3353" s="1" t="n">
        <v>45797</v>
      </c>
      <c r="D3353" t="inlineStr">
        <is>
          <t>ÖREBRO LÄN</t>
        </is>
      </c>
      <c r="E3353" t="inlineStr">
        <is>
          <t>NORA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17544-2022</t>
        </is>
      </c>
      <c r="B3354" s="1" t="n">
        <v>44679</v>
      </c>
      <c r="C3354" s="1" t="n">
        <v>45797</v>
      </c>
      <c r="D3354" t="inlineStr">
        <is>
          <t>ÖREBRO LÄN</t>
        </is>
      </c>
      <c r="E3354" t="inlineStr">
        <is>
          <t>HALLSBERG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17572-2022</t>
        </is>
      </c>
      <c r="B3355" s="1" t="n">
        <v>44679</v>
      </c>
      <c r="C3355" s="1" t="n">
        <v>45797</v>
      </c>
      <c r="D3355" t="inlineStr">
        <is>
          <t>ÖREBRO LÄN</t>
        </is>
      </c>
      <c r="E3355" t="inlineStr">
        <is>
          <t>HALLSBERG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17728-2022</t>
        </is>
      </c>
      <c r="B3356" s="1" t="n">
        <v>44680</v>
      </c>
      <c r="C3356" s="1" t="n">
        <v>45797</v>
      </c>
      <c r="D3356" t="inlineStr">
        <is>
          <t>ÖREBRO LÄN</t>
        </is>
      </c>
      <c r="E3356" t="inlineStr">
        <is>
          <t>ASKERSUND</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17729-2022</t>
        </is>
      </c>
      <c r="B3357" s="1" t="n">
        <v>44680</v>
      </c>
      <c r="C3357" s="1" t="n">
        <v>45797</v>
      </c>
      <c r="D3357" t="inlineStr">
        <is>
          <t>ÖREBRO LÄN</t>
        </is>
      </c>
      <c r="E3357" t="inlineStr">
        <is>
          <t>ASKERSUND</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17770-2022</t>
        </is>
      </c>
      <c r="B3358" s="1" t="n">
        <v>44682</v>
      </c>
      <c r="C3358" s="1" t="n">
        <v>45797</v>
      </c>
      <c r="D3358" t="inlineStr">
        <is>
          <t>ÖREBRO LÄN</t>
        </is>
      </c>
      <c r="E3358" t="inlineStr">
        <is>
          <t>NORA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17895-2022</t>
        </is>
      </c>
      <c r="B3359" s="1" t="n">
        <v>44683</v>
      </c>
      <c r="C3359" s="1" t="n">
        <v>45797</v>
      </c>
      <c r="D3359" t="inlineStr">
        <is>
          <t>ÖREBRO LÄN</t>
        </is>
      </c>
      <c r="E3359" t="inlineStr">
        <is>
          <t>LINDESBERG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17840-2022</t>
        </is>
      </c>
      <c r="B3360" s="1" t="n">
        <v>44683</v>
      </c>
      <c r="C3360" s="1" t="n">
        <v>45797</v>
      </c>
      <c r="D3360" t="inlineStr">
        <is>
          <t>ÖREBRO LÄN</t>
        </is>
      </c>
      <c r="E3360" t="inlineStr">
        <is>
          <t>ÖREBRO</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18047-2022</t>
        </is>
      </c>
      <c r="B3361" s="1" t="n">
        <v>44684</v>
      </c>
      <c r="C3361" s="1" t="n">
        <v>45797</v>
      </c>
      <c r="D3361" t="inlineStr">
        <is>
          <t>ÖREBRO LÄN</t>
        </is>
      </c>
      <c r="E3361" t="inlineStr">
        <is>
          <t>ÖREBRO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18171-2022</t>
        </is>
      </c>
      <c r="B3362" s="1" t="n">
        <v>44684</v>
      </c>
      <c r="C3362" s="1" t="n">
        <v>45797</v>
      </c>
      <c r="D3362" t="inlineStr">
        <is>
          <t>ÖREBRO LÄN</t>
        </is>
      </c>
      <c r="E3362" t="inlineStr">
        <is>
          <t>LINDESBERG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18321-2022</t>
        </is>
      </c>
      <c r="B3363" s="1" t="n">
        <v>44685</v>
      </c>
      <c r="C3363" s="1" t="n">
        <v>45797</v>
      </c>
      <c r="D3363" t="inlineStr">
        <is>
          <t>ÖREBRO LÄN</t>
        </is>
      </c>
      <c r="E3363" t="inlineStr">
        <is>
          <t>ÖREBRO</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18210-2022</t>
        </is>
      </c>
      <c r="B3364" s="1" t="n">
        <v>44685</v>
      </c>
      <c r="C3364" s="1" t="n">
        <v>45797</v>
      </c>
      <c r="D3364" t="inlineStr">
        <is>
          <t>ÖREBRO LÄN</t>
        </is>
      </c>
      <c r="E3364" t="inlineStr">
        <is>
          <t>LINDESBERG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18357-2022</t>
        </is>
      </c>
      <c r="B3365" s="1" t="n">
        <v>44685</v>
      </c>
      <c r="C3365" s="1" t="n">
        <v>45797</v>
      </c>
      <c r="D3365" t="inlineStr">
        <is>
          <t>ÖREBRO LÄN</t>
        </is>
      </c>
      <c r="E3365" t="inlineStr">
        <is>
          <t>LJUSNARSBERG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18425-2022</t>
        </is>
      </c>
      <c r="B3366" s="1" t="n">
        <v>44686</v>
      </c>
      <c r="C3366" s="1" t="n">
        <v>45797</v>
      </c>
      <c r="D3366" t="inlineStr">
        <is>
          <t>ÖREBRO LÄN</t>
        </is>
      </c>
      <c r="E3366" t="inlineStr">
        <is>
          <t>LINDESBERG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18498-2022</t>
        </is>
      </c>
      <c r="B3367" s="1" t="n">
        <v>44686</v>
      </c>
      <c r="C3367" s="1" t="n">
        <v>45797</v>
      </c>
      <c r="D3367" t="inlineStr">
        <is>
          <t>ÖREBRO LÄN</t>
        </is>
      </c>
      <c r="E3367" t="inlineStr">
        <is>
          <t>ÖREBRO</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18424-2022</t>
        </is>
      </c>
      <c r="B3368" s="1" t="n">
        <v>44686</v>
      </c>
      <c r="C3368" s="1" t="n">
        <v>45797</v>
      </c>
      <c r="D3368" t="inlineStr">
        <is>
          <t>ÖREBRO LÄN</t>
        </is>
      </c>
      <c r="E3368" t="inlineStr">
        <is>
          <t>HÄLLEFORS</t>
        </is>
      </c>
      <c r="F3368" t="inlineStr">
        <is>
          <t>Bergvik skog väst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18512-2022</t>
        </is>
      </c>
      <c r="B3369" s="1" t="n">
        <v>44686</v>
      </c>
      <c r="C3369" s="1" t="n">
        <v>45797</v>
      </c>
      <c r="D3369" t="inlineStr">
        <is>
          <t>ÖREBRO LÄN</t>
        </is>
      </c>
      <c r="E3369" t="inlineStr">
        <is>
          <t>HALLSBERG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18674-2022</t>
        </is>
      </c>
      <c r="B3370" s="1" t="n">
        <v>44687</v>
      </c>
      <c r="C3370" s="1" t="n">
        <v>45797</v>
      </c>
      <c r="D3370" t="inlineStr">
        <is>
          <t>ÖREBRO LÄN</t>
        </is>
      </c>
      <c r="E3370" t="inlineStr">
        <is>
          <t>ÖREBRO</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18636-2022</t>
        </is>
      </c>
      <c r="B3371" s="1" t="n">
        <v>44687</v>
      </c>
      <c r="C3371" s="1" t="n">
        <v>45797</v>
      </c>
      <c r="D3371" t="inlineStr">
        <is>
          <t>ÖREBRO LÄN</t>
        </is>
      </c>
      <c r="E3371" t="inlineStr">
        <is>
          <t>NORA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18672-2022</t>
        </is>
      </c>
      <c r="B3372" s="1" t="n">
        <v>44687</v>
      </c>
      <c r="C3372" s="1" t="n">
        <v>45797</v>
      </c>
      <c r="D3372" t="inlineStr">
        <is>
          <t>ÖREBRO LÄN</t>
        </is>
      </c>
      <c r="E3372" t="inlineStr">
        <is>
          <t>ASKERSUND</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18803-2022</t>
        </is>
      </c>
      <c r="B3373" s="1" t="n">
        <v>44690</v>
      </c>
      <c r="C3373" s="1" t="n">
        <v>45797</v>
      </c>
      <c r="D3373" t="inlineStr">
        <is>
          <t>ÖREBRO LÄN</t>
        </is>
      </c>
      <c r="E3373" t="inlineStr">
        <is>
          <t>HÄLLEFORS</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18792-2022</t>
        </is>
      </c>
      <c r="B3374" s="1" t="n">
        <v>44690</v>
      </c>
      <c r="C3374" s="1" t="n">
        <v>45797</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18801-2022</t>
        </is>
      </c>
      <c r="B3375" s="1" t="n">
        <v>44690</v>
      </c>
      <c r="C3375" s="1" t="n">
        <v>45797</v>
      </c>
      <c r="D3375" t="inlineStr">
        <is>
          <t>ÖREBRO LÄN</t>
        </is>
      </c>
      <c r="E3375" t="inlineStr">
        <is>
          <t>HÄLLEFORS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18830-2022</t>
        </is>
      </c>
      <c r="B3376" s="1" t="n">
        <v>44690</v>
      </c>
      <c r="C3376" s="1" t="n">
        <v>45797</v>
      </c>
      <c r="D3376" t="inlineStr">
        <is>
          <t>ÖREBRO LÄN</t>
        </is>
      </c>
      <c r="E3376" t="inlineStr">
        <is>
          <t>LINDESBERG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18882-2022</t>
        </is>
      </c>
      <c r="B3377" s="1" t="n">
        <v>44690</v>
      </c>
      <c r="C3377" s="1" t="n">
        <v>45797</v>
      </c>
      <c r="D3377" t="inlineStr">
        <is>
          <t>ÖREBRO LÄN</t>
        </is>
      </c>
      <c r="E3377" t="inlineStr">
        <is>
          <t>HÄLLEFORS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18933-2022</t>
        </is>
      </c>
      <c r="B3378" s="1" t="n">
        <v>44690</v>
      </c>
      <c r="C3378" s="1" t="n">
        <v>45797</v>
      </c>
      <c r="D3378" t="inlineStr">
        <is>
          <t>ÖREBRO LÄN</t>
        </is>
      </c>
      <c r="E3378" t="inlineStr">
        <is>
          <t>LJUSNARSBERG</t>
        </is>
      </c>
      <c r="F3378" t="inlineStr">
        <is>
          <t>Bergvik skog väst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18932-2022</t>
        </is>
      </c>
      <c r="B3379" s="1" t="n">
        <v>44690</v>
      </c>
      <c r="C3379" s="1" t="n">
        <v>45797</v>
      </c>
      <c r="D3379" t="inlineStr">
        <is>
          <t>ÖREBRO LÄN</t>
        </is>
      </c>
      <c r="E3379" t="inlineStr">
        <is>
          <t>LJUSNARSBERG</t>
        </is>
      </c>
      <c r="F3379" t="inlineStr">
        <is>
          <t>Bergvik skog väst AB</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18938-2022</t>
        </is>
      </c>
      <c r="B3380" s="1" t="n">
        <v>44690</v>
      </c>
      <c r="C3380" s="1" t="n">
        <v>45797</v>
      </c>
      <c r="D3380" t="inlineStr">
        <is>
          <t>ÖREBRO LÄN</t>
        </is>
      </c>
      <c r="E3380" t="inlineStr">
        <is>
          <t>LJUSNARSBERG</t>
        </is>
      </c>
      <c r="F3380" t="inlineStr">
        <is>
          <t>Bergvik skog väst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18945-2022</t>
        </is>
      </c>
      <c r="B3381" s="1" t="n">
        <v>44690</v>
      </c>
      <c r="C3381" s="1" t="n">
        <v>45797</v>
      </c>
      <c r="D3381" t="inlineStr">
        <is>
          <t>ÖREBRO LÄN</t>
        </is>
      </c>
      <c r="E3381" t="inlineStr">
        <is>
          <t>LJUSNARSBERG</t>
        </is>
      </c>
      <c r="F3381" t="inlineStr">
        <is>
          <t>Bergvik skog väst AB</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18952-2022</t>
        </is>
      </c>
      <c r="B3382" s="1" t="n">
        <v>44690</v>
      </c>
      <c r="C3382" s="1" t="n">
        <v>45797</v>
      </c>
      <c r="D3382" t="inlineStr">
        <is>
          <t>ÖREBRO LÄN</t>
        </is>
      </c>
      <c r="E3382" t="inlineStr">
        <is>
          <t>LJUSNARSBERG</t>
        </is>
      </c>
      <c r="F3382" t="inlineStr">
        <is>
          <t>Bergvik skog väst AB</t>
        </is>
      </c>
      <c r="G3382" t="n">
        <v>14.9</v>
      </c>
      <c r="H3382" t="n">
        <v>0</v>
      </c>
      <c r="I3382" t="n">
        <v>0</v>
      </c>
      <c r="J3382" t="n">
        <v>0</v>
      </c>
      <c r="K3382" t="n">
        <v>0</v>
      </c>
      <c r="L3382" t="n">
        <v>0</v>
      </c>
      <c r="M3382" t="n">
        <v>0</v>
      </c>
      <c r="N3382" t="n">
        <v>0</v>
      </c>
      <c r="O3382" t="n">
        <v>0</v>
      </c>
      <c r="P3382" t="n">
        <v>0</v>
      </c>
      <c r="Q3382" t="n">
        <v>0</v>
      </c>
      <c r="R3382" s="2" t="inlineStr"/>
    </row>
    <row r="3383" ht="15" customHeight="1">
      <c r="A3383" t="inlineStr">
        <is>
          <t>A 35976-2022</t>
        </is>
      </c>
      <c r="B3383" s="1" t="n">
        <v>44690</v>
      </c>
      <c r="C3383" s="1" t="n">
        <v>45797</v>
      </c>
      <c r="D3383" t="inlineStr">
        <is>
          <t>ÖREBRO LÄN</t>
        </is>
      </c>
      <c r="E3383" t="inlineStr">
        <is>
          <t>LJUSNARSBERG</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19028-2022</t>
        </is>
      </c>
      <c r="B3384" s="1" t="n">
        <v>44691</v>
      </c>
      <c r="C3384" s="1" t="n">
        <v>45797</v>
      </c>
      <c r="D3384" t="inlineStr">
        <is>
          <t>ÖREBRO LÄN</t>
        </is>
      </c>
      <c r="E3384" t="inlineStr">
        <is>
          <t>LINDESBERG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19049-2022</t>
        </is>
      </c>
      <c r="B3385" s="1" t="n">
        <v>44691</v>
      </c>
      <c r="C3385" s="1" t="n">
        <v>45797</v>
      </c>
      <c r="D3385" t="inlineStr">
        <is>
          <t>ÖREBRO LÄN</t>
        </is>
      </c>
      <c r="E3385" t="inlineStr">
        <is>
          <t>ÖREBRO</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19032-2022</t>
        </is>
      </c>
      <c r="B3386" s="1" t="n">
        <v>44691</v>
      </c>
      <c r="C3386" s="1" t="n">
        <v>45797</v>
      </c>
      <c r="D3386" t="inlineStr">
        <is>
          <t>ÖREBRO LÄN</t>
        </is>
      </c>
      <c r="E3386" t="inlineStr">
        <is>
          <t>LINDESBERG</t>
        </is>
      </c>
      <c r="G3386" t="n">
        <v>10.2</v>
      </c>
      <c r="H3386" t="n">
        <v>0</v>
      </c>
      <c r="I3386" t="n">
        <v>0</v>
      </c>
      <c r="J3386" t="n">
        <v>0</v>
      </c>
      <c r="K3386" t="n">
        <v>0</v>
      </c>
      <c r="L3386" t="n">
        <v>0</v>
      </c>
      <c r="M3386" t="n">
        <v>0</v>
      </c>
      <c r="N3386" t="n">
        <v>0</v>
      </c>
      <c r="O3386" t="n">
        <v>0</v>
      </c>
      <c r="P3386" t="n">
        <v>0</v>
      </c>
      <c r="Q3386" t="n">
        <v>0</v>
      </c>
      <c r="R3386" s="2" t="inlineStr"/>
      <c r="U3386">
        <f>HYPERLINK("https://klasma.github.io/Logging_1885/knärot/A 19032-2022 karta knärot.png", "A 19032-2022")</f>
        <v/>
      </c>
      <c r="V3386">
        <f>HYPERLINK("https://klasma.github.io/Logging_1885/klagomål/A 19032-2022 FSC-klagomål.docx", "A 19032-2022")</f>
        <v/>
      </c>
      <c r="W3386">
        <f>HYPERLINK("https://klasma.github.io/Logging_1885/klagomålsmail/A 19032-2022 FSC-klagomål mail.docx", "A 19032-2022")</f>
        <v/>
      </c>
      <c r="X3386">
        <f>HYPERLINK("https://klasma.github.io/Logging_1885/tillsyn/A 19032-2022 tillsynsbegäran.docx", "A 19032-2022")</f>
        <v/>
      </c>
      <c r="Y3386">
        <f>HYPERLINK("https://klasma.github.io/Logging_1885/tillsynsmail/A 19032-2022 tillsynsbegäran mail.docx", "A 19032-2022")</f>
        <v/>
      </c>
    </row>
    <row r="3387" ht="15" customHeight="1">
      <c r="A3387" t="inlineStr">
        <is>
          <t>A 19029-2022</t>
        </is>
      </c>
      <c r="B3387" s="1" t="n">
        <v>44691</v>
      </c>
      <c r="C3387" s="1" t="n">
        <v>45797</v>
      </c>
      <c r="D3387" t="inlineStr">
        <is>
          <t>ÖREBRO LÄN</t>
        </is>
      </c>
      <c r="E3387" t="inlineStr">
        <is>
          <t>LINDESBERG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19057-2022</t>
        </is>
      </c>
      <c r="B3388" s="1" t="n">
        <v>44691</v>
      </c>
      <c r="C3388" s="1" t="n">
        <v>45797</v>
      </c>
      <c r="D3388" t="inlineStr">
        <is>
          <t>ÖREBRO LÄN</t>
        </is>
      </c>
      <c r="E3388" t="inlineStr">
        <is>
          <t>LINDESBERG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19183-2022</t>
        </is>
      </c>
      <c r="B3389" s="1" t="n">
        <v>44691</v>
      </c>
      <c r="C3389" s="1" t="n">
        <v>45797</v>
      </c>
      <c r="D3389" t="inlineStr">
        <is>
          <t>ÖREBRO LÄN</t>
        </is>
      </c>
      <c r="E3389" t="inlineStr">
        <is>
          <t>NORA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19221-2022</t>
        </is>
      </c>
      <c r="B3390" s="1" t="n">
        <v>44692</v>
      </c>
      <c r="C3390" s="1" t="n">
        <v>45797</v>
      </c>
      <c r="D3390" t="inlineStr">
        <is>
          <t>ÖREBRO LÄN</t>
        </is>
      </c>
      <c r="E3390" t="inlineStr">
        <is>
          <t>ASKERSUND</t>
        </is>
      </c>
      <c r="F3390" t="inlineStr">
        <is>
          <t>Sveaskog</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19254-2022</t>
        </is>
      </c>
      <c r="B3391" s="1" t="n">
        <v>44692</v>
      </c>
      <c r="C3391" s="1" t="n">
        <v>45797</v>
      </c>
      <c r="D3391" t="inlineStr">
        <is>
          <t>ÖREBRO LÄN</t>
        </is>
      </c>
      <c r="E3391" t="inlineStr">
        <is>
          <t>LJUSNARSBERG</t>
        </is>
      </c>
      <c r="F3391" t="inlineStr">
        <is>
          <t>Bergvik skog väst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19367-2022</t>
        </is>
      </c>
      <c r="B3392" s="1" t="n">
        <v>44692</v>
      </c>
      <c r="C3392" s="1" t="n">
        <v>45797</v>
      </c>
      <c r="D3392" t="inlineStr">
        <is>
          <t>ÖREBRO LÄN</t>
        </is>
      </c>
      <c r="E3392" t="inlineStr">
        <is>
          <t>HÄLLEFORS</t>
        </is>
      </c>
      <c r="F3392" t="inlineStr">
        <is>
          <t>Bergvik skog väst AB</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19371-2022</t>
        </is>
      </c>
      <c r="B3393" s="1" t="n">
        <v>44692</v>
      </c>
      <c r="C3393" s="1" t="n">
        <v>45797</v>
      </c>
      <c r="D3393" t="inlineStr">
        <is>
          <t>ÖREBRO LÄN</t>
        </is>
      </c>
      <c r="E3393" t="inlineStr">
        <is>
          <t>DEGERFORS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19562-2022</t>
        </is>
      </c>
      <c r="B3394" s="1" t="n">
        <v>44693</v>
      </c>
      <c r="C3394" s="1" t="n">
        <v>45797</v>
      </c>
      <c r="D3394" t="inlineStr">
        <is>
          <t>ÖREBRO LÄN</t>
        </is>
      </c>
      <c r="E3394" t="inlineStr">
        <is>
          <t>LINDESBERG</t>
        </is>
      </c>
      <c r="F3394" t="inlineStr">
        <is>
          <t>Kyrkan</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19458-2022</t>
        </is>
      </c>
      <c r="B3395" s="1" t="n">
        <v>44693</v>
      </c>
      <c r="C3395" s="1" t="n">
        <v>45797</v>
      </c>
      <c r="D3395" t="inlineStr">
        <is>
          <t>ÖREBRO LÄN</t>
        </is>
      </c>
      <c r="E3395" t="inlineStr">
        <is>
          <t>ÖREBRO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19668-2022</t>
        </is>
      </c>
      <c r="B3396" s="1" t="n">
        <v>44694</v>
      </c>
      <c r="C3396" s="1" t="n">
        <v>45797</v>
      </c>
      <c r="D3396" t="inlineStr">
        <is>
          <t>ÖREBRO LÄN</t>
        </is>
      </c>
      <c r="E3396" t="inlineStr">
        <is>
          <t>LINDESBERG</t>
        </is>
      </c>
      <c r="F3396" t="inlineStr">
        <is>
          <t>Naturvårdsverket</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19612-2022</t>
        </is>
      </c>
      <c r="B3397" s="1" t="n">
        <v>44694</v>
      </c>
      <c r="C3397" s="1" t="n">
        <v>45797</v>
      </c>
      <c r="D3397" t="inlineStr">
        <is>
          <t>ÖREBRO LÄN</t>
        </is>
      </c>
      <c r="E3397" t="inlineStr">
        <is>
          <t>LINDESBERG</t>
        </is>
      </c>
      <c r="F3397" t="inlineStr">
        <is>
          <t>Kyrkan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19625-2022</t>
        </is>
      </c>
      <c r="B3398" s="1" t="n">
        <v>44694</v>
      </c>
      <c r="C3398" s="1" t="n">
        <v>45797</v>
      </c>
      <c r="D3398" t="inlineStr">
        <is>
          <t>ÖREBRO LÄN</t>
        </is>
      </c>
      <c r="E3398" t="inlineStr">
        <is>
          <t>LINDESBERG</t>
        </is>
      </c>
      <c r="F3398" t="inlineStr">
        <is>
          <t>Kyrkan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19859-2022</t>
        </is>
      </c>
      <c r="B3399" s="1" t="n">
        <v>44694</v>
      </c>
      <c r="C3399" s="1" t="n">
        <v>45797</v>
      </c>
      <c r="D3399" t="inlineStr">
        <is>
          <t>ÖREBRO LÄN</t>
        </is>
      </c>
      <c r="E3399" t="inlineStr">
        <is>
          <t>LJUSNARSBERG</t>
        </is>
      </c>
      <c r="F3399" t="inlineStr">
        <is>
          <t>Bergvik skog väst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19857-2022</t>
        </is>
      </c>
      <c r="B3400" s="1" t="n">
        <v>44694</v>
      </c>
      <c r="C3400" s="1" t="n">
        <v>45797</v>
      </c>
      <c r="D3400" t="inlineStr">
        <is>
          <t>ÖREBRO LÄN</t>
        </is>
      </c>
      <c r="E3400" t="inlineStr">
        <is>
          <t>LJUSNARSBERG</t>
        </is>
      </c>
      <c r="F3400" t="inlineStr">
        <is>
          <t>Bergvik skog väst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19832-2022</t>
        </is>
      </c>
      <c r="B3401" s="1" t="n">
        <v>44695</v>
      </c>
      <c r="C3401" s="1" t="n">
        <v>45797</v>
      </c>
      <c r="D3401" t="inlineStr">
        <is>
          <t>ÖREBRO LÄN</t>
        </is>
      </c>
      <c r="E3401" t="inlineStr">
        <is>
          <t>ÖREBRO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19849-2022</t>
        </is>
      </c>
      <c r="B3402" s="1" t="n">
        <v>44696</v>
      </c>
      <c r="C3402" s="1" t="n">
        <v>45797</v>
      </c>
      <c r="D3402" t="inlineStr">
        <is>
          <t>ÖREBRO LÄN</t>
        </is>
      </c>
      <c r="E3402" t="inlineStr">
        <is>
          <t>HALLSBERG</t>
        </is>
      </c>
      <c r="F3402" t="inlineStr">
        <is>
          <t>Sveaskog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19853-2022</t>
        </is>
      </c>
      <c r="B3403" s="1" t="n">
        <v>44697</v>
      </c>
      <c r="C3403" s="1" t="n">
        <v>45797</v>
      </c>
      <c r="D3403" t="inlineStr">
        <is>
          <t>ÖREBRO LÄN</t>
        </is>
      </c>
      <c r="E3403" t="inlineStr">
        <is>
          <t>HALLSBERG</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19863-2022</t>
        </is>
      </c>
      <c r="B3404" s="1" t="n">
        <v>44696</v>
      </c>
      <c r="C3404" s="1" t="n">
        <v>45797</v>
      </c>
      <c r="D3404" t="inlineStr">
        <is>
          <t>ÖREBRO LÄN</t>
        </is>
      </c>
      <c r="E3404" t="inlineStr">
        <is>
          <t>ÖREBRO</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19855-2022</t>
        </is>
      </c>
      <c r="B3405" s="1" t="n">
        <v>44697</v>
      </c>
      <c r="C3405" s="1" t="n">
        <v>45797</v>
      </c>
      <c r="D3405" t="inlineStr">
        <is>
          <t>ÖREBRO LÄN</t>
        </is>
      </c>
      <c r="E3405" t="inlineStr">
        <is>
          <t>HALLSBERG</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19864-2022</t>
        </is>
      </c>
      <c r="B3406" s="1" t="n">
        <v>44697</v>
      </c>
      <c r="C3406" s="1" t="n">
        <v>45797</v>
      </c>
      <c r="D3406" t="inlineStr">
        <is>
          <t>ÖREBRO LÄN</t>
        </is>
      </c>
      <c r="E3406" t="inlineStr">
        <is>
          <t>HÄLLEFORS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20011-2022</t>
        </is>
      </c>
      <c r="B3407" s="1" t="n">
        <v>44697</v>
      </c>
      <c r="C3407" s="1" t="n">
        <v>45797</v>
      </c>
      <c r="D3407" t="inlineStr">
        <is>
          <t>ÖREBRO LÄN</t>
        </is>
      </c>
      <c r="E3407" t="inlineStr">
        <is>
          <t>LINDESBERG</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19997-2022</t>
        </is>
      </c>
      <c r="B3408" s="1" t="n">
        <v>44697</v>
      </c>
      <c r="C3408" s="1" t="n">
        <v>45797</v>
      </c>
      <c r="D3408" t="inlineStr">
        <is>
          <t>ÖREBRO LÄN</t>
        </is>
      </c>
      <c r="E3408" t="inlineStr">
        <is>
          <t>ASKERSUND</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20079-2022</t>
        </is>
      </c>
      <c r="B3409" s="1" t="n">
        <v>44698</v>
      </c>
      <c r="C3409" s="1" t="n">
        <v>45797</v>
      </c>
      <c r="D3409" t="inlineStr">
        <is>
          <t>ÖREBRO LÄN</t>
        </is>
      </c>
      <c r="E3409" t="inlineStr">
        <is>
          <t>ASKERSUND</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20238-2022</t>
        </is>
      </c>
      <c r="B3410" s="1" t="n">
        <v>44698</v>
      </c>
      <c r="C3410" s="1" t="n">
        <v>45797</v>
      </c>
      <c r="D3410" t="inlineStr">
        <is>
          <t>ÖREBRO LÄN</t>
        </is>
      </c>
      <c r="E3410" t="inlineStr">
        <is>
          <t>LINDESBERG</t>
        </is>
      </c>
      <c r="F3410" t="inlineStr">
        <is>
          <t>Naturvårdsverket</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20354-2022</t>
        </is>
      </c>
      <c r="B3411" s="1" t="n">
        <v>44699</v>
      </c>
      <c r="C3411" s="1" t="n">
        <v>45797</v>
      </c>
      <c r="D3411" t="inlineStr">
        <is>
          <t>ÖREBRO LÄN</t>
        </is>
      </c>
      <c r="E3411" t="inlineStr">
        <is>
          <t>HÄLLEFORS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20439-2022</t>
        </is>
      </c>
      <c r="B3412" s="1" t="n">
        <v>44699</v>
      </c>
      <c r="C3412" s="1" t="n">
        <v>45797</v>
      </c>
      <c r="D3412" t="inlineStr">
        <is>
          <t>ÖREBRO LÄN</t>
        </is>
      </c>
      <c r="E3412" t="inlineStr">
        <is>
          <t>ASKERSUND</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20437-2022</t>
        </is>
      </c>
      <c r="B3413" s="1" t="n">
        <v>44699</v>
      </c>
      <c r="C3413" s="1" t="n">
        <v>45797</v>
      </c>
      <c r="D3413" t="inlineStr">
        <is>
          <t>ÖREBRO LÄN</t>
        </is>
      </c>
      <c r="E3413" t="inlineStr">
        <is>
          <t>ASKERSUND</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20797-2022</t>
        </is>
      </c>
      <c r="B3414" s="1" t="n">
        <v>44701</v>
      </c>
      <c r="C3414" s="1" t="n">
        <v>45797</v>
      </c>
      <c r="D3414" t="inlineStr">
        <is>
          <t>ÖREBRO LÄN</t>
        </is>
      </c>
      <c r="E3414" t="inlineStr">
        <is>
          <t>LJUSNARSBERG</t>
        </is>
      </c>
      <c r="F3414" t="inlineStr">
        <is>
          <t>Bergvik skog väst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20787-2022</t>
        </is>
      </c>
      <c r="B3415" s="1" t="n">
        <v>44701</v>
      </c>
      <c r="C3415" s="1" t="n">
        <v>45797</v>
      </c>
      <c r="D3415" t="inlineStr">
        <is>
          <t>ÖREBRO LÄN</t>
        </is>
      </c>
      <c r="E3415" t="inlineStr">
        <is>
          <t>LEKEBERG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20930-2022</t>
        </is>
      </c>
      <c r="B3416" s="1" t="n">
        <v>44701</v>
      </c>
      <c r="C3416" s="1" t="n">
        <v>45797</v>
      </c>
      <c r="D3416" t="inlineStr">
        <is>
          <t>ÖREBRO LÄN</t>
        </is>
      </c>
      <c r="E3416" t="inlineStr">
        <is>
          <t>LINDESBERG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20934-2022</t>
        </is>
      </c>
      <c r="B3417" s="1" t="n">
        <v>44701</v>
      </c>
      <c r="C3417" s="1" t="n">
        <v>45797</v>
      </c>
      <c r="D3417" t="inlineStr">
        <is>
          <t>ÖREBRO LÄN</t>
        </is>
      </c>
      <c r="E3417" t="inlineStr">
        <is>
          <t>LINDESBERG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20896-2022</t>
        </is>
      </c>
      <c r="B3418" s="1" t="n">
        <v>44701</v>
      </c>
      <c r="C3418" s="1" t="n">
        <v>45797</v>
      </c>
      <c r="D3418" t="inlineStr">
        <is>
          <t>ÖREBRO LÄN</t>
        </is>
      </c>
      <c r="E3418" t="inlineStr">
        <is>
          <t>KUMLA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20922-2022</t>
        </is>
      </c>
      <c r="B3419" s="1" t="n">
        <v>44701</v>
      </c>
      <c r="C3419" s="1" t="n">
        <v>45797</v>
      </c>
      <c r="D3419" t="inlineStr">
        <is>
          <t>ÖREBRO LÄN</t>
        </is>
      </c>
      <c r="E3419" t="inlineStr">
        <is>
          <t>ÖREBRO</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21109-2022</t>
        </is>
      </c>
      <c r="B3420" s="1" t="n">
        <v>44704</v>
      </c>
      <c r="C3420" s="1" t="n">
        <v>45797</v>
      </c>
      <c r="D3420" t="inlineStr">
        <is>
          <t>ÖREBRO LÄN</t>
        </is>
      </c>
      <c r="E3420" t="inlineStr">
        <is>
          <t>ÖREBRO</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21343-2022</t>
        </is>
      </c>
      <c r="B3421" s="1" t="n">
        <v>44705</v>
      </c>
      <c r="C3421" s="1" t="n">
        <v>45797</v>
      </c>
      <c r="D3421" t="inlineStr">
        <is>
          <t>ÖREBRO LÄN</t>
        </is>
      </c>
      <c r="E3421" t="inlineStr">
        <is>
          <t>HALLSBERG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21529-2022</t>
        </is>
      </c>
      <c r="B3422" s="1" t="n">
        <v>44706</v>
      </c>
      <c r="C3422" s="1" t="n">
        <v>45797</v>
      </c>
      <c r="D3422" t="inlineStr">
        <is>
          <t>ÖREBRO LÄN</t>
        </is>
      </c>
      <c r="E3422" t="inlineStr">
        <is>
          <t>DEGERFORS</t>
        </is>
      </c>
      <c r="F3422" t="inlineStr">
        <is>
          <t>Sveaskog</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21512-2022</t>
        </is>
      </c>
      <c r="B3423" s="1" t="n">
        <v>44706</v>
      </c>
      <c r="C3423" s="1" t="n">
        <v>45797</v>
      </c>
      <c r="D3423" t="inlineStr">
        <is>
          <t>ÖREBRO LÄN</t>
        </is>
      </c>
      <c r="E3423" t="inlineStr">
        <is>
          <t>DEGERFORS</t>
        </is>
      </c>
      <c r="F3423" t="inlineStr">
        <is>
          <t>Sveaskog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21567-2022</t>
        </is>
      </c>
      <c r="B3424" s="1" t="n">
        <v>44706</v>
      </c>
      <c r="C3424" s="1" t="n">
        <v>45797</v>
      </c>
      <c r="D3424" t="inlineStr">
        <is>
          <t>ÖREBRO LÄN</t>
        </is>
      </c>
      <c r="E3424" t="inlineStr">
        <is>
          <t>ÖREBRO</t>
        </is>
      </c>
      <c r="F3424" t="inlineStr">
        <is>
          <t>Övriga Aktiebolag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21606-2022</t>
        </is>
      </c>
      <c r="B3425" s="1" t="n">
        <v>44706</v>
      </c>
      <c r="C3425" s="1" t="n">
        <v>45797</v>
      </c>
      <c r="D3425" t="inlineStr">
        <is>
          <t>ÖREBRO LÄN</t>
        </is>
      </c>
      <c r="E3425" t="inlineStr">
        <is>
          <t>LINDESBERG</t>
        </is>
      </c>
      <c r="F3425" t="inlineStr">
        <is>
          <t>Sveaskog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21612-2022</t>
        </is>
      </c>
      <c r="B3426" s="1" t="n">
        <v>44706</v>
      </c>
      <c r="C3426" s="1" t="n">
        <v>45797</v>
      </c>
      <c r="D3426" t="inlineStr">
        <is>
          <t>ÖREBRO LÄN</t>
        </is>
      </c>
      <c r="E3426" t="inlineStr">
        <is>
          <t>KARLSKOGA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21622-2022</t>
        </is>
      </c>
      <c r="B3427" s="1" t="n">
        <v>44706</v>
      </c>
      <c r="C3427" s="1" t="n">
        <v>45797</v>
      </c>
      <c r="D3427" t="inlineStr">
        <is>
          <t>ÖREBRO LÄN</t>
        </is>
      </c>
      <c r="E3427" t="inlineStr">
        <is>
          <t>KARLSKOGA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21695-2022</t>
        </is>
      </c>
      <c r="B3428" s="1" t="n">
        <v>44707</v>
      </c>
      <c r="C3428" s="1" t="n">
        <v>45797</v>
      </c>
      <c r="D3428" t="inlineStr">
        <is>
          <t>ÖREBRO LÄN</t>
        </is>
      </c>
      <c r="E3428" t="inlineStr">
        <is>
          <t>NORA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21696-2022</t>
        </is>
      </c>
      <c r="B3429" s="1" t="n">
        <v>44707</v>
      </c>
      <c r="C3429" s="1" t="n">
        <v>45797</v>
      </c>
      <c r="D3429" t="inlineStr">
        <is>
          <t>ÖREBRO LÄN</t>
        </is>
      </c>
      <c r="E3429" t="inlineStr">
        <is>
          <t>NORA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21801-2022</t>
        </is>
      </c>
      <c r="B3430" s="1" t="n">
        <v>44708</v>
      </c>
      <c r="C3430" s="1" t="n">
        <v>45797</v>
      </c>
      <c r="D3430" t="inlineStr">
        <is>
          <t>ÖREBRO LÄN</t>
        </is>
      </c>
      <c r="E3430" t="inlineStr">
        <is>
          <t>HÄLLEFORS</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21746-2022</t>
        </is>
      </c>
      <c r="B3431" s="1" t="n">
        <v>44708</v>
      </c>
      <c r="C3431" s="1" t="n">
        <v>45797</v>
      </c>
      <c r="D3431" t="inlineStr">
        <is>
          <t>ÖREBRO LÄN</t>
        </is>
      </c>
      <c r="E3431" t="inlineStr">
        <is>
          <t>LJUSNARSBERG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21764-2022</t>
        </is>
      </c>
      <c r="B3432" s="1" t="n">
        <v>44708</v>
      </c>
      <c r="C3432" s="1" t="n">
        <v>45797</v>
      </c>
      <c r="D3432" t="inlineStr">
        <is>
          <t>ÖREBRO LÄN</t>
        </is>
      </c>
      <c r="E3432" t="inlineStr">
        <is>
          <t>LAXÅ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22137-2022</t>
        </is>
      </c>
      <c r="B3433" s="1" t="n">
        <v>44712</v>
      </c>
      <c r="C3433" s="1" t="n">
        <v>45797</v>
      </c>
      <c r="D3433" t="inlineStr">
        <is>
          <t>ÖREBRO LÄN</t>
        </is>
      </c>
      <c r="E3433" t="inlineStr">
        <is>
          <t>LEKEBERG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22153-2022</t>
        </is>
      </c>
      <c r="B3434" s="1" t="n">
        <v>44712</v>
      </c>
      <c r="C3434" s="1" t="n">
        <v>45797</v>
      </c>
      <c r="D3434" t="inlineStr">
        <is>
          <t>ÖREBRO LÄN</t>
        </is>
      </c>
      <c r="E3434" t="inlineStr">
        <is>
          <t>ÖREBRO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22353-2022</t>
        </is>
      </c>
      <c r="B3435" s="1" t="n">
        <v>44713</v>
      </c>
      <c r="C3435" s="1" t="n">
        <v>45797</v>
      </c>
      <c r="D3435" t="inlineStr">
        <is>
          <t>ÖREBRO LÄN</t>
        </is>
      </c>
      <c r="E3435" t="inlineStr">
        <is>
          <t>ASKERSUND</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22355-2022</t>
        </is>
      </c>
      <c r="B3436" s="1" t="n">
        <v>44713</v>
      </c>
      <c r="C3436" s="1" t="n">
        <v>45797</v>
      </c>
      <c r="D3436" t="inlineStr">
        <is>
          <t>ÖREBRO LÄN</t>
        </is>
      </c>
      <c r="E3436" t="inlineStr">
        <is>
          <t>ASKERSUND</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22465-2022</t>
        </is>
      </c>
      <c r="B3437" s="1" t="n">
        <v>44713</v>
      </c>
      <c r="C3437" s="1" t="n">
        <v>45797</v>
      </c>
      <c r="D3437" t="inlineStr">
        <is>
          <t>ÖREBRO LÄN</t>
        </is>
      </c>
      <c r="E3437" t="inlineStr">
        <is>
          <t>LINDESBERG</t>
        </is>
      </c>
      <c r="F3437" t="inlineStr">
        <is>
          <t>Sveaskog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22454-2022</t>
        </is>
      </c>
      <c r="B3438" s="1" t="n">
        <v>44713</v>
      </c>
      <c r="C3438" s="1" t="n">
        <v>45797</v>
      </c>
      <c r="D3438" t="inlineStr">
        <is>
          <t>ÖREBRO LÄN</t>
        </is>
      </c>
      <c r="E3438" t="inlineStr">
        <is>
          <t>LINDESBERG</t>
        </is>
      </c>
      <c r="F3438" t="inlineStr">
        <is>
          <t>Sveaskog</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22481-2022</t>
        </is>
      </c>
      <c r="B3439" s="1" t="n">
        <v>44713</v>
      </c>
      <c r="C3439" s="1" t="n">
        <v>45797</v>
      </c>
      <c r="D3439" t="inlineStr">
        <is>
          <t>ÖREBRO LÄN</t>
        </is>
      </c>
      <c r="E3439" t="inlineStr">
        <is>
          <t>LINDESBERG</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22665-2022</t>
        </is>
      </c>
      <c r="B3440" s="1" t="n">
        <v>44714</v>
      </c>
      <c r="C3440" s="1" t="n">
        <v>45797</v>
      </c>
      <c r="D3440" t="inlineStr">
        <is>
          <t>ÖREBRO LÄN</t>
        </is>
      </c>
      <c r="E3440" t="inlineStr">
        <is>
          <t>ASKERSUND</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22673-2022</t>
        </is>
      </c>
      <c r="B3441" s="1" t="n">
        <v>44714</v>
      </c>
      <c r="C3441" s="1" t="n">
        <v>45797</v>
      </c>
      <c r="D3441" t="inlineStr">
        <is>
          <t>ÖREBRO LÄN</t>
        </is>
      </c>
      <c r="E3441" t="inlineStr">
        <is>
          <t>HÄLLEFORS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22650-2022</t>
        </is>
      </c>
      <c r="B3442" s="1" t="n">
        <v>44714</v>
      </c>
      <c r="C3442" s="1" t="n">
        <v>45797</v>
      </c>
      <c r="D3442" t="inlineStr">
        <is>
          <t>ÖREBRO LÄN</t>
        </is>
      </c>
      <c r="E3442" t="inlineStr">
        <is>
          <t>NORA</t>
        </is>
      </c>
      <c r="F3442" t="inlineStr">
        <is>
          <t>Kommuner</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22677-2022</t>
        </is>
      </c>
      <c r="B3443" s="1" t="n">
        <v>44714</v>
      </c>
      <c r="C3443" s="1" t="n">
        <v>45797</v>
      </c>
      <c r="D3443" t="inlineStr">
        <is>
          <t>ÖREBRO LÄN</t>
        </is>
      </c>
      <c r="E3443" t="inlineStr">
        <is>
          <t>ÖREBRO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22738-2022</t>
        </is>
      </c>
      <c r="B3444" s="1" t="n">
        <v>44714</v>
      </c>
      <c r="C3444" s="1" t="n">
        <v>45797</v>
      </c>
      <c r="D3444" t="inlineStr">
        <is>
          <t>ÖREBRO LÄN</t>
        </is>
      </c>
      <c r="E3444" t="inlineStr">
        <is>
          <t>LINDESBERG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22878-2022</t>
        </is>
      </c>
      <c r="B3445" s="1" t="n">
        <v>44715</v>
      </c>
      <c r="C3445" s="1" t="n">
        <v>45797</v>
      </c>
      <c r="D3445" t="inlineStr">
        <is>
          <t>ÖREBRO LÄN</t>
        </is>
      </c>
      <c r="E3445" t="inlineStr">
        <is>
          <t>LJUSNARSBERG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22871-2022</t>
        </is>
      </c>
      <c r="B3446" s="1" t="n">
        <v>44715</v>
      </c>
      <c r="C3446" s="1" t="n">
        <v>45797</v>
      </c>
      <c r="D3446" t="inlineStr">
        <is>
          <t>ÖREBRO LÄN</t>
        </is>
      </c>
      <c r="E3446" t="inlineStr">
        <is>
          <t>LJUSNARSBERG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22861-2022</t>
        </is>
      </c>
      <c r="B3447" s="1" t="n">
        <v>44715</v>
      </c>
      <c r="C3447" s="1" t="n">
        <v>45797</v>
      </c>
      <c r="D3447" t="inlineStr">
        <is>
          <t>ÖREBRO LÄN</t>
        </is>
      </c>
      <c r="E3447" t="inlineStr">
        <is>
          <t>KARLSKOGA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22867-2022</t>
        </is>
      </c>
      <c r="B3448" s="1" t="n">
        <v>44715</v>
      </c>
      <c r="C3448" s="1" t="n">
        <v>45797</v>
      </c>
      <c r="D3448" t="inlineStr">
        <is>
          <t>ÖREBRO LÄN</t>
        </is>
      </c>
      <c r="E3448" t="inlineStr">
        <is>
          <t>KARLSKOGA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23121-2022</t>
        </is>
      </c>
      <c r="B3449" s="1" t="n">
        <v>44719</v>
      </c>
      <c r="C3449" s="1" t="n">
        <v>45797</v>
      </c>
      <c r="D3449" t="inlineStr">
        <is>
          <t>ÖREBRO LÄN</t>
        </is>
      </c>
      <c r="E3449" t="inlineStr">
        <is>
          <t>HÄLLEFORS</t>
        </is>
      </c>
      <c r="F3449" t="inlineStr">
        <is>
          <t>Bergvik skog väst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23022-2022</t>
        </is>
      </c>
      <c r="B3450" s="1" t="n">
        <v>44719</v>
      </c>
      <c r="C3450" s="1" t="n">
        <v>45797</v>
      </c>
      <c r="D3450" t="inlineStr">
        <is>
          <t>ÖREBRO LÄN</t>
        </is>
      </c>
      <c r="E3450" t="inlineStr">
        <is>
          <t>HÄLLEFORS</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23064-2022</t>
        </is>
      </c>
      <c r="B3451" s="1" t="n">
        <v>44719</v>
      </c>
      <c r="C3451" s="1" t="n">
        <v>45797</v>
      </c>
      <c r="D3451" t="inlineStr">
        <is>
          <t>ÖREBRO LÄN</t>
        </is>
      </c>
      <c r="E3451" t="inlineStr">
        <is>
          <t>DEGERFORS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23066-2022</t>
        </is>
      </c>
      <c r="B3452" s="1" t="n">
        <v>44719</v>
      </c>
      <c r="C3452" s="1" t="n">
        <v>45797</v>
      </c>
      <c r="D3452" t="inlineStr">
        <is>
          <t>ÖREBRO LÄN</t>
        </is>
      </c>
      <c r="E3452" t="inlineStr">
        <is>
          <t>DEGERFORS</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23058-2022</t>
        </is>
      </c>
      <c r="B3453" s="1" t="n">
        <v>44719</v>
      </c>
      <c r="C3453" s="1" t="n">
        <v>45797</v>
      </c>
      <c r="D3453" t="inlineStr">
        <is>
          <t>ÖREBRO LÄN</t>
        </is>
      </c>
      <c r="E3453" t="inlineStr">
        <is>
          <t>DEGERFORS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23263-2022</t>
        </is>
      </c>
      <c r="B3454" s="1" t="n">
        <v>44720</v>
      </c>
      <c r="C3454" s="1" t="n">
        <v>45797</v>
      </c>
      <c r="D3454" t="inlineStr">
        <is>
          <t>ÖREBRO LÄN</t>
        </is>
      </c>
      <c r="E3454" t="inlineStr">
        <is>
          <t>KARLSKOGA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23346-2022</t>
        </is>
      </c>
      <c r="B3455" s="1" t="n">
        <v>44720</v>
      </c>
      <c r="C3455" s="1" t="n">
        <v>45797</v>
      </c>
      <c r="D3455" t="inlineStr">
        <is>
          <t>ÖREBRO LÄN</t>
        </is>
      </c>
      <c r="E3455" t="inlineStr">
        <is>
          <t>LJUSNARSBERG</t>
        </is>
      </c>
      <c r="F3455" t="inlineStr">
        <is>
          <t>Bergvik skog väst AB</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23330-2022</t>
        </is>
      </c>
      <c r="B3456" s="1" t="n">
        <v>44720</v>
      </c>
      <c r="C3456" s="1" t="n">
        <v>45797</v>
      </c>
      <c r="D3456" t="inlineStr">
        <is>
          <t>ÖREBRO LÄN</t>
        </is>
      </c>
      <c r="E3456" t="inlineStr">
        <is>
          <t>HALLSBERG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23372-2022</t>
        </is>
      </c>
      <c r="B3457" s="1" t="n">
        <v>44720</v>
      </c>
      <c r="C3457" s="1" t="n">
        <v>45797</v>
      </c>
      <c r="D3457" t="inlineStr">
        <is>
          <t>ÖREBRO LÄN</t>
        </is>
      </c>
      <c r="E3457" t="inlineStr">
        <is>
          <t>LJUSNARSBERG</t>
        </is>
      </c>
      <c r="F3457" t="inlineStr">
        <is>
          <t>Bergvik skog väst AB</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23380-2022</t>
        </is>
      </c>
      <c r="B3458" s="1" t="n">
        <v>44720</v>
      </c>
      <c r="C3458" s="1" t="n">
        <v>45797</v>
      </c>
      <c r="D3458" t="inlineStr">
        <is>
          <t>ÖREBRO LÄN</t>
        </is>
      </c>
      <c r="E3458" t="inlineStr">
        <is>
          <t>LJUSNARSBERG</t>
        </is>
      </c>
      <c r="F3458" t="inlineStr">
        <is>
          <t>Bergvik skog väst AB</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23583-2022</t>
        </is>
      </c>
      <c r="B3459" s="1" t="n">
        <v>44721</v>
      </c>
      <c r="C3459" s="1" t="n">
        <v>45797</v>
      </c>
      <c r="D3459" t="inlineStr">
        <is>
          <t>ÖREBRO LÄN</t>
        </is>
      </c>
      <c r="E3459" t="inlineStr">
        <is>
          <t>LINDESBERG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23459-2022</t>
        </is>
      </c>
      <c r="B3460" s="1" t="n">
        <v>44721</v>
      </c>
      <c r="C3460" s="1" t="n">
        <v>45797</v>
      </c>
      <c r="D3460" t="inlineStr">
        <is>
          <t>ÖREBRO LÄN</t>
        </is>
      </c>
      <c r="E3460" t="inlineStr">
        <is>
          <t>ÖREBRO</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23535-2022</t>
        </is>
      </c>
      <c r="B3461" s="1" t="n">
        <v>44721</v>
      </c>
      <c r="C3461" s="1" t="n">
        <v>45797</v>
      </c>
      <c r="D3461" t="inlineStr">
        <is>
          <t>ÖREBRO LÄN</t>
        </is>
      </c>
      <c r="E3461" t="inlineStr">
        <is>
          <t>NORA</t>
        </is>
      </c>
      <c r="F3461" t="inlineStr">
        <is>
          <t>Övriga Aktiebolag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23579-2022</t>
        </is>
      </c>
      <c r="B3462" s="1" t="n">
        <v>44721</v>
      </c>
      <c r="C3462" s="1" t="n">
        <v>45797</v>
      </c>
      <c r="D3462" t="inlineStr">
        <is>
          <t>ÖREBRO LÄN</t>
        </is>
      </c>
      <c r="E3462" t="inlineStr">
        <is>
          <t>LINDESBERG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23665-2022</t>
        </is>
      </c>
      <c r="B3463" s="1" t="n">
        <v>44721</v>
      </c>
      <c r="C3463" s="1" t="n">
        <v>45797</v>
      </c>
      <c r="D3463" t="inlineStr">
        <is>
          <t>ÖREBRO LÄN</t>
        </is>
      </c>
      <c r="E3463" t="inlineStr">
        <is>
          <t>HÄLLEFORS</t>
        </is>
      </c>
      <c r="F3463" t="inlineStr">
        <is>
          <t>Bergvik skog väst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23700-2022</t>
        </is>
      </c>
      <c r="B3464" s="1" t="n">
        <v>44721</v>
      </c>
      <c r="C3464" s="1" t="n">
        <v>45797</v>
      </c>
      <c r="D3464" t="inlineStr">
        <is>
          <t>ÖREBRO LÄN</t>
        </is>
      </c>
      <c r="E3464" t="inlineStr">
        <is>
          <t>ASKERSUND</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23710-2022</t>
        </is>
      </c>
      <c r="B3465" s="1" t="n">
        <v>44722</v>
      </c>
      <c r="C3465" s="1" t="n">
        <v>45797</v>
      </c>
      <c r="D3465" t="inlineStr">
        <is>
          <t>ÖREBRO LÄN</t>
        </is>
      </c>
      <c r="E3465" t="inlineStr">
        <is>
          <t>ÖREBRO</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23719-2022</t>
        </is>
      </c>
      <c r="B3466" s="1" t="n">
        <v>44722</v>
      </c>
      <c r="C3466" s="1" t="n">
        <v>45797</v>
      </c>
      <c r="D3466" t="inlineStr">
        <is>
          <t>ÖREBRO LÄN</t>
        </is>
      </c>
      <c r="E3466" t="inlineStr">
        <is>
          <t>HÄLLEFORS</t>
        </is>
      </c>
      <c r="F3466" t="inlineStr">
        <is>
          <t>Bergvik skog väst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23741-2022</t>
        </is>
      </c>
      <c r="B3467" s="1" t="n">
        <v>44722</v>
      </c>
      <c r="C3467" s="1" t="n">
        <v>45797</v>
      </c>
      <c r="D3467" t="inlineStr">
        <is>
          <t>ÖREBRO LÄN</t>
        </is>
      </c>
      <c r="E3467" t="inlineStr">
        <is>
          <t>ÖREBRO</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23751-2022</t>
        </is>
      </c>
      <c r="B3468" s="1" t="n">
        <v>44722</v>
      </c>
      <c r="C3468" s="1" t="n">
        <v>45797</v>
      </c>
      <c r="D3468" t="inlineStr">
        <is>
          <t>ÖREBRO LÄN</t>
        </is>
      </c>
      <c r="E3468" t="inlineStr">
        <is>
          <t>LEKEBERG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23740-2022</t>
        </is>
      </c>
      <c r="B3469" s="1" t="n">
        <v>44722</v>
      </c>
      <c r="C3469" s="1" t="n">
        <v>45797</v>
      </c>
      <c r="D3469" t="inlineStr">
        <is>
          <t>ÖREBRO LÄN</t>
        </is>
      </c>
      <c r="E3469" t="inlineStr">
        <is>
          <t>LEKEBERG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23882-2022</t>
        </is>
      </c>
      <c r="B3470" s="1" t="n">
        <v>44722</v>
      </c>
      <c r="C3470" s="1" t="n">
        <v>45797</v>
      </c>
      <c r="D3470" t="inlineStr">
        <is>
          <t>ÖREBRO LÄN</t>
        </is>
      </c>
      <c r="E3470" t="inlineStr">
        <is>
          <t>HÄLLEFORS</t>
        </is>
      </c>
      <c r="F3470" t="inlineStr">
        <is>
          <t>Bergvik skog väst AB</t>
        </is>
      </c>
      <c r="G3470" t="n">
        <v>15.2</v>
      </c>
      <c r="H3470" t="n">
        <v>0</v>
      </c>
      <c r="I3470" t="n">
        <v>0</v>
      </c>
      <c r="J3470" t="n">
        <v>0</v>
      </c>
      <c r="K3470" t="n">
        <v>0</v>
      </c>
      <c r="L3470" t="n">
        <v>0</v>
      </c>
      <c r="M3470" t="n">
        <v>0</v>
      </c>
      <c r="N3470" t="n">
        <v>0</v>
      </c>
      <c r="O3470" t="n">
        <v>0</v>
      </c>
      <c r="P3470" t="n">
        <v>0</v>
      </c>
      <c r="Q3470" t="n">
        <v>0</v>
      </c>
      <c r="R3470" s="2" t="inlineStr"/>
    </row>
    <row r="3471" ht="15" customHeight="1">
      <c r="A3471" t="inlineStr">
        <is>
          <t>A 23939-2022</t>
        </is>
      </c>
      <c r="B3471" s="1" t="n">
        <v>44722</v>
      </c>
      <c r="C3471" s="1" t="n">
        <v>45797</v>
      </c>
      <c r="D3471" t="inlineStr">
        <is>
          <t>ÖREBRO LÄN</t>
        </is>
      </c>
      <c r="E3471" t="inlineStr">
        <is>
          <t>ÖREBRO</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23971-2022</t>
        </is>
      </c>
      <c r="B3472" s="1" t="n">
        <v>44722</v>
      </c>
      <c r="C3472" s="1" t="n">
        <v>45797</v>
      </c>
      <c r="D3472" t="inlineStr">
        <is>
          <t>ÖREBRO LÄN</t>
        </is>
      </c>
      <c r="E3472" t="inlineStr">
        <is>
          <t>LINDESBERG</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24077-2022</t>
        </is>
      </c>
      <c r="B3473" s="1" t="n">
        <v>44723</v>
      </c>
      <c r="C3473" s="1" t="n">
        <v>45797</v>
      </c>
      <c r="D3473" t="inlineStr">
        <is>
          <t>ÖREBRO LÄN</t>
        </is>
      </c>
      <c r="E3473" t="inlineStr">
        <is>
          <t>KUMLA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24079-2022</t>
        </is>
      </c>
      <c r="B3474" s="1" t="n">
        <v>44723</v>
      </c>
      <c r="C3474" s="1" t="n">
        <v>45797</v>
      </c>
      <c r="D3474" t="inlineStr">
        <is>
          <t>ÖREBRO LÄN</t>
        </is>
      </c>
      <c r="E3474" t="inlineStr">
        <is>
          <t>ASKERSUND</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24194-2022</t>
        </is>
      </c>
      <c r="B3475" s="1" t="n">
        <v>44725</v>
      </c>
      <c r="C3475" s="1" t="n">
        <v>45797</v>
      </c>
      <c r="D3475" t="inlineStr">
        <is>
          <t>ÖREBRO LÄN</t>
        </is>
      </c>
      <c r="E3475" t="inlineStr">
        <is>
          <t>LJUSNARSBERG</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24672-2022</t>
        </is>
      </c>
      <c r="B3476" s="1" t="n">
        <v>44727</v>
      </c>
      <c r="C3476" s="1" t="n">
        <v>45797</v>
      </c>
      <c r="D3476" t="inlineStr">
        <is>
          <t>ÖREBRO LÄN</t>
        </is>
      </c>
      <c r="E3476" t="inlineStr">
        <is>
          <t>ÖREBRO</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24758-2022</t>
        </is>
      </c>
      <c r="B3477" s="1" t="n">
        <v>44728</v>
      </c>
      <c r="C3477" s="1" t="n">
        <v>45797</v>
      </c>
      <c r="D3477" t="inlineStr">
        <is>
          <t>ÖREBRO LÄN</t>
        </is>
      </c>
      <c r="E3477" t="inlineStr">
        <is>
          <t>LINDESBERG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24916-2022</t>
        </is>
      </c>
      <c r="B3478" s="1" t="n">
        <v>44728</v>
      </c>
      <c r="C3478" s="1" t="n">
        <v>45797</v>
      </c>
      <c r="D3478" t="inlineStr">
        <is>
          <t>ÖREBRO LÄN</t>
        </is>
      </c>
      <c r="E3478" t="inlineStr">
        <is>
          <t>LINDESBERG</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25059-2022</t>
        </is>
      </c>
      <c r="B3479" s="1" t="n">
        <v>44729</v>
      </c>
      <c r="C3479" s="1" t="n">
        <v>45797</v>
      </c>
      <c r="D3479" t="inlineStr">
        <is>
          <t>ÖREBRO LÄN</t>
        </is>
      </c>
      <c r="E3479" t="inlineStr">
        <is>
          <t>ASKERSUND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25160-2022</t>
        </is>
      </c>
      <c r="B3480" s="1" t="n">
        <v>44729</v>
      </c>
      <c r="C3480" s="1" t="n">
        <v>45797</v>
      </c>
      <c r="D3480" t="inlineStr">
        <is>
          <t>ÖREBRO LÄN</t>
        </is>
      </c>
      <c r="E3480" t="inlineStr">
        <is>
          <t>NORA</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25132-2022</t>
        </is>
      </c>
      <c r="B3481" s="1" t="n">
        <v>44729</v>
      </c>
      <c r="C3481" s="1" t="n">
        <v>45797</v>
      </c>
      <c r="D3481" t="inlineStr">
        <is>
          <t>ÖREBRO LÄN</t>
        </is>
      </c>
      <c r="E3481" t="inlineStr">
        <is>
          <t>NORA</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25480-2022</t>
        </is>
      </c>
      <c r="B3482" s="1" t="n">
        <v>44732</v>
      </c>
      <c r="C3482" s="1" t="n">
        <v>45797</v>
      </c>
      <c r="D3482" t="inlineStr">
        <is>
          <t>ÖREBRO LÄN</t>
        </is>
      </c>
      <c r="E3482" t="inlineStr">
        <is>
          <t>HALLSBERG</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25459-2022</t>
        </is>
      </c>
      <c r="B3483" s="1" t="n">
        <v>44732</v>
      </c>
      <c r="C3483" s="1" t="n">
        <v>45797</v>
      </c>
      <c r="D3483" t="inlineStr">
        <is>
          <t>ÖREBRO LÄN</t>
        </is>
      </c>
      <c r="E3483" t="inlineStr">
        <is>
          <t>HALLSBERG</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25491-2022</t>
        </is>
      </c>
      <c r="B3484" s="1" t="n">
        <v>44732</v>
      </c>
      <c r="C3484" s="1" t="n">
        <v>45797</v>
      </c>
      <c r="D3484" t="inlineStr">
        <is>
          <t>ÖREBRO LÄN</t>
        </is>
      </c>
      <c r="E3484" t="inlineStr">
        <is>
          <t>HALLSBERG</t>
        </is>
      </c>
      <c r="F3484" t="inlineStr">
        <is>
          <t>Sveaskog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25548-2022</t>
        </is>
      </c>
      <c r="B3485" s="1" t="n">
        <v>44732</v>
      </c>
      <c r="C3485" s="1" t="n">
        <v>45797</v>
      </c>
      <c r="D3485" t="inlineStr">
        <is>
          <t>ÖREBRO LÄN</t>
        </is>
      </c>
      <c r="E3485" t="inlineStr">
        <is>
          <t>KARLSKOGA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25563-2022</t>
        </is>
      </c>
      <c r="B3486" s="1" t="n">
        <v>44732</v>
      </c>
      <c r="C3486" s="1" t="n">
        <v>45797</v>
      </c>
      <c r="D3486" t="inlineStr">
        <is>
          <t>ÖREBRO LÄN</t>
        </is>
      </c>
      <c r="E3486" t="inlineStr">
        <is>
          <t>LAXÅ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25597-2022</t>
        </is>
      </c>
      <c r="B3487" s="1" t="n">
        <v>44732</v>
      </c>
      <c r="C3487" s="1" t="n">
        <v>45797</v>
      </c>
      <c r="D3487" t="inlineStr">
        <is>
          <t>ÖREBRO LÄN</t>
        </is>
      </c>
      <c r="E3487" t="inlineStr">
        <is>
          <t>ÖREBRO</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25746-2022</t>
        </is>
      </c>
      <c r="B3488" s="1" t="n">
        <v>44733</v>
      </c>
      <c r="C3488" s="1" t="n">
        <v>45797</v>
      </c>
      <c r="D3488" t="inlineStr">
        <is>
          <t>ÖREBRO LÄN</t>
        </is>
      </c>
      <c r="E3488" t="inlineStr">
        <is>
          <t>ÖREBRO</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25808-2022</t>
        </is>
      </c>
      <c r="B3489" s="1" t="n">
        <v>44733</v>
      </c>
      <c r="C3489" s="1" t="n">
        <v>45797</v>
      </c>
      <c r="D3489" t="inlineStr">
        <is>
          <t>ÖREBRO LÄN</t>
        </is>
      </c>
      <c r="E3489" t="inlineStr">
        <is>
          <t>ASKERSUND</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25773-2022</t>
        </is>
      </c>
      <c r="B3490" s="1" t="n">
        <v>44733</v>
      </c>
      <c r="C3490" s="1" t="n">
        <v>45797</v>
      </c>
      <c r="D3490" t="inlineStr">
        <is>
          <t>ÖREBRO LÄN</t>
        </is>
      </c>
      <c r="E3490" t="inlineStr">
        <is>
          <t>LJUSNARSBERG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25833-2022</t>
        </is>
      </c>
      <c r="B3491" s="1" t="n">
        <v>44733</v>
      </c>
      <c r="C3491" s="1" t="n">
        <v>45797</v>
      </c>
      <c r="D3491" t="inlineStr">
        <is>
          <t>ÖREBRO LÄN</t>
        </is>
      </c>
      <c r="E3491" t="inlineStr">
        <is>
          <t>ASKERSUND</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25860-2022</t>
        </is>
      </c>
      <c r="B3492" s="1" t="n">
        <v>44733</v>
      </c>
      <c r="C3492" s="1" t="n">
        <v>45797</v>
      </c>
      <c r="D3492" t="inlineStr">
        <is>
          <t>ÖREBRO LÄN</t>
        </is>
      </c>
      <c r="E3492" t="inlineStr">
        <is>
          <t>ASKERSUND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25858-2022</t>
        </is>
      </c>
      <c r="B3493" s="1" t="n">
        <v>44733</v>
      </c>
      <c r="C3493" s="1" t="n">
        <v>45797</v>
      </c>
      <c r="D3493" t="inlineStr">
        <is>
          <t>ÖREBRO LÄN</t>
        </is>
      </c>
      <c r="E3493" t="inlineStr">
        <is>
          <t>ASKERSUND</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25885-2022</t>
        </is>
      </c>
      <c r="B3494" s="1" t="n">
        <v>44733</v>
      </c>
      <c r="C3494" s="1" t="n">
        <v>45797</v>
      </c>
      <c r="D3494" t="inlineStr">
        <is>
          <t>ÖREBRO LÄN</t>
        </is>
      </c>
      <c r="E3494" t="inlineStr">
        <is>
          <t>LINDESBERG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25972-2022</t>
        </is>
      </c>
      <c r="B3495" s="1" t="n">
        <v>44734</v>
      </c>
      <c r="C3495" s="1" t="n">
        <v>45797</v>
      </c>
      <c r="D3495" t="inlineStr">
        <is>
          <t>ÖREBRO LÄN</t>
        </is>
      </c>
      <c r="E3495" t="inlineStr">
        <is>
          <t>ASKERSUND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25963-2022</t>
        </is>
      </c>
      <c r="B3496" s="1" t="n">
        <v>44734</v>
      </c>
      <c r="C3496" s="1" t="n">
        <v>45797</v>
      </c>
      <c r="D3496" t="inlineStr">
        <is>
          <t>ÖREBRO LÄN</t>
        </is>
      </c>
      <c r="E3496" t="inlineStr">
        <is>
          <t>ASKERSUND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26077-2022</t>
        </is>
      </c>
      <c r="B3497" s="1" t="n">
        <v>44734</v>
      </c>
      <c r="C3497" s="1" t="n">
        <v>45797</v>
      </c>
      <c r="D3497" t="inlineStr">
        <is>
          <t>ÖREBRO LÄN</t>
        </is>
      </c>
      <c r="E3497" t="inlineStr">
        <is>
          <t>LINDESBERG</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26101-2022</t>
        </is>
      </c>
      <c r="B3498" s="1" t="n">
        <v>44734</v>
      </c>
      <c r="C3498" s="1" t="n">
        <v>45797</v>
      </c>
      <c r="D3498" t="inlineStr">
        <is>
          <t>ÖREBRO LÄN</t>
        </is>
      </c>
      <c r="E3498" t="inlineStr">
        <is>
          <t>ÖREBRO</t>
        </is>
      </c>
      <c r="G3498" t="n">
        <v>15.8</v>
      </c>
      <c r="H3498" t="n">
        <v>0</v>
      </c>
      <c r="I3498" t="n">
        <v>0</v>
      </c>
      <c r="J3498" t="n">
        <v>0</v>
      </c>
      <c r="K3498" t="n">
        <v>0</v>
      </c>
      <c r="L3498" t="n">
        <v>0</v>
      </c>
      <c r="M3498" t="n">
        <v>0</v>
      </c>
      <c r="N3498" t="n">
        <v>0</v>
      </c>
      <c r="O3498" t="n">
        <v>0</v>
      </c>
      <c r="P3498" t="n">
        <v>0</v>
      </c>
      <c r="Q3498" t="n">
        <v>0</v>
      </c>
      <c r="R3498" s="2" t="inlineStr"/>
    </row>
    <row r="3499" ht="15" customHeight="1">
      <c r="A3499" t="inlineStr">
        <is>
          <t>A 26052-2022</t>
        </is>
      </c>
      <c r="B3499" s="1" t="n">
        <v>44734</v>
      </c>
      <c r="C3499" s="1" t="n">
        <v>45797</v>
      </c>
      <c r="D3499" t="inlineStr">
        <is>
          <t>ÖREBRO LÄN</t>
        </is>
      </c>
      <c r="E3499" t="inlineStr">
        <is>
          <t>LEKEBERG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26071-2022</t>
        </is>
      </c>
      <c r="B3500" s="1" t="n">
        <v>44734</v>
      </c>
      <c r="C3500" s="1" t="n">
        <v>45797</v>
      </c>
      <c r="D3500" t="inlineStr">
        <is>
          <t>ÖREBRO LÄN</t>
        </is>
      </c>
      <c r="E3500" t="inlineStr">
        <is>
          <t>LINDESBERG</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26075-2022</t>
        </is>
      </c>
      <c r="B3501" s="1" t="n">
        <v>44734</v>
      </c>
      <c r="C3501" s="1" t="n">
        <v>45797</v>
      </c>
      <c r="D3501" t="inlineStr">
        <is>
          <t>ÖREBRO LÄN</t>
        </is>
      </c>
      <c r="E3501" t="inlineStr">
        <is>
          <t>LINDESBERG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26028-2022</t>
        </is>
      </c>
      <c r="B3502" s="1" t="n">
        <v>44734</v>
      </c>
      <c r="C3502" s="1" t="n">
        <v>45797</v>
      </c>
      <c r="D3502" t="inlineStr">
        <is>
          <t>ÖREBRO LÄN</t>
        </is>
      </c>
      <c r="E3502" t="inlineStr">
        <is>
          <t>LINDESBERG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26035-2022</t>
        </is>
      </c>
      <c r="B3503" s="1" t="n">
        <v>44734</v>
      </c>
      <c r="C3503" s="1" t="n">
        <v>45797</v>
      </c>
      <c r="D3503" t="inlineStr">
        <is>
          <t>ÖREBRO LÄN</t>
        </is>
      </c>
      <c r="E3503" t="inlineStr">
        <is>
          <t>ASKERSUND</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26067-2022</t>
        </is>
      </c>
      <c r="B3504" s="1" t="n">
        <v>44734</v>
      </c>
      <c r="C3504" s="1" t="n">
        <v>45797</v>
      </c>
      <c r="D3504" t="inlineStr">
        <is>
          <t>ÖREBRO LÄN</t>
        </is>
      </c>
      <c r="E3504" t="inlineStr">
        <is>
          <t>LINDESBERG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26073-2022</t>
        </is>
      </c>
      <c r="B3505" s="1" t="n">
        <v>44734</v>
      </c>
      <c r="C3505" s="1" t="n">
        <v>45797</v>
      </c>
      <c r="D3505" t="inlineStr">
        <is>
          <t>ÖREBRO LÄN</t>
        </is>
      </c>
      <c r="E3505" t="inlineStr">
        <is>
          <t>LINDESBERG</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26167-2022</t>
        </is>
      </c>
      <c r="B3506" s="1" t="n">
        <v>44734</v>
      </c>
      <c r="C3506" s="1" t="n">
        <v>45797</v>
      </c>
      <c r="D3506" t="inlineStr">
        <is>
          <t>ÖREBRO LÄN</t>
        </is>
      </c>
      <c r="E3506" t="inlineStr">
        <is>
          <t>LJUSNARSBERG</t>
        </is>
      </c>
      <c r="F3506" t="inlineStr">
        <is>
          <t>Bergvik skog väst AB</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26165-2022</t>
        </is>
      </c>
      <c r="B3507" s="1" t="n">
        <v>44734</v>
      </c>
      <c r="C3507" s="1" t="n">
        <v>45797</v>
      </c>
      <c r="D3507" t="inlineStr">
        <is>
          <t>ÖREBRO LÄN</t>
        </is>
      </c>
      <c r="E3507" t="inlineStr">
        <is>
          <t>LJUSNARSBERG</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26314-2022</t>
        </is>
      </c>
      <c r="B3508" s="1" t="n">
        <v>44735</v>
      </c>
      <c r="C3508" s="1" t="n">
        <v>45797</v>
      </c>
      <c r="D3508" t="inlineStr">
        <is>
          <t>ÖREBRO LÄN</t>
        </is>
      </c>
      <c r="E3508" t="inlineStr">
        <is>
          <t>NORA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26329-2022</t>
        </is>
      </c>
      <c r="B3509" s="1" t="n">
        <v>44735</v>
      </c>
      <c r="C3509" s="1" t="n">
        <v>45797</v>
      </c>
      <c r="D3509" t="inlineStr">
        <is>
          <t>ÖREBRO LÄN</t>
        </is>
      </c>
      <c r="E3509" t="inlineStr">
        <is>
          <t>NORA</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26326-2022</t>
        </is>
      </c>
      <c r="B3510" s="1" t="n">
        <v>44735</v>
      </c>
      <c r="C3510" s="1" t="n">
        <v>45797</v>
      </c>
      <c r="D3510" t="inlineStr">
        <is>
          <t>ÖREBRO LÄN</t>
        </is>
      </c>
      <c r="E3510" t="inlineStr">
        <is>
          <t>NORA</t>
        </is>
      </c>
      <c r="F3510" t="inlineStr">
        <is>
          <t>Sveaskog</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26340-2022</t>
        </is>
      </c>
      <c r="B3511" s="1" t="n">
        <v>44735</v>
      </c>
      <c r="C3511" s="1" t="n">
        <v>45797</v>
      </c>
      <c r="D3511" t="inlineStr">
        <is>
          <t>ÖREBRO LÄN</t>
        </is>
      </c>
      <c r="E3511" t="inlineStr">
        <is>
          <t>LINDESBERG</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26320-2022</t>
        </is>
      </c>
      <c r="B3512" s="1" t="n">
        <v>44735</v>
      </c>
      <c r="C3512" s="1" t="n">
        <v>45797</v>
      </c>
      <c r="D3512" t="inlineStr">
        <is>
          <t>ÖREBRO LÄN</t>
        </is>
      </c>
      <c r="E3512" t="inlineStr">
        <is>
          <t>NORA</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26590-2022</t>
        </is>
      </c>
      <c r="B3513" s="1" t="n">
        <v>44739</v>
      </c>
      <c r="C3513" s="1" t="n">
        <v>45797</v>
      </c>
      <c r="D3513" t="inlineStr">
        <is>
          <t>ÖREBRO LÄN</t>
        </is>
      </c>
      <c r="E3513" t="inlineStr">
        <is>
          <t>LINDESBERG</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26662-2022</t>
        </is>
      </c>
      <c r="B3514" s="1" t="n">
        <v>44739</v>
      </c>
      <c r="C3514" s="1" t="n">
        <v>45797</v>
      </c>
      <c r="D3514" t="inlineStr">
        <is>
          <t>ÖREBRO LÄN</t>
        </is>
      </c>
      <c r="E3514" t="inlineStr">
        <is>
          <t>ASKERSUND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26485-2022</t>
        </is>
      </c>
      <c r="B3515" s="1" t="n">
        <v>44739</v>
      </c>
      <c r="C3515" s="1" t="n">
        <v>45797</v>
      </c>
      <c r="D3515" t="inlineStr">
        <is>
          <t>ÖREBRO LÄN</t>
        </is>
      </c>
      <c r="E3515" t="inlineStr">
        <is>
          <t>ASKERSUND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26617-2022</t>
        </is>
      </c>
      <c r="B3516" s="1" t="n">
        <v>44739</v>
      </c>
      <c r="C3516" s="1" t="n">
        <v>45797</v>
      </c>
      <c r="D3516" t="inlineStr">
        <is>
          <t>ÖREBRO LÄN</t>
        </is>
      </c>
      <c r="E3516" t="inlineStr">
        <is>
          <t>LJUSNARSBERG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26874-2022</t>
        </is>
      </c>
      <c r="B3517" s="1" t="n">
        <v>44740</v>
      </c>
      <c r="C3517" s="1" t="n">
        <v>45797</v>
      </c>
      <c r="D3517" t="inlineStr">
        <is>
          <t>ÖREBRO LÄN</t>
        </is>
      </c>
      <c r="E3517" t="inlineStr">
        <is>
          <t>NORA</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26870-2022</t>
        </is>
      </c>
      <c r="B3518" s="1" t="n">
        <v>44740</v>
      </c>
      <c r="C3518" s="1" t="n">
        <v>45797</v>
      </c>
      <c r="D3518" t="inlineStr">
        <is>
          <t>ÖREBRO LÄN</t>
        </is>
      </c>
      <c r="E3518" t="inlineStr">
        <is>
          <t>NORA</t>
        </is>
      </c>
      <c r="F3518" t="inlineStr">
        <is>
          <t>Sveaskog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26916-2022</t>
        </is>
      </c>
      <c r="B3519" s="1" t="n">
        <v>44740</v>
      </c>
      <c r="C3519" s="1" t="n">
        <v>45797</v>
      </c>
      <c r="D3519" t="inlineStr">
        <is>
          <t>ÖREBRO LÄN</t>
        </is>
      </c>
      <c r="E3519" t="inlineStr">
        <is>
          <t>NORA</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26967-2022</t>
        </is>
      </c>
      <c r="B3520" s="1" t="n">
        <v>44740</v>
      </c>
      <c r="C3520" s="1" t="n">
        <v>45797</v>
      </c>
      <c r="D3520" t="inlineStr">
        <is>
          <t>ÖREBRO LÄN</t>
        </is>
      </c>
      <c r="E3520" t="inlineStr">
        <is>
          <t>LINDESBERG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27148-2022</t>
        </is>
      </c>
      <c r="B3521" s="1" t="n">
        <v>44741</v>
      </c>
      <c r="C3521" s="1" t="n">
        <v>45797</v>
      </c>
      <c r="D3521" t="inlineStr">
        <is>
          <t>ÖREBRO LÄN</t>
        </is>
      </c>
      <c r="E3521" t="inlineStr">
        <is>
          <t>KUMLA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27344-2022</t>
        </is>
      </c>
      <c r="B3522" s="1" t="n">
        <v>44742</v>
      </c>
      <c r="C3522" s="1" t="n">
        <v>45797</v>
      </c>
      <c r="D3522" t="inlineStr">
        <is>
          <t>ÖREBRO LÄN</t>
        </is>
      </c>
      <c r="E3522" t="inlineStr">
        <is>
          <t>ASKERSUND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27360-2022</t>
        </is>
      </c>
      <c r="B3523" s="1" t="n">
        <v>44742</v>
      </c>
      <c r="C3523" s="1" t="n">
        <v>45797</v>
      </c>
      <c r="D3523" t="inlineStr">
        <is>
          <t>ÖREBRO LÄN</t>
        </is>
      </c>
      <c r="E3523" t="inlineStr">
        <is>
          <t>LINDESBERG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27396-2022</t>
        </is>
      </c>
      <c r="B3524" s="1" t="n">
        <v>44742</v>
      </c>
      <c r="C3524" s="1" t="n">
        <v>45797</v>
      </c>
      <c r="D3524" t="inlineStr">
        <is>
          <t>ÖREBRO LÄN</t>
        </is>
      </c>
      <c r="E3524" t="inlineStr">
        <is>
          <t>HALLSBERG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27618-2022</t>
        </is>
      </c>
      <c r="B3525" s="1" t="n">
        <v>44743</v>
      </c>
      <c r="C3525" s="1" t="n">
        <v>45797</v>
      </c>
      <c r="D3525" t="inlineStr">
        <is>
          <t>ÖREBRO LÄN</t>
        </is>
      </c>
      <c r="E3525" t="inlineStr">
        <is>
          <t>NORA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27752-2022</t>
        </is>
      </c>
      <c r="B3526" s="1" t="n">
        <v>44743</v>
      </c>
      <c r="C3526" s="1" t="n">
        <v>45797</v>
      </c>
      <c r="D3526" t="inlineStr">
        <is>
          <t>ÖREBRO LÄN</t>
        </is>
      </c>
      <c r="E3526" t="inlineStr">
        <is>
          <t>NORA</t>
        </is>
      </c>
      <c r="F3526" t="inlineStr">
        <is>
          <t>Sveaskog</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28004-2022</t>
        </is>
      </c>
      <c r="B3527" s="1" t="n">
        <v>44746</v>
      </c>
      <c r="C3527" s="1" t="n">
        <v>45797</v>
      </c>
      <c r="D3527" t="inlineStr">
        <is>
          <t>ÖREBRO LÄN</t>
        </is>
      </c>
      <c r="E3527" t="inlineStr">
        <is>
          <t>HÄLLEFORS</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28054-2022</t>
        </is>
      </c>
      <c r="B3528" s="1" t="n">
        <v>44746</v>
      </c>
      <c r="C3528" s="1" t="n">
        <v>45797</v>
      </c>
      <c r="D3528" t="inlineStr">
        <is>
          <t>ÖREBRO LÄN</t>
        </is>
      </c>
      <c r="E3528" t="inlineStr">
        <is>
          <t>ÖREBRO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28115-2022</t>
        </is>
      </c>
      <c r="B3529" s="1" t="n">
        <v>44746</v>
      </c>
      <c r="C3529" s="1" t="n">
        <v>45797</v>
      </c>
      <c r="D3529" t="inlineStr">
        <is>
          <t>ÖREBRO LÄN</t>
        </is>
      </c>
      <c r="E3529" t="inlineStr">
        <is>
          <t>LAXÅ</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28134-2022</t>
        </is>
      </c>
      <c r="B3530" s="1" t="n">
        <v>44746</v>
      </c>
      <c r="C3530" s="1" t="n">
        <v>45797</v>
      </c>
      <c r="D3530" t="inlineStr">
        <is>
          <t>ÖREBRO LÄN</t>
        </is>
      </c>
      <c r="E3530" t="inlineStr">
        <is>
          <t>LAXÅ</t>
        </is>
      </c>
      <c r="F3530" t="inlineStr">
        <is>
          <t>Sveaskog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28139-2022</t>
        </is>
      </c>
      <c r="B3531" s="1" t="n">
        <v>44746</v>
      </c>
      <c r="C3531" s="1" t="n">
        <v>45797</v>
      </c>
      <c r="D3531" t="inlineStr">
        <is>
          <t>ÖREBRO LÄN</t>
        </is>
      </c>
      <c r="E3531" t="inlineStr">
        <is>
          <t>LAXÅ</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28112-2022</t>
        </is>
      </c>
      <c r="B3532" s="1" t="n">
        <v>44746</v>
      </c>
      <c r="C3532" s="1" t="n">
        <v>45797</v>
      </c>
      <c r="D3532" t="inlineStr">
        <is>
          <t>ÖREBRO LÄN</t>
        </is>
      </c>
      <c r="E3532" t="inlineStr">
        <is>
          <t>LAXÅ</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28119-2022</t>
        </is>
      </c>
      <c r="B3533" s="1" t="n">
        <v>44746</v>
      </c>
      <c r="C3533" s="1" t="n">
        <v>45797</v>
      </c>
      <c r="D3533" t="inlineStr">
        <is>
          <t>ÖREBRO LÄN</t>
        </is>
      </c>
      <c r="E3533" t="inlineStr">
        <is>
          <t>LAXÅ</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28147-2022</t>
        </is>
      </c>
      <c r="B3534" s="1" t="n">
        <v>44746</v>
      </c>
      <c r="C3534" s="1" t="n">
        <v>45797</v>
      </c>
      <c r="D3534" t="inlineStr">
        <is>
          <t>ÖREBRO LÄN</t>
        </is>
      </c>
      <c r="E3534" t="inlineStr">
        <is>
          <t>LEKEBERG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28141-2022</t>
        </is>
      </c>
      <c r="B3535" s="1" t="n">
        <v>44746</v>
      </c>
      <c r="C3535" s="1" t="n">
        <v>45797</v>
      </c>
      <c r="D3535" t="inlineStr">
        <is>
          <t>ÖREBRO LÄN</t>
        </is>
      </c>
      <c r="E3535" t="inlineStr">
        <is>
          <t>LAXÅ</t>
        </is>
      </c>
      <c r="F3535" t="inlineStr">
        <is>
          <t>Sveaskog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28137-2022</t>
        </is>
      </c>
      <c r="B3536" s="1" t="n">
        <v>44746</v>
      </c>
      <c r="C3536" s="1" t="n">
        <v>45797</v>
      </c>
      <c r="D3536" t="inlineStr">
        <is>
          <t>ÖREBRO LÄN</t>
        </is>
      </c>
      <c r="E3536" t="inlineStr">
        <is>
          <t>LAXÅ</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28110-2022</t>
        </is>
      </c>
      <c r="B3537" s="1" t="n">
        <v>44746</v>
      </c>
      <c r="C3537" s="1" t="n">
        <v>45797</v>
      </c>
      <c r="D3537" t="inlineStr">
        <is>
          <t>ÖREBRO LÄN</t>
        </is>
      </c>
      <c r="E3537" t="inlineStr">
        <is>
          <t>LAXÅ</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28116-2022</t>
        </is>
      </c>
      <c r="B3538" s="1" t="n">
        <v>44746</v>
      </c>
      <c r="C3538" s="1" t="n">
        <v>45797</v>
      </c>
      <c r="D3538" t="inlineStr">
        <is>
          <t>ÖREBRO LÄN</t>
        </is>
      </c>
      <c r="E3538" t="inlineStr">
        <is>
          <t>LAXÅ</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28241-2022</t>
        </is>
      </c>
      <c r="B3539" s="1" t="n">
        <v>44746</v>
      </c>
      <c r="C3539" s="1" t="n">
        <v>45797</v>
      </c>
      <c r="D3539" t="inlineStr">
        <is>
          <t>ÖREBRO LÄN</t>
        </is>
      </c>
      <c r="E3539" t="inlineStr">
        <is>
          <t>LINDESBERG</t>
        </is>
      </c>
      <c r="F3539" t="inlineStr">
        <is>
          <t>Kyrkan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28138-2022</t>
        </is>
      </c>
      <c r="B3540" s="1" t="n">
        <v>44746</v>
      </c>
      <c r="C3540" s="1" t="n">
        <v>45797</v>
      </c>
      <c r="D3540" t="inlineStr">
        <is>
          <t>ÖREBRO LÄN</t>
        </is>
      </c>
      <c r="E3540" t="inlineStr">
        <is>
          <t>LAXÅ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28140-2022</t>
        </is>
      </c>
      <c r="B3541" s="1" t="n">
        <v>44746</v>
      </c>
      <c r="C3541" s="1" t="n">
        <v>45797</v>
      </c>
      <c r="D3541" t="inlineStr">
        <is>
          <t>ÖREBRO LÄN</t>
        </is>
      </c>
      <c r="E3541" t="inlineStr">
        <is>
          <t>LAXÅ</t>
        </is>
      </c>
      <c r="F3541" t="inlineStr">
        <is>
          <t>Sveaskog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28516-2022</t>
        </is>
      </c>
      <c r="B3542" s="1" t="n">
        <v>44748</v>
      </c>
      <c r="C3542" s="1" t="n">
        <v>45797</v>
      </c>
      <c r="D3542" t="inlineStr">
        <is>
          <t>ÖREBRO LÄN</t>
        </is>
      </c>
      <c r="E3542" t="inlineStr">
        <is>
          <t>LAXÅ</t>
        </is>
      </c>
      <c r="F3542" t="inlineStr">
        <is>
          <t>Sveaskog</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28558-2022</t>
        </is>
      </c>
      <c r="B3543" s="1" t="n">
        <v>44748</v>
      </c>
      <c r="C3543" s="1" t="n">
        <v>45797</v>
      </c>
      <c r="D3543" t="inlineStr">
        <is>
          <t>ÖREBRO LÄN</t>
        </is>
      </c>
      <c r="E3543" t="inlineStr">
        <is>
          <t>HÄLLEFORS</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28616-2022</t>
        </is>
      </c>
      <c r="B3544" s="1" t="n">
        <v>44748</v>
      </c>
      <c r="C3544" s="1" t="n">
        <v>45797</v>
      </c>
      <c r="D3544" t="inlineStr">
        <is>
          <t>ÖREBRO LÄN</t>
        </is>
      </c>
      <c r="E3544" t="inlineStr">
        <is>
          <t>LEKEBERG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28518-2022</t>
        </is>
      </c>
      <c r="B3545" s="1" t="n">
        <v>44748</v>
      </c>
      <c r="C3545" s="1" t="n">
        <v>45797</v>
      </c>
      <c r="D3545" t="inlineStr">
        <is>
          <t>ÖREBRO LÄN</t>
        </is>
      </c>
      <c r="E3545" t="inlineStr">
        <is>
          <t>LAXÅ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28522-2022</t>
        </is>
      </c>
      <c r="B3546" s="1" t="n">
        <v>44748</v>
      </c>
      <c r="C3546" s="1" t="n">
        <v>45797</v>
      </c>
      <c r="D3546" t="inlineStr">
        <is>
          <t>ÖREBRO LÄN</t>
        </is>
      </c>
      <c r="E3546" t="inlineStr">
        <is>
          <t>LAXÅ</t>
        </is>
      </c>
      <c r="F3546" t="inlineStr">
        <is>
          <t>Sveaskog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28579-2022</t>
        </is>
      </c>
      <c r="B3547" s="1" t="n">
        <v>44748</v>
      </c>
      <c r="C3547" s="1" t="n">
        <v>45797</v>
      </c>
      <c r="D3547" t="inlineStr">
        <is>
          <t>ÖREBRO LÄN</t>
        </is>
      </c>
      <c r="E3547" t="inlineStr">
        <is>
          <t>LEKEBERG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28517-2022</t>
        </is>
      </c>
      <c r="B3548" s="1" t="n">
        <v>44748</v>
      </c>
      <c r="C3548" s="1" t="n">
        <v>45797</v>
      </c>
      <c r="D3548" t="inlineStr">
        <is>
          <t>ÖREBRO LÄN</t>
        </is>
      </c>
      <c r="E3548" t="inlineStr">
        <is>
          <t>LAXÅ</t>
        </is>
      </c>
      <c r="F3548" t="inlineStr">
        <is>
          <t>Sveaskog</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28521-2022</t>
        </is>
      </c>
      <c r="B3549" s="1" t="n">
        <v>44748</v>
      </c>
      <c r="C3549" s="1" t="n">
        <v>45797</v>
      </c>
      <c r="D3549" t="inlineStr">
        <is>
          <t>ÖREBRO LÄN</t>
        </is>
      </c>
      <c r="E3549" t="inlineStr">
        <is>
          <t>LAXÅ</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28524-2022</t>
        </is>
      </c>
      <c r="B3550" s="1" t="n">
        <v>44748</v>
      </c>
      <c r="C3550" s="1" t="n">
        <v>45797</v>
      </c>
      <c r="D3550" t="inlineStr">
        <is>
          <t>ÖREBRO LÄN</t>
        </is>
      </c>
      <c r="E3550" t="inlineStr">
        <is>
          <t>LAXÅ</t>
        </is>
      </c>
      <c r="F3550" t="inlineStr">
        <is>
          <t>Sveaskog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28564-2022</t>
        </is>
      </c>
      <c r="B3551" s="1" t="n">
        <v>44748</v>
      </c>
      <c r="C3551" s="1" t="n">
        <v>45797</v>
      </c>
      <c r="D3551" t="inlineStr">
        <is>
          <t>ÖREBRO LÄN</t>
        </is>
      </c>
      <c r="E3551" t="inlineStr">
        <is>
          <t>LEKEBERG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28608-2022</t>
        </is>
      </c>
      <c r="B3552" s="1" t="n">
        <v>44748</v>
      </c>
      <c r="C3552" s="1" t="n">
        <v>45797</v>
      </c>
      <c r="D3552" t="inlineStr">
        <is>
          <t>ÖREBRO LÄN</t>
        </is>
      </c>
      <c r="E3552" t="inlineStr">
        <is>
          <t>LEKEBERG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28692-2022</t>
        </is>
      </c>
      <c r="B3553" s="1" t="n">
        <v>44748</v>
      </c>
      <c r="C3553" s="1" t="n">
        <v>45797</v>
      </c>
      <c r="D3553" t="inlineStr">
        <is>
          <t>ÖREBRO LÄN</t>
        </is>
      </c>
      <c r="E3553" t="inlineStr">
        <is>
          <t>ASKERSUND</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28706-2022</t>
        </is>
      </c>
      <c r="B3554" s="1" t="n">
        <v>44748</v>
      </c>
      <c r="C3554" s="1" t="n">
        <v>45797</v>
      </c>
      <c r="D3554" t="inlineStr">
        <is>
          <t>ÖREBRO LÄN</t>
        </is>
      </c>
      <c r="E3554" t="inlineStr">
        <is>
          <t>ÖREBRO</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28788-2022</t>
        </is>
      </c>
      <c r="B3555" s="1" t="n">
        <v>44749</v>
      </c>
      <c r="C3555" s="1" t="n">
        <v>45797</v>
      </c>
      <c r="D3555" t="inlineStr">
        <is>
          <t>ÖREBRO LÄN</t>
        </is>
      </c>
      <c r="E3555" t="inlineStr">
        <is>
          <t>HÄLLEFORS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28784-2022</t>
        </is>
      </c>
      <c r="B3556" s="1" t="n">
        <v>44749</v>
      </c>
      <c r="C3556" s="1" t="n">
        <v>45797</v>
      </c>
      <c r="D3556" t="inlineStr">
        <is>
          <t>ÖREBRO LÄN</t>
        </is>
      </c>
      <c r="E3556" t="inlineStr">
        <is>
          <t>HÄLLEFORS</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29020-2022</t>
        </is>
      </c>
      <c r="B3557" s="1" t="n">
        <v>44749</v>
      </c>
      <c r="C3557" s="1" t="n">
        <v>45797</v>
      </c>
      <c r="D3557" t="inlineStr">
        <is>
          <t>ÖREBRO LÄN</t>
        </is>
      </c>
      <c r="E3557" t="inlineStr">
        <is>
          <t>ASKERSUND</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29108-2022</t>
        </is>
      </c>
      <c r="B3558" s="1" t="n">
        <v>44750</v>
      </c>
      <c r="C3558" s="1" t="n">
        <v>45797</v>
      </c>
      <c r="D3558" t="inlineStr">
        <is>
          <t>ÖREBRO LÄN</t>
        </is>
      </c>
      <c r="E3558" t="inlineStr">
        <is>
          <t>ÖREBRO</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29062-2022</t>
        </is>
      </c>
      <c r="B3559" s="1" t="n">
        <v>44750</v>
      </c>
      <c r="C3559" s="1" t="n">
        <v>45797</v>
      </c>
      <c r="D3559" t="inlineStr">
        <is>
          <t>ÖREBRO LÄN</t>
        </is>
      </c>
      <c r="E3559" t="inlineStr">
        <is>
          <t>HÄLLEFORS</t>
        </is>
      </c>
      <c r="F3559" t="inlineStr">
        <is>
          <t>Bergvik skog väst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29138-2022</t>
        </is>
      </c>
      <c r="B3560" s="1" t="n">
        <v>44750</v>
      </c>
      <c r="C3560" s="1" t="n">
        <v>45797</v>
      </c>
      <c r="D3560" t="inlineStr">
        <is>
          <t>ÖREBRO LÄN</t>
        </is>
      </c>
      <c r="E3560" t="inlineStr">
        <is>
          <t>ÖREBRO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29262-2022</t>
        </is>
      </c>
      <c r="B3561" s="1" t="n">
        <v>44750</v>
      </c>
      <c r="C3561" s="1" t="n">
        <v>45797</v>
      </c>
      <c r="D3561" t="inlineStr">
        <is>
          <t>ÖREBRO LÄN</t>
        </is>
      </c>
      <c r="E3561" t="inlineStr">
        <is>
          <t>NORA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29243-2022</t>
        </is>
      </c>
      <c r="B3562" s="1" t="n">
        <v>44750</v>
      </c>
      <c r="C3562" s="1" t="n">
        <v>45797</v>
      </c>
      <c r="D3562" t="inlineStr">
        <is>
          <t>ÖREBRO LÄN</t>
        </is>
      </c>
      <c r="E3562" t="inlineStr">
        <is>
          <t>ÖREBRO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29264-2022</t>
        </is>
      </c>
      <c r="B3563" s="1" t="n">
        <v>44750</v>
      </c>
      <c r="C3563" s="1" t="n">
        <v>45797</v>
      </c>
      <c r="D3563" t="inlineStr">
        <is>
          <t>ÖREBRO LÄN</t>
        </is>
      </c>
      <c r="E3563" t="inlineStr">
        <is>
          <t>KARLSKOGA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29058-2022</t>
        </is>
      </c>
      <c r="B3564" s="1" t="n">
        <v>44750</v>
      </c>
      <c r="C3564" s="1" t="n">
        <v>45797</v>
      </c>
      <c r="D3564" t="inlineStr">
        <is>
          <t>ÖREBRO LÄN</t>
        </is>
      </c>
      <c r="E3564" t="inlineStr">
        <is>
          <t>HÄLLEFORS</t>
        </is>
      </c>
      <c r="F3564" t="inlineStr">
        <is>
          <t>Bergvik skog väst AB</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29246-2022</t>
        </is>
      </c>
      <c r="B3565" s="1" t="n">
        <v>44750</v>
      </c>
      <c r="C3565" s="1" t="n">
        <v>45797</v>
      </c>
      <c r="D3565" t="inlineStr">
        <is>
          <t>ÖREBRO LÄN</t>
        </is>
      </c>
      <c r="E3565" t="inlineStr">
        <is>
          <t>ÖREBRO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29268-2022</t>
        </is>
      </c>
      <c r="B3566" s="1" t="n">
        <v>44750</v>
      </c>
      <c r="C3566" s="1" t="n">
        <v>45797</v>
      </c>
      <c r="D3566" t="inlineStr">
        <is>
          <t>ÖREBRO LÄN</t>
        </is>
      </c>
      <c r="E3566" t="inlineStr">
        <is>
          <t>KARLSKOGA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29143-2022</t>
        </is>
      </c>
      <c r="B3567" s="1" t="n">
        <v>44750</v>
      </c>
      <c r="C3567" s="1" t="n">
        <v>45797</v>
      </c>
      <c r="D3567" t="inlineStr">
        <is>
          <t>ÖREBRO LÄN</t>
        </is>
      </c>
      <c r="E3567" t="inlineStr">
        <is>
          <t>ÖREBRO</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29401-2022</t>
        </is>
      </c>
      <c r="B3568" s="1" t="n">
        <v>44753</v>
      </c>
      <c r="C3568" s="1" t="n">
        <v>45797</v>
      </c>
      <c r="D3568" t="inlineStr">
        <is>
          <t>ÖREBRO LÄN</t>
        </is>
      </c>
      <c r="E3568" t="inlineStr">
        <is>
          <t>ASKERSUND</t>
        </is>
      </c>
      <c r="F3568" t="inlineStr">
        <is>
          <t>Övriga Aktiebolag</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29350-2022</t>
        </is>
      </c>
      <c r="B3569" s="1" t="n">
        <v>44753</v>
      </c>
      <c r="C3569" s="1" t="n">
        <v>45797</v>
      </c>
      <c r="D3569" t="inlineStr">
        <is>
          <t>ÖREBRO LÄN</t>
        </is>
      </c>
      <c r="E3569" t="inlineStr">
        <is>
          <t>LINDESBERG</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29390-2022</t>
        </is>
      </c>
      <c r="B3570" s="1" t="n">
        <v>44753</v>
      </c>
      <c r="C3570" s="1" t="n">
        <v>45797</v>
      </c>
      <c r="D3570" t="inlineStr">
        <is>
          <t>ÖREBRO LÄN</t>
        </is>
      </c>
      <c r="E3570" t="inlineStr">
        <is>
          <t>ASKERSUND</t>
        </is>
      </c>
      <c r="F3570" t="inlineStr">
        <is>
          <t>Övriga Aktiebolag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29394-2022</t>
        </is>
      </c>
      <c r="B3571" s="1" t="n">
        <v>44753</v>
      </c>
      <c r="C3571" s="1" t="n">
        <v>45797</v>
      </c>
      <c r="D3571" t="inlineStr">
        <is>
          <t>ÖREBRO LÄN</t>
        </is>
      </c>
      <c r="E3571" t="inlineStr">
        <is>
          <t>ASKERSUND</t>
        </is>
      </c>
      <c r="F3571" t="inlineStr">
        <is>
          <t>Övriga Aktiebolag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29490-2022</t>
        </is>
      </c>
      <c r="B3572" s="1" t="n">
        <v>44753</v>
      </c>
      <c r="C3572" s="1" t="n">
        <v>45797</v>
      </c>
      <c r="D3572" t="inlineStr">
        <is>
          <t>ÖREBRO LÄN</t>
        </is>
      </c>
      <c r="E3572" t="inlineStr">
        <is>
          <t>ÖREBRO</t>
        </is>
      </c>
      <c r="F3572" t="inlineStr">
        <is>
          <t>Kommuner</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29605-2022</t>
        </is>
      </c>
      <c r="B3573" s="1" t="n">
        <v>44754</v>
      </c>
      <c r="C3573" s="1" t="n">
        <v>45797</v>
      </c>
      <c r="D3573" t="inlineStr">
        <is>
          <t>ÖREBRO LÄN</t>
        </is>
      </c>
      <c r="E3573" t="inlineStr">
        <is>
          <t>DEGERFORS</t>
        </is>
      </c>
      <c r="F3573" t="inlineStr">
        <is>
          <t>Sveaskog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29661-2022</t>
        </is>
      </c>
      <c r="B3574" s="1" t="n">
        <v>44754</v>
      </c>
      <c r="C3574" s="1" t="n">
        <v>45797</v>
      </c>
      <c r="D3574" t="inlineStr">
        <is>
          <t>ÖREBRO LÄN</t>
        </is>
      </c>
      <c r="E3574" t="inlineStr">
        <is>
          <t>HÄLLEFORS</t>
        </is>
      </c>
      <c r="F3574" t="inlineStr">
        <is>
          <t>Bergvik skog väst AB</t>
        </is>
      </c>
      <c r="G3574" t="n">
        <v>18.5</v>
      </c>
      <c r="H3574" t="n">
        <v>0</v>
      </c>
      <c r="I3574" t="n">
        <v>0</v>
      </c>
      <c r="J3574" t="n">
        <v>0</v>
      </c>
      <c r="K3574" t="n">
        <v>0</v>
      </c>
      <c r="L3574" t="n">
        <v>0</v>
      </c>
      <c r="M3574" t="n">
        <v>0</v>
      </c>
      <c r="N3574" t="n">
        <v>0</v>
      </c>
      <c r="O3574" t="n">
        <v>0</v>
      </c>
      <c r="P3574" t="n">
        <v>0</v>
      </c>
      <c r="Q3574" t="n">
        <v>0</v>
      </c>
      <c r="R3574" s="2" t="inlineStr"/>
    </row>
    <row r="3575" ht="15" customHeight="1">
      <c r="A3575" t="inlineStr">
        <is>
          <t>A 29665-2022</t>
        </is>
      </c>
      <c r="B3575" s="1" t="n">
        <v>44754</v>
      </c>
      <c r="C3575" s="1" t="n">
        <v>45797</v>
      </c>
      <c r="D3575" t="inlineStr">
        <is>
          <t>ÖREBRO LÄN</t>
        </is>
      </c>
      <c r="E3575" t="inlineStr">
        <is>
          <t>HÄLLEFORS</t>
        </is>
      </c>
      <c r="F3575" t="inlineStr">
        <is>
          <t>Bergvik skog väst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29607-2022</t>
        </is>
      </c>
      <c r="B3576" s="1" t="n">
        <v>44754</v>
      </c>
      <c r="C3576" s="1" t="n">
        <v>45797</v>
      </c>
      <c r="D3576" t="inlineStr">
        <is>
          <t>ÖREBRO LÄN</t>
        </is>
      </c>
      <c r="E3576" t="inlineStr">
        <is>
          <t>DEGERFORS</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29662-2022</t>
        </is>
      </c>
      <c r="B3577" s="1" t="n">
        <v>44754</v>
      </c>
      <c r="C3577" s="1" t="n">
        <v>45797</v>
      </c>
      <c r="D3577" t="inlineStr">
        <is>
          <t>ÖREBRO LÄN</t>
        </is>
      </c>
      <c r="E3577" t="inlineStr">
        <is>
          <t>HÄLLEFORS</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29664-2022</t>
        </is>
      </c>
      <c r="B3578" s="1" t="n">
        <v>44754</v>
      </c>
      <c r="C3578" s="1" t="n">
        <v>45797</v>
      </c>
      <c r="D3578" t="inlineStr">
        <is>
          <t>ÖREBRO LÄN</t>
        </is>
      </c>
      <c r="E3578" t="inlineStr">
        <is>
          <t>HÄLLEFORS</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29668-2022</t>
        </is>
      </c>
      <c r="B3579" s="1" t="n">
        <v>44754</v>
      </c>
      <c r="C3579" s="1" t="n">
        <v>45797</v>
      </c>
      <c r="D3579" t="inlineStr">
        <is>
          <t>ÖREBRO LÄN</t>
        </is>
      </c>
      <c r="E3579" t="inlineStr">
        <is>
          <t>HÄLLEFORS</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29669-2022</t>
        </is>
      </c>
      <c r="B3580" s="1" t="n">
        <v>44754</v>
      </c>
      <c r="C3580" s="1" t="n">
        <v>45797</v>
      </c>
      <c r="D3580" t="inlineStr">
        <is>
          <t>ÖREBRO LÄN</t>
        </is>
      </c>
      <c r="E3580" t="inlineStr">
        <is>
          <t>HÄLLEFORS</t>
        </is>
      </c>
      <c r="F3580" t="inlineStr">
        <is>
          <t>Bergvik skog väst AB</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29623-2022</t>
        </is>
      </c>
      <c r="B3581" s="1" t="n">
        <v>44754</v>
      </c>
      <c r="C3581" s="1" t="n">
        <v>45797</v>
      </c>
      <c r="D3581" t="inlineStr">
        <is>
          <t>ÖREBRO LÄN</t>
        </is>
      </c>
      <c r="E3581" t="inlineStr">
        <is>
          <t>LINDESBERG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29663-2022</t>
        </is>
      </c>
      <c r="B3582" s="1" t="n">
        <v>44754</v>
      </c>
      <c r="C3582" s="1" t="n">
        <v>45797</v>
      </c>
      <c r="D3582" t="inlineStr">
        <is>
          <t>ÖREBRO LÄN</t>
        </is>
      </c>
      <c r="E3582" t="inlineStr">
        <is>
          <t>HÄLLEFORS</t>
        </is>
      </c>
      <c r="F3582" t="inlineStr">
        <is>
          <t>Bergvik skog väst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29667-2022</t>
        </is>
      </c>
      <c r="B3583" s="1" t="n">
        <v>44754</v>
      </c>
      <c r="C3583" s="1" t="n">
        <v>45797</v>
      </c>
      <c r="D3583" t="inlineStr">
        <is>
          <t>ÖREBRO LÄN</t>
        </is>
      </c>
      <c r="E3583" t="inlineStr">
        <is>
          <t>HÄLLEFORS</t>
        </is>
      </c>
      <c r="F3583" t="inlineStr">
        <is>
          <t>Bergvik skog väst AB</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29701-2022</t>
        </is>
      </c>
      <c r="B3584" s="1" t="n">
        <v>44755</v>
      </c>
      <c r="C3584" s="1" t="n">
        <v>45797</v>
      </c>
      <c r="D3584" t="inlineStr">
        <is>
          <t>ÖREBRO LÄN</t>
        </is>
      </c>
      <c r="E3584" t="inlineStr">
        <is>
          <t>ASKERSUND</t>
        </is>
      </c>
      <c r="F3584" t="inlineStr">
        <is>
          <t>Kommuner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29859-2022</t>
        </is>
      </c>
      <c r="B3585" s="1" t="n">
        <v>44756</v>
      </c>
      <c r="C3585" s="1" t="n">
        <v>45797</v>
      </c>
      <c r="D3585" t="inlineStr">
        <is>
          <t>ÖREBRO LÄN</t>
        </is>
      </c>
      <c r="E3585" t="inlineStr">
        <is>
          <t>HALLSBERG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29884-2022</t>
        </is>
      </c>
      <c r="B3586" s="1" t="n">
        <v>44756</v>
      </c>
      <c r="C3586" s="1" t="n">
        <v>45797</v>
      </c>
      <c r="D3586" t="inlineStr">
        <is>
          <t>ÖREBRO LÄN</t>
        </is>
      </c>
      <c r="E3586" t="inlineStr">
        <is>
          <t>HÄLLEFORS</t>
        </is>
      </c>
      <c r="F3586" t="inlineStr">
        <is>
          <t>Bergvik skog väst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29997-2022</t>
        </is>
      </c>
      <c r="B3587" s="1" t="n">
        <v>44756</v>
      </c>
      <c r="C3587" s="1" t="n">
        <v>45797</v>
      </c>
      <c r="D3587" t="inlineStr">
        <is>
          <t>ÖREBRO LÄN</t>
        </is>
      </c>
      <c r="E3587" t="inlineStr">
        <is>
          <t>ASKERSUND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30144-2022</t>
        </is>
      </c>
      <c r="B3588" s="1" t="n">
        <v>44757</v>
      </c>
      <c r="C3588" s="1" t="n">
        <v>45797</v>
      </c>
      <c r="D3588" t="inlineStr">
        <is>
          <t>ÖREBRO LÄN</t>
        </is>
      </c>
      <c r="E3588" t="inlineStr">
        <is>
          <t>HALLSBERG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30145-2022</t>
        </is>
      </c>
      <c r="B3589" s="1" t="n">
        <v>44757</v>
      </c>
      <c r="C3589" s="1" t="n">
        <v>45797</v>
      </c>
      <c r="D3589" t="inlineStr">
        <is>
          <t>ÖREBRO LÄN</t>
        </is>
      </c>
      <c r="E3589" t="inlineStr">
        <is>
          <t>HALLSBERG</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30380-2022</t>
        </is>
      </c>
      <c r="B3590" s="1" t="n">
        <v>44760</v>
      </c>
      <c r="C3590" s="1" t="n">
        <v>45797</v>
      </c>
      <c r="D3590" t="inlineStr">
        <is>
          <t>ÖREBRO LÄN</t>
        </is>
      </c>
      <c r="E3590" t="inlineStr">
        <is>
          <t>HÄLLEFORS</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30472-2022</t>
        </is>
      </c>
      <c r="B3591" s="1" t="n">
        <v>44761</v>
      </c>
      <c r="C3591" s="1" t="n">
        <v>45797</v>
      </c>
      <c r="D3591" t="inlineStr">
        <is>
          <t>ÖREBRO LÄN</t>
        </is>
      </c>
      <c r="E3591" t="inlineStr">
        <is>
          <t>ÖREBRO</t>
        </is>
      </c>
      <c r="F3591" t="inlineStr">
        <is>
          <t>Övriga Aktiebolag</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30422-2022</t>
        </is>
      </c>
      <c r="B3592" s="1" t="n">
        <v>44761</v>
      </c>
      <c r="C3592" s="1" t="n">
        <v>45797</v>
      </c>
      <c r="D3592" t="inlineStr">
        <is>
          <t>ÖREBRO LÄN</t>
        </is>
      </c>
      <c r="E3592" t="inlineStr">
        <is>
          <t>NORA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30532-2022</t>
        </is>
      </c>
      <c r="B3593" s="1" t="n">
        <v>44762</v>
      </c>
      <c r="C3593" s="1" t="n">
        <v>45797</v>
      </c>
      <c r="D3593" t="inlineStr">
        <is>
          <t>ÖREBRO LÄN</t>
        </is>
      </c>
      <c r="E3593" t="inlineStr">
        <is>
          <t>HÄLLEFORS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30621-2022</t>
        </is>
      </c>
      <c r="B3594" s="1" t="n">
        <v>44763</v>
      </c>
      <c r="C3594" s="1" t="n">
        <v>45797</v>
      </c>
      <c r="D3594" t="inlineStr">
        <is>
          <t>ÖREBRO LÄN</t>
        </is>
      </c>
      <c r="E3594" t="inlineStr">
        <is>
          <t>HALLSBERG</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30754-2022</t>
        </is>
      </c>
      <c r="B3595" s="1" t="n">
        <v>44764</v>
      </c>
      <c r="C3595" s="1" t="n">
        <v>45797</v>
      </c>
      <c r="D3595" t="inlineStr">
        <is>
          <t>ÖREBRO LÄN</t>
        </is>
      </c>
      <c r="E3595" t="inlineStr">
        <is>
          <t>LEKEBERG</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30760-2022</t>
        </is>
      </c>
      <c r="B3596" s="1" t="n">
        <v>44764</v>
      </c>
      <c r="C3596" s="1" t="n">
        <v>45797</v>
      </c>
      <c r="D3596" t="inlineStr">
        <is>
          <t>ÖREBRO LÄN</t>
        </is>
      </c>
      <c r="E3596" t="inlineStr">
        <is>
          <t>ÖREBRO</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30782-2022</t>
        </is>
      </c>
      <c r="B3597" s="1" t="n">
        <v>44764</v>
      </c>
      <c r="C3597" s="1" t="n">
        <v>45797</v>
      </c>
      <c r="D3597" t="inlineStr">
        <is>
          <t>ÖREBRO LÄN</t>
        </is>
      </c>
      <c r="E3597" t="inlineStr">
        <is>
          <t>ÖREBRO</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30787-2022</t>
        </is>
      </c>
      <c r="B3598" s="1" t="n">
        <v>44764</v>
      </c>
      <c r="C3598" s="1" t="n">
        <v>45797</v>
      </c>
      <c r="D3598" t="inlineStr">
        <is>
          <t>ÖREBRO LÄN</t>
        </is>
      </c>
      <c r="E3598" t="inlineStr">
        <is>
          <t>ASKERSUND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30878-2022</t>
        </is>
      </c>
      <c r="B3599" s="1" t="n">
        <v>44767</v>
      </c>
      <c r="C3599" s="1" t="n">
        <v>45797</v>
      </c>
      <c r="D3599" t="inlineStr">
        <is>
          <t>ÖREBRO LÄN</t>
        </is>
      </c>
      <c r="E3599" t="inlineStr">
        <is>
          <t>ASKERSUND</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30961-2022</t>
        </is>
      </c>
      <c r="B3600" s="1" t="n">
        <v>44768</v>
      </c>
      <c r="C3600" s="1" t="n">
        <v>45797</v>
      </c>
      <c r="D3600" t="inlineStr">
        <is>
          <t>ÖREBRO LÄN</t>
        </is>
      </c>
      <c r="E3600" t="inlineStr">
        <is>
          <t>KARLSKOGA</t>
        </is>
      </c>
      <c r="F3600" t="inlineStr">
        <is>
          <t>Kommuner</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31612-2022</t>
        </is>
      </c>
      <c r="B3601" s="1" t="n">
        <v>44775</v>
      </c>
      <c r="C3601" s="1" t="n">
        <v>45797</v>
      </c>
      <c r="D3601" t="inlineStr">
        <is>
          <t>ÖREBRO LÄN</t>
        </is>
      </c>
      <c r="E3601" t="inlineStr">
        <is>
          <t>HALLSBERG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31615-2022</t>
        </is>
      </c>
      <c r="B3602" s="1" t="n">
        <v>44775</v>
      </c>
      <c r="C3602" s="1" t="n">
        <v>45797</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31747-2022</t>
        </is>
      </c>
      <c r="B3603" s="1" t="n">
        <v>44776</v>
      </c>
      <c r="C3603" s="1" t="n">
        <v>45797</v>
      </c>
      <c r="D3603" t="inlineStr">
        <is>
          <t>ÖREBRO LÄN</t>
        </is>
      </c>
      <c r="E3603" t="inlineStr">
        <is>
          <t>HALLSBERG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31698-2022</t>
        </is>
      </c>
      <c r="B3604" s="1" t="n">
        <v>44776</v>
      </c>
      <c r="C3604" s="1" t="n">
        <v>45797</v>
      </c>
      <c r="D3604" t="inlineStr">
        <is>
          <t>ÖREBRO LÄN</t>
        </is>
      </c>
      <c r="E3604" t="inlineStr">
        <is>
          <t>KARLSKOGA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31713-2022</t>
        </is>
      </c>
      <c r="B3605" s="1" t="n">
        <v>44776</v>
      </c>
      <c r="C3605" s="1" t="n">
        <v>45797</v>
      </c>
      <c r="D3605" t="inlineStr">
        <is>
          <t>ÖREBRO LÄN</t>
        </is>
      </c>
      <c r="E3605" t="inlineStr">
        <is>
          <t>ASKERSUND</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31717-2022</t>
        </is>
      </c>
      <c r="B3606" s="1" t="n">
        <v>44776</v>
      </c>
      <c r="C3606" s="1" t="n">
        <v>45797</v>
      </c>
      <c r="D3606" t="inlineStr">
        <is>
          <t>ÖREBRO LÄN</t>
        </is>
      </c>
      <c r="E3606" t="inlineStr">
        <is>
          <t>ASKERSUND</t>
        </is>
      </c>
      <c r="F3606" t="inlineStr">
        <is>
          <t>Sveaskog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31716-2022</t>
        </is>
      </c>
      <c r="B3607" s="1" t="n">
        <v>44776</v>
      </c>
      <c r="C3607" s="1" t="n">
        <v>45797</v>
      </c>
      <c r="D3607" t="inlineStr">
        <is>
          <t>ÖREBRO LÄN</t>
        </is>
      </c>
      <c r="E3607" t="inlineStr">
        <is>
          <t>ASKERSUND</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31706-2022</t>
        </is>
      </c>
      <c r="B3608" s="1" t="n">
        <v>44776</v>
      </c>
      <c r="C3608" s="1" t="n">
        <v>45797</v>
      </c>
      <c r="D3608" t="inlineStr">
        <is>
          <t>ÖREBRO LÄN</t>
        </is>
      </c>
      <c r="E3608" t="inlineStr">
        <is>
          <t>ASKERSUND</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31818-2022</t>
        </is>
      </c>
      <c r="B3609" s="1" t="n">
        <v>44776</v>
      </c>
      <c r="C3609" s="1" t="n">
        <v>45797</v>
      </c>
      <c r="D3609" t="inlineStr">
        <is>
          <t>ÖREBRO LÄN</t>
        </is>
      </c>
      <c r="E3609" t="inlineStr">
        <is>
          <t>HALLSBERG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31921-2022</t>
        </is>
      </c>
      <c r="B3610" s="1" t="n">
        <v>44777</v>
      </c>
      <c r="C3610" s="1" t="n">
        <v>45797</v>
      </c>
      <c r="D3610" t="inlineStr">
        <is>
          <t>ÖREBRO LÄN</t>
        </is>
      </c>
      <c r="E3610" t="inlineStr">
        <is>
          <t>KARLSKOGA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31950-2022</t>
        </is>
      </c>
      <c r="B3611" s="1" t="n">
        <v>44777</v>
      </c>
      <c r="C3611" s="1" t="n">
        <v>45797</v>
      </c>
      <c r="D3611" t="inlineStr">
        <is>
          <t>ÖREBRO LÄN</t>
        </is>
      </c>
      <c r="E3611" t="inlineStr">
        <is>
          <t>LINDESBERG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31858-2022</t>
        </is>
      </c>
      <c r="B3612" s="1" t="n">
        <v>44777</v>
      </c>
      <c r="C3612" s="1" t="n">
        <v>45797</v>
      </c>
      <c r="D3612" t="inlineStr">
        <is>
          <t>ÖREBRO LÄN</t>
        </is>
      </c>
      <c r="E3612" t="inlineStr">
        <is>
          <t>LJUSNARSBERG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31893-2022</t>
        </is>
      </c>
      <c r="B3613" s="1" t="n">
        <v>44777</v>
      </c>
      <c r="C3613" s="1" t="n">
        <v>45797</v>
      </c>
      <c r="D3613" t="inlineStr">
        <is>
          <t>ÖREBRO LÄN</t>
        </is>
      </c>
      <c r="E3613" t="inlineStr">
        <is>
          <t>HALLSBERG</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31912-2022</t>
        </is>
      </c>
      <c r="B3614" s="1" t="n">
        <v>44777</v>
      </c>
      <c r="C3614" s="1" t="n">
        <v>45797</v>
      </c>
      <c r="D3614" t="inlineStr">
        <is>
          <t>ÖREBRO LÄN</t>
        </is>
      </c>
      <c r="E3614" t="inlineStr">
        <is>
          <t>HALLSBERG</t>
        </is>
      </c>
      <c r="F3614" t="inlineStr">
        <is>
          <t>Övriga Aktiebolag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31998-2022</t>
        </is>
      </c>
      <c r="B3615" s="1" t="n">
        <v>44778</v>
      </c>
      <c r="C3615" s="1" t="n">
        <v>45797</v>
      </c>
      <c r="D3615" t="inlineStr">
        <is>
          <t>ÖREBRO LÄN</t>
        </is>
      </c>
      <c r="E3615" t="inlineStr">
        <is>
          <t>LJUSNARSBERG</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31993-2022</t>
        </is>
      </c>
      <c r="B3616" s="1" t="n">
        <v>44778</v>
      </c>
      <c r="C3616" s="1" t="n">
        <v>45797</v>
      </c>
      <c r="D3616" t="inlineStr">
        <is>
          <t>ÖREBRO LÄN</t>
        </is>
      </c>
      <c r="E3616" t="inlineStr">
        <is>
          <t>ASKERSUND</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31994-2022</t>
        </is>
      </c>
      <c r="B3617" s="1" t="n">
        <v>44778</v>
      </c>
      <c r="C3617" s="1" t="n">
        <v>45797</v>
      </c>
      <c r="D3617" t="inlineStr">
        <is>
          <t>ÖREBRO LÄN</t>
        </is>
      </c>
      <c r="E3617" t="inlineStr">
        <is>
          <t>HALLSBERG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32083-2022</t>
        </is>
      </c>
      <c r="B3618" s="1" t="n">
        <v>44778</v>
      </c>
      <c r="C3618" s="1" t="n">
        <v>45797</v>
      </c>
      <c r="D3618" t="inlineStr">
        <is>
          <t>ÖREBRO LÄN</t>
        </is>
      </c>
      <c r="E3618" t="inlineStr">
        <is>
          <t>NORA</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32231-2022</t>
        </is>
      </c>
      <c r="B3619" s="1" t="n">
        <v>44781</v>
      </c>
      <c r="C3619" s="1" t="n">
        <v>45797</v>
      </c>
      <c r="D3619" t="inlineStr">
        <is>
          <t>ÖREBRO LÄN</t>
        </is>
      </c>
      <c r="E3619" t="inlineStr">
        <is>
          <t>ÖREBRO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32211-2022</t>
        </is>
      </c>
      <c r="B3620" s="1" t="n">
        <v>44781</v>
      </c>
      <c r="C3620" s="1" t="n">
        <v>45797</v>
      </c>
      <c r="D3620" t="inlineStr">
        <is>
          <t>ÖREBRO LÄN</t>
        </is>
      </c>
      <c r="E3620" t="inlineStr">
        <is>
          <t>DEGERFORS</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32274-2022</t>
        </is>
      </c>
      <c r="B3621" s="1" t="n">
        <v>44781</v>
      </c>
      <c r="C3621" s="1" t="n">
        <v>45797</v>
      </c>
      <c r="D3621" t="inlineStr">
        <is>
          <t>ÖREBRO LÄN</t>
        </is>
      </c>
      <c r="E3621" t="inlineStr">
        <is>
          <t>ÖREBRO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32247-2022</t>
        </is>
      </c>
      <c r="B3622" s="1" t="n">
        <v>44781</v>
      </c>
      <c r="C3622" s="1" t="n">
        <v>45797</v>
      </c>
      <c r="D3622" t="inlineStr">
        <is>
          <t>ÖREBRO LÄN</t>
        </is>
      </c>
      <c r="E3622" t="inlineStr">
        <is>
          <t>ÖREBRO</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32309-2022</t>
        </is>
      </c>
      <c r="B3623" s="1" t="n">
        <v>44781</v>
      </c>
      <c r="C3623" s="1" t="n">
        <v>45797</v>
      </c>
      <c r="D3623" t="inlineStr">
        <is>
          <t>ÖREBRO LÄN</t>
        </is>
      </c>
      <c r="E3623" t="inlineStr">
        <is>
          <t>LJUSNARSBERG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32300-2022</t>
        </is>
      </c>
      <c r="B3624" s="1" t="n">
        <v>44781</v>
      </c>
      <c r="C3624" s="1" t="n">
        <v>45797</v>
      </c>
      <c r="D3624" t="inlineStr">
        <is>
          <t>ÖREBRO LÄN</t>
        </is>
      </c>
      <c r="E3624" t="inlineStr">
        <is>
          <t>LJUSNARSBERG</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32319-2022</t>
        </is>
      </c>
      <c r="B3625" s="1" t="n">
        <v>44781</v>
      </c>
      <c r="C3625" s="1" t="n">
        <v>45797</v>
      </c>
      <c r="D3625" t="inlineStr">
        <is>
          <t>ÖREBRO LÄN</t>
        </is>
      </c>
      <c r="E3625" t="inlineStr">
        <is>
          <t>ASKERSUND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32321-2022</t>
        </is>
      </c>
      <c r="B3626" s="1" t="n">
        <v>44781</v>
      </c>
      <c r="C3626" s="1" t="n">
        <v>45797</v>
      </c>
      <c r="D3626" t="inlineStr">
        <is>
          <t>ÖREBRO LÄN</t>
        </is>
      </c>
      <c r="E3626" t="inlineStr">
        <is>
          <t>ASKERSUND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32325-2022</t>
        </is>
      </c>
      <c r="B3627" s="1" t="n">
        <v>44781</v>
      </c>
      <c r="C3627" s="1" t="n">
        <v>45797</v>
      </c>
      <c r="D3627" t="inlineStr">
        <is>
          <t>ÖREBRO LÄN</t>
        </is>
      </c>
      <c r="E3627" t="inlineStr">
        <is>
          <t>ASKERSUND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32512-2022</t>
        </is>
      </c>
      <c r="B3628" s="1" t="n">
        <v>44782</v>
      </c>
      <c r="C3628" s="1" t="n">
        <v>45797</v>
      </c>
      <c r="D3628" t="inlineStr">
        <is>
          <t>ÖREBRO LÄN</t>
        </is>
      </c>
      <c r="E3628" t="inlineStr">
        <is>
          <t>HALLSBERG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33609-2022</t>
        </is>
      </c>
      <c r="B3629" s="1" t="n">
        <v>44782</v>
      </c>
      <c r="C3629" s="1" t="n">
        <v>45797</v>
      </c>
      <c r="D3629" t="inlineStr">
        <is>
          <t>ÖREBRO LÄN</t>
        </is>
      </c>
      <c r="E3629" t="inlineStr">
        <is>
          <t>HÄLLEFORS</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34103-2022</t>
        </is>
      </c>
      <c r="B3630" s="1" t="n">
        <v>44782</v>
      </c>
      <c r="C3630" s="1" t="n">
        <v>45797</v>
      </c>
      <c r="D3630" t="inlineStr">
        <is>
          <t>ÖREBRO LÄN</t>
        </is>
      </c>
      <c r="E3630" t="inlineStr">
        <is>
          <t>HÄLLEFORS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33617-2022</t>
        </is>
      </c>
      <c r="B3631" s="1" t="n">
        <v>44782</v>
      </c>
      <c r="C3631" s="1" t="n">
        <v>45797</v>
      </c>
      <c r="D3631" t="inlineStr">
        <is>
          <t>ÖREBRO LÄN</t>
        </is>
      </c>
      <c r="E3631" t="inlineStr">
        <is>
          <t>HÄLLEFORS</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32547-2022</t>
        </is>
      </c>
      <c r="B3632" s="1" t="n">
        <v>44783</v>
      </c>
      <c r="C3632" s="1" t="n">
        <v>45797</v>
      </c>
      <c r="D3632" t="inlineStr">
        <is>
          <t>ÖREBRO LÄN</t>
        </is>
      </c>
      <c r="E3632" t="inlineStr">
        <is>
          <t>LINDESBERG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32725-2022</t>
        </is>
      </c>
      <c r="B3633" s="1" t="n">
        <v>44783</v>
      </c>
      <c r="C3633" s="1" t="n">
        <v>45797</v>
      </c>
      <c r="D3633" t="inlineStr">
        <is>
          <t>ÖREBRO LÄN</t>
        </is>
      </c>
      <c r="E3633" t="inlineStr">
        <is>
          <t>KUMLA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32573-2022</t>
        </is>
      </c>
      <c r="B3634" s="1" t="n">
        <v>44783</v>
      </c>
      <c r="C3634" s="1" t="n">
        <v>45797</v>
      </c>
      <c r="D3634" t="inlineStr">
        <is>
          <t>ÖREBRO LÄN</t>
        </is>
      </c>
      <c r="E3634" t="inlineStr">
        <is>
          <t>ASKERSUND</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32578-2022</t>
        </is>
      </c>
      <c r="B3635" s="1" t="n">
        <v>44783</v>
      </c>
      <c r="C3635" s="1" t="n">
        <v>45797</v>
      </c>
      <c r="D3635" t="inlineStr">
        <is>
          <t>ÖREBRO LÄN</t>
        </is>
      </c>
      <c r="E3635" t="inlineStr">
        <is>
          <t>ASKERSUND</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32818-2022</t>
        </is>
      </c>
      <c r="B3636" s="1" t="n">
        <v>44784</v>
      </c>
      <c r="C3636" s="1" t="n">
        <v>45797</v>
      </c>
      <c r="D3636" t="inlineStr">
        <is>
          <t>ÖREBRO LÄN</t>
        </is>
      </c>
      <c r="E3636" t="inlineStr">
        <is>
          <t>LINDESBERG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32859-2022</t>
        </is>
      </c>
      <c r="B3637" s="1" t="n">
        <v>44784</v>
      </c>
      <c r="C3637" s="1" t="n">
        <v>45797</v>
      </c>
      <c r="D3637" t="inlineStr">
        <is>
          <t>ÖREBRO LÄN</t>
        </is>
      </c>
      <c r="E3637" t="inlineStr">
        <is>
          <t>KUMLA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32864-2022</t>
        </is>
      </c>
      <c r="B3638" s="1" t="n">
        <v>44784</v>
      </c>
      <c r="C3638" s="1" t="n">
        <v>45797</v>
      </c>
      <c r="D3638" t="inlineStr">
        <is>
          <t>ÖREBRO LÄN</t>
        </is>
      </c>
      <c r="E3638" t="inlineStr">
        <is>
          <t>KUMLA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32907-2022</t>
        </is>
      </c>
      <c r="B3639" s="1" t="n">
        <v>44784</v>
      </c>
      <c r="C3639" s="1" t="n">
        <v>45797</v>
      </c>
      <c r="D3639" t="inlineStr">
        <is>
          <t>ÖREBRO LÄN</t>
        </is>
      </c>
      <c r="E3639" t="inlineStr">
        <is>
          <t>LINDESBERG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33405-2022</t>
        </is>
      </c>
      <c r="B3640" s="1" t="n">
        <v>44788</v>
      </c>
      <c r="C3640" s="1" t="n">
        <v>45797</v>
      </c>
      <c r="D3640" t="inlineStr">
        <is>
          <t>ÖREBRO LÄN</t>
        </is>
      </c>
      <c r="E3640" t="inlineStr">
        <is>
          <t>HALLSBERG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33488-2022</t>
        </is>
      </c>
      <c r="B3641" s="1" t="n">
        <v>44788</v>
      </c>
      <c r="C3641" s="1" t="n">
        <v>45797</v>
      </c>
      <c r="D3641" t="inlineStr">
        <is>
          <t>ÖREBRO LÄN</t>
        </is>
      </c>
      <c r="E3641" t="inlineStr">
        <is>
          <t>HÄLLEFORS</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33540-2022</t>
        </is>
      </c>
      <c r="B3642" s="1" t="n">
        <v>44789</v>
      </c>
      <c r="C3642" s="1" t="n">
        <v>45797</v>
      </c>
      <c r="D3642" t="inlineStr">
        <is>
          <t>ÖREBRO LÄN</t>
        </is>
      </c>
      <c r="E3642" t="inlineStr">
        <is>
          <t>LINDESBERG</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33581-2022</t>
        </is>
      </c>
      <c r="B3643" s="1" t="n">
        <v>44789</v>
      </c>
      <c r="C3643" s="1" t="n">
        <v>45797</v>
      </c>
      <c r="D3643" t="inlineStr">
        <is>
          <t>ÖREBRO LÄN</t>
        </is>
      </c>
      <c r="E3643" t="inlineStr">
        <is>
          <t>LINDESBERG</t>
        </is>
      </c>
      <c r="G3643" t="n">
        <v>14.4</v>
      </c>
      <c r="H3643" t="n">
        <v>0</v>
      </c>
      <c r="I3643" t="n">
        <v>0</v>
      </c>
      <c r="J3643" t="n">
        <v>0</v>
      </c>
      <c r="K3643" t="n">
        <v>0</v>
      </c>
      <c r="L3643" t="n">
        <v>0</v>
      </c>
      <c r="M3643" t="n">
        <v>0</v>
      </c>
      <c r="N3643" t="n">
        <v>0</v>
      </c>
      <c r="O3643" t="n">
        <v>0</v>
      </c>
      <c r="P3643" t="n">
        <v>0</v>
      </c>
      <c r="Q3643" t="n">
        <v>0</v>
      </c>
      <c r="R3643" s="2" t="inlineStr"/>
    </row>
    <row r="3644" ht="15" customHeight="1">
      <c r="A3644" t="inlineStr">
        <is>
          <t>A 33576-2022</t>
        </is>
      </c>
      <c r="B3644" s="1" t="n">
        <v>44789</v>
      </c>
      <c r="C3644" s="1" t="n">
        <v>45797</v>
      </c>
      <c r="D3644" t="inlineStr">
        <is>
          <t>ÖREBRO LÄN</t>
        </is>
      </c>
      <c r="E3644" t="inlineStr">
        <is>
          <t>LINDESBERG</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33858-2022</t>
        </is>
      </c>
      <c r="B3645" s="1" t="n">
        <v>44790</v>
      </c>
      <c r="C3645" s="1" t="n">
        <v>45797</v>
      </c>
      <c r="D3645" t="inlineStr">
        <is>
          <t>ÖREBRO LÄN</t>
        </is>
      </c>
      <c r="E3645" t="inlineStr">
        <is>
          <t>LJUSNARSBERG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33750-2022</t>
        </is>
      </c>
      <c r="B3646" s="1" t="n">
        <v>44790</v>
      </c>
      <c r="C3646" s="1" t="n">
        <v>45797</v>
      </c>
      <c r="D3646" t="inlineStr">
        <is>
          <t>ÖREBRO LÄN</t>
        </is>
      </c>
      <c r="E3646" t="inlineStr">
        <is>
          <t>NORA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33760-2022</t>
        </is>
      </c>
      <c r="B3647" s="1" t="n">
        <v>44790</v>
      </c>
      <c r="C3647" s="1" t="n">
        <v>45797</v>
      </c>
      <c r="D3647" t="inlineStr">
        <is>
          <t>ÖREBRO LÄN</t>
        </is>
      </c>
      <c r="E3647" t="inlineStr">
        <is>
          <t>LINDESBERG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33861-2022</t>
        </is>
      </c>
      <c r="B3648" s="1" t="n">
        <v>44790</v>
      </c>
      <c r="C3648" s="1" t="n">
        <v>45797</v>
      </c>
      <c r="D3648" t="inlineStr">
        <is>
          <t>ÖREBRO LÄN</t>
        </is>
      </c>
      <c r="E3648" t="inlineStr">
        <is>
          <t>LJUSNARSBERG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33764-2022</t>
        </is>
      </c>
      <c r="B3649" s="1" t="n">
        <v>44790</v>
      </c>
      <c r="C3649" s="1" t="n">
        <v>45797</v>
      </c>
      <c r="D3649" t="inlineStr">
        <is>
          <t>ÖREBRO LÄN</t>
        </is>
      </c>
      <c r="E3649" t="inlineStr">
        <is>
          <t>LAXÅ</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33774-2022</t>
        </is>
      </c>
      <c r="B3650" s="1" t="n">
        <v>44790</v>
      </c>
      <c r="C3650" s="1" t="n">
        <v>45797</v>
      </c>
      <c r="D3650" t="inlineStr">
        <is>
          <t>ÖREBRO LÄN</t>
        </is>
      </c>
      <c r="E3650" t="inlineStr">
        <is>
          <t>LAXÅ</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33887-2022</t>
        </is>
      </c>
      <c r="B3651" s="1" t="n">
        <v>44790</v>
      </c>
      <c r="C3651" s="1" t="n">
        <v>45797</v>
      </c>
      <c r="D3651" t="inlineStr">
        <is>
          <t>ÖREBRO LÄN</t>
        </is>
      </c>
      <c r="E3651" t="inlineStr">
        <is>
          <t>ASKERSUND</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34026-2022</t>
        </is>
      </c>
      <c r="B3652" s="1" t="n">
        <v>44791</v>
      </c>
      <c r="C3652" s="1" t="n">
        <v>45797</v>
      </c>
      <c r="D3652" t="inlineStr">
        <is>
          <t>ÖREBRO LÄN</t>
        </is>
      </c>
      <c r="E3652" t="inlineStr">
        <is>
          <t>NORA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34015-2022</t>
        </is>
      </c>
      <c r="B3653" s="1" t="n">
        <v>44791</v>
      </c>
      <c r="C3653" s="1" t="n">
        <v>45797</v>
      </c>
      <c r="D3653" t="inlineStr">
        <is>
          <t>ÖREBRO LÄN</t>
        </is>
      </c>
      <c r="E3653" t="inlineStr">
        <is>
          <t>HÄLLEFORS</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34141-2022</t>
        </is>
      </c>
      <c r="B3654" s="1" t="n">
        <v>44791</v>
      </c>
      <c r="C3654" s="1" t="n">
        <v>45797</v>
      </c>
      <c r="D3654" t="inlineStr">
        <is>
          <t>ÖREBRO LÄN</t>
        </is>
      </c>
      <c r="E3654" t="inlineStr">
        <is>
          <t>NORA</t>
        </is>
      </c>
      <c r="F3654" t="inlineStr">
        <is>
          <t>Sveaskog</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34164-2022</t>
        </is>
      </c>
      <c r="B3655" s="1" t="n">
        <v>44791</v>
      </c>
      <c r="C3655" s="1" t="n">
        <v>45797</v>
      </c>
      <c r="D3655" t="inlineStr">
        <is>
          <t>ÖREBRO LÄN</t>
        </is>
      </c>
      <c r="E3655" t="inlineStr">
        <is>
          <t>NORA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34195-2022</t>
        </is>
      </c>
      <c r="B3656" s="1" t="n">
        <v>44791</v>
      </c>
      <c r="C3656" s="1" t="n">
        <v>45797</v>
      </c>
      <c r="D3656" t="inlineStr">
        <is>
          <t>ÖREBRO LÄN</t>
        </is>
      </c>
      <c r="E3656" t="inlineStr">
        <is>
          <t>NORA</t>
        </is>
      </c>
      <c r="F3656" t="inlineStr">
        <is>
          <t>Sveaskog</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34139-2022</t>
        </is>
      </c>
      <c r="B3657" s="1" t="n">
        <v>44791</v>
      </c>
      <c r="C3657" s="1" t="n">
        <v>45797</v>
      </c>
      <c r="D3657" t="inlineStr">
        <is>
          <t>ÖREBRO LÄN</t>
        </is>
      </c>
      <c r="E3657" t="inlineStr">
        <is>
          <t>ASKERSUND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34071-2022</t>
        </is>
      </c>
      <c r="B3658" s="1" t="n">
        <v>44791</v>
      </c>
      <c r="C3658" s="1" t="n">
        <v>45797</v>
      </c>
      <c r="D3658" t="inlineStr">
        <is>
          <t>ÖREBRO LÄN</t>
        </is>
      </c>
      <c r="E3658" t="inlineStr">
        <is>
          <t>ASKERSUND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34093-2022</t>
        </is>
      </c>
      <c r="B3659" s="1" t="n">
        <v>44791</v>
      </c>
      <c r="C3659" s="1" t="n">
        <v>45797</v>
      </c>
      <c r="D3659" t="inlineStr">
        <is>
          <t>ÖREBRO LÄN</t>
        </is>
      </c>
      <c r="E3659" t="inlineStr">
        <is>
          <t>LINDESBERG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34204-2022</t>
        </is>
      </c>
      <c r="B3660" s="1" t="n">
        <v>44791</v>
      </c>
      <c r="C3660" s="1" t="n">
        <v>45797</v>
      </c>
      <c r="D3660" t="inlineStr">
        <is>
          <t>ÖREBRO LÄN</t>
        </is>
      </c>
      <c r="E3660" t="inlineStr">
        <is>
          <t>NORA</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34201-2022</t>
        </is>
      </c>
      <c r="B3661" s="1" t="n">
        <v>44791</v>
      </c>
      <c r="C3661" s="1" t="n">
        <v>45797</v>
      </c>
      <c r="D3661" t="inlineStr">
        <is>
          <t>ÖREBRO LÄN</t>
        </is>
      </c>
      <c r="E3661" t="inlineStr">
        <is>
          <t>NORA</t>
        </is>
      </c>
      <c r="F3661" t="inlineStr">
        <is>
          <t>Sveaskog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34227-2022</t>
        </is>
      </c>
      <c r="B3662" s="1" t="n">
        <v>44791</v>
      </c>
      <c r="C3662" s="1" t="n">
        <v>45797</v>
      </c>
      <c r="D3662" t="inlineStr">
        <is>
          <t>ÖREBRO LÄN</t>
        </is>
      </c>
      <c r="E3662" t="inlineStr">
        <is>
          <t>HALLSBERG</t>
        </is>
      </c>
      <c r="F3662" t="inlineStr">
        <is>
          <t>Övriga Aktiebolag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34200-2022</t>
        </is>
      </c>
      <c r="B3663" s="1" t="n">
        <v>44791</v>
      </c>
      <c r="C3663" s="1" t="n">
        <v>45797</v>
      </c>
      <c r="D3663" t="inlineStr">
        <is>
          <t>ÖREBRO LÄN</t>
        </is>
      </c>
      <c r="E3663" t="inlineStr">
        <is>
          <t>NORA</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34206-2022</t>
        </is>
      </c>
      <c r="B3664" s="1" t="n">
        <v>44791</v>
      </c>
      <c r="C3664" s="1" t="n">
        <v>45797</v>
      </c>
      <c r="D3664" t="inlineStr">
        <is>
          <t>ÖREBRO LÄN</t>
        </is>
      </c>
      <c r="E3664" t="inlineStr">
        <is>
          <t>NORA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34222-2022</t>
        </is>
      </c>
      <c r="B3665" s="1" t="n">
        <v>44791</v>
      </c>
      <c r="C3665" s="1" t="n">
        <v>45797</v>
      </c>
      <c r="D3665" t="inlineStr">
        <is>
          <t>ÖREBRO LÄN</t>
        </is>
      </c>
      <c r="E3665" t="inlineStr">
        <is>
          <t>HALLSBERG</t>
        </is>
      </c>
      <c r="F3665" t="inlineStr">
        <is>
          <t>Övriga Aktiebolag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34193-2022</t>
        </is>
      </c>
      <c r="B3666" s="1" t="n">
        <v>44791</v>
      </c>
      <c r="C3666" s="1" t="n">
        <v>45797</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34311-2022</t>
        </is>
      </c>
      <c r="B3667" s="1" t="n">
        <v>44792</v>
      </c>
      <c r="C3667" s="1" t="n">
        <v>45797</v>
      </c>
      <c r="D3667" t="inlineStr">
        <is>
          <t>ÖREBRO LÄN</t>
        </is>
      </c>
      <c r="E3667" t="inlineStr">
        <is>
          <t>HÄLLEFORS</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34384-2022</t>
        </is>
      </c>
      <c r="B3668" s="1" t="n">
        <v>44792</v>
      </c>
      <c r="C3668" s="1" t="n">
        <v>45797</v>
      </c>
      <c r="D3668" t="inlineStr">
        <is>
          <t>ÖREBRO LÄN</t>
        </is>
      </c>
      <c r="E3668" t="inlineStr">
        <is>
          <t>HÄLLEFORS</t>
        </is>
      </c>
      <c r="F3668" t="inlineStr">
        <is>
          <t>Bergvik skog väst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34313-2022</t>
        </is>
      </c>
      <c r="B3669" s="1" t="n">
        <v>44792</v>
      </c>
      <c r="C3669" s="1" t="n">
        <v>45797</v>
      </c>
      <c r="D3669" t="inlineStr">
        <is>
          <t>ÖREBRO LÄN</t>
        </is>
      </c>
      <c r="E3669" t="inlineStr">
        <is>
          <t>HÄLLEFORS</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34355-2022</t>
        </is>
      </c>
      <c r="B3670" s="1" t="n">
        <v>44792</v>
      </c>
      <c r="C3670" s="1" t="n">
        <v>45797</v>
      </c>
      <c r="D3670" t="inlineStr">
        <is>
          <t>ÖREBRO LÄN</t>
        </is>
      </c>
      <c r="E3670" t="inlineStr">
        <is>
          <t>HÄLLEFORS</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34344-2022</t>
        </is>
      </c>
      <c r="B3671" s="1" t="n">
        <v>44792</v>
      </c>
      <c r="C3671" s="1" t="n">
        <v>45797</v>
      </c>
      <c r="D3671" t="inlineStr">
        <is>
          <t>ÖREBRO LÄN</t>
        </is>
      </c>
      <c r="E3671" t="inlineStr">
        <is>
          <t>HÄLLEFORS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34358-2022</t>
        </is>
      </c>
      <c r="B3672" s="1" t="n">
        <v>44792</v>
      </c>
      <c r="C3672" s="1" t="n">
        <v>45797</v>
      </c>
      <c r="D3672" t="inlineStr">
        <is>
          <t>ÖREBRO LÄN</t>
        </is>
      </c>
      <c r="E3672" t="inlineStr">
        <is>
          <t>ÖREBRO</t>
        </is>
      </c>
      <c r="F3672" t="inlineStr">
        <is>
          <t>Övriga Aktiebolag</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34437-2022</t>
        </is>
      </c>
      <c r="B3673" s="1" t="n">
        <v>44792</v>
      </c>
      <c r="C3673" s="1" t="n">
        <v>45797</v>
      </c>
      <c r="D3673" t="inlineStr">
        <is>
          <t>ÖREBRO LÄN</t>
        </is>
      </c>
      <c r="E3673" t="inlineStr">
        <is>
          <t>LAXÅ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34478-2022</t>
        </is>
      </c>
      <c r="B3674" s="1" t="n">
        <v>44792</v>
      </c>
      <c r="C3674" s="1" t="n">
        <v>45797</v>
      </c>
      <c r="D3674" t="inlineStr">
        <is>
          <t>ÖREBRO LÄN</t>
        </is>
      </c>
      <c r="E3674" t="inlineStr">
        <is>
          <t>HÄLLEFORS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34479-2022</t>
        </is>
      </c>
      <c r="B3675" s="1" t="n">
        <v>44792</v>
      </c>
      <c r="C3675" s="1" t="n">
        <v>45797</v>
      </c>
      <c r="D3675" t="inlineStr">
        <is>
          <t>ÖREBRO LÄN</t>
        </is>
      </c>
      <c r="E3675" t="inlineStr">
        <is>
          <t>HÄLLEFORS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34480-2022</t>
        </is>
      </c>
      <c r="B3676" s="1" t="n">
        <v>44792</v>
      </c>
      <c r="C3676" s="1" t="n">
        <v>45797</v>
      </c>
      <c r="D3676" t="inlineStr">
        <is>
          <t>ÖREBRO LÄN</t>
        </is>
      </c>
      <c r="E3676" t="inlineStr">
        <is>
          <t>HÄLLEFORS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34481-2022</t>
        </is>
      </c>
      <c r="B3677" s="1" t="n">
        <v>44792</v>
      </c>
      <c r="C3677" s="1" t="n">
        <v>45797</v>
      </c>
      <c r="D3677" t="inlineStr">
        <is>
          <t>ÖREBRO LÄN</t>
        </is>
      </c>
      <c r="E3677" t="inlineStr">
        <is>
          <t>LAXÅ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34653-2022</t>
        </is>
      </c>
      <c r="B3678" s="1" t="n">
        <v>44795</v>
      </c>
      <c r="C3678" s="1" t="n">
        <v>45797</v>
      </c>
      <c r="D3678" t="inlineStr">
        <is>
          <t>ÖREBRO LÄN</t>
        </is>
      </c>
      <c r="E3678" t="inlineStr">
        <is>
          <t>HÄLLEFORS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34585-2022</t>
        </is>
      </c>
      <c r="B3679" s="1" t="n">
        <v>44795</v>
      </c>
      <c r="C3679" s="1" t="n">
        <v>45797</v>
      </c>
      <c r="D3679" t="inlineStr">
        <is>
          <t>ÖREBRO LÄN</t>
        </is>
      </c>
      <c r="E3679" t="inlineStr">
        <is>
          <t>LAXÅ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34594-2022</t>
        </is>
      </c>
      <c r="B3680" s="1" t="n">
        <v>44795</v>
      </c>
      <c r="C3680" s="1" t="n">
        <v>45797</v>
      </c>
      <c r="D3680" t="inlineStr">
        <is>
          <t>ÖREBRO LÄN</t>
        </is>
      </c>
      <c r="E3680" t="inlineStr">
        <is>
          <t>LAXÅ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34736-2022</t>
        </is>
      </c>
      <c r="B3681" s="1" t="n">
        <v>44795</v>
      </c>
      <c r="C3681" s="1" t="n">
        <v>45797</v>
      </c>
      <c r="D3681" t="inlineStr">
        <is>
          <t>ÖREBRO LÄN</t>
        </is>
      </c>
      <c r="E3681" t="inlineStr">
        <is>
          <t>LAXÅ</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34885-2022</t>
        </is>
      </c>
      <c r="B3682" s="1" t="n">
        <v>44796</v>
      </c>
      <c r="C3682" s="1" t="n">
        <v>45797</v>
      </c>
      <c r="D3682" t="inlineStr">
        <is>
          <t>ÖREBRO LÄN</t>
        </is>
      </c>
      <c r="E3682" t="inlineStr">
        <is>
          <t>LEKEBERG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34884-2022</t>
        </is>
      </c>
      <c r="B3683" s="1" t="n">
        <v>44796</v>
      </c>
      <c r="C3683" s="1" t="n">
        <v>45797</v>
      </c>
      <c r="D3683" t="inlineStr">
        <is>
          <t>ÖREBRO LÄN</t>
        </is>
      </c>
      <c r="E3683" t="inlineStr">
        <is>
          <t>DEGERFORS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34874-2022</t>
        </is>
      </c>
      <c r="B3684" s="1" t="n">
        <v>44796</v>
      </c>
      <c r="C3684" s="1" t="n">
        <v>45797</v>
      </c>
      <c r="D3684" t="inlineStr">
        <is>
          <t>ÖREBRO LÄN</t>
        </is>
      </c>
      <c r="E3684" t="inlineStr">
        <is>
          <t>ÖREBRO</t>
        </is>
      </c>
      <c r="F3684" t="inlineStr">
        <is>
          <t>Övriga Aktiebolag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34998-2022</t>
        </is>
      </c>
      <c r="B3685" s="1" t="n">
        <v>44796</v>
      </c>
      <c r="C3685" s="1" t="n">
        <v>45797</v>
      </c>
      <c r="D3685" t="inlineStr">
        <is>
          <t>ÖREBRO LÄN</t>
        </is>
      </c>
      <c r="E3685" t="inlineStr">
        <is>
          <t>ASKERSUND</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35097-2022</t>
        </is>
      </c>
      <c r="B3686" s="1" t="n">
        <v>44797</v>
      </c>
      <c r="C3686" s="1" t="n">
        <v>45797</v>
      </c>
      <c r="D3686" t="inlineStr">
        <is>
          <t>ÖREBRO LÄN</t>
        </is>
      </c>
      <c r="E3686" t="inlineStr">
        <is>
          <t>HALLSBERG</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35107-2022</t>
        </is>
      </c>
      <c r="B3687" s="1" t="n">
        <v>44797</v>
      </c>
      <c r="C3687" s="1" t="n">
        <v>45797</v>
      </c>
      <c r="D3687" t="inlineStr">
        <is>
          <t>ÖREBRO LÄN</t>
        </is>
      </c>
      <c r="E3687" t="inlineStr">
        <is>
          <t>DEGERFORS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35095-2022</t>
        </is>
      </c>
      <c r="B3688" s="1" t="n">
        <v>44797</v>
      </c>
      <c r="C3688" s="1" t="n">
        <v>45797</v>
      </c>
      <c r="D3688" t="inlineStr">
        <is>
          <t>ÖREBRO LÄN</t>
        </is>
      </c>
      <c r="E3688" t="inlineStr">
        <is>
          <t>HALLSBERG</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35130-2022</t>
        </is>
      </c>
      <c r="B3689" s="1" t="n">
        <v>44797</v>
      </c>
      <c r="C3689" s="1" t="n">
        <v>45797</v>
      </c>
      <c r="D3689" t="inlineStr">
        <is>
          <t>ÖREBRO LÄN</t>
        </is>
      </c>
      <c r="E3689" t="inlineStr">
        <is>
          <t>LAXÅ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35243-2022</t>
        </is>
      </c>
      <c r="B3690" s="1" t="n">
        <v>44798</v>
      </c>
      <c r="C3690" s="1" t="n">
        <v>45797</v>
      </c>
      <c r="D3690" t="inlineStr">
        <is>
          <t>ÖREBRO LÄN</t>
        </is>
      </c>
      <c r="E3690" t="inlineStr">
        <is>
          <t>HÄLLEFORS</t>
        </is>
      </c>
      <c r="F3690" t="inlineStr">
        <is>
          <t>Bergvik skog väst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35259-2022</t>
        </is>
      </c>
      <c r="B3691" s="1" t="n">
        <v>44798</v>
      </c>
      <c r="C3691" s="1" t="n">
        <v>45797</v>
      </c>
      <c r="D3691" t="inlineStr">
        <is>
          <t>ÖREBRO LÄN</t>
        </is>
      </c>
      <c r="E3691" t="inlineStr">
        <is>
          <t>KUMLA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35303-2022</t>
        </is>
      </c>
      <c r="B3692" s="1" t="n">
        <v>44798</v>
      </c>
      <c r="C3692" s="1" t="n">
        <v>45797</v>
      </c>
      <c r="D3692" t="inlineStr">
        <is>
          <t>ÖREBRO LÄN</t>
        </is>
      </c>
      <c r="E3692" t="inlineStr">
        <is>
          <t>ASKERSUND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35318-2022</t>
        </is>
      </c>
      <c r="B3693" s="1" t="n">
        <v>44798</v>
      </c>
      <c r="C3693" s="1" t="n">
        <v>45797</v>
      </c>
      <c r="D3693" t="inlineStr">
        <is>
          <t>ÖREBRO LÄN</t>
        </is>
      </c>
      <c r="E3693" t="inlineStr">
        <is>
          <t>ASKERSUND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35345-2022</t>
        </is>
      </c>
      <c r="B3694" s="1" t="n">
        <v>44798</v>
      </c>
      <c r="C3694" s="1" t="n">
        <v>45797</v>
      </c>
      <c r="D3694" t="inlineStr">
        <is>
          <t>ÖREBRO LÄN</t>
        </is>
      </c>
      <c r="E3694" t="inlineStr">
        <is>
          <t>HÄLLEFORS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35322-2022</t>
        </is>
      </c>
      <c r="B3695" s="1" t="n">
        <v>44798</v>
      </c>
      <c r="C3695" s="1" t="n">
        <v>45797</v>
      </c>
      <c r="D3695" t="inlineStr">
        <is>
          <t>ÖREBRO LÄN</t>
        </is>
      </c>
      <c r="E3695" t="inlineStr">
        <is>
          <t>ASKERSUND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35327-2022</t>
        </is>
      </c>
      <c r="B3696" s="1" t="n">
        <v>44798</v>
      </c>
      <c r="C3696" s="1" t="n">
        <v>45797</v>
      </c>
      <c r="D3696" t="inlineStr">
        <is>
          <t>ÖREBRO LÄN</t>
        </is>
      </c>
      <c r="E3696" t="inlineStr">
        <is>
          <t>ASKERSUND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35421-2022</t>
        </is>
      </c>
      <c r="B3697" s="1" t="n">
        <v>44798</v>
      </c>
      <c r="C3697" s="1" t="n">
        <v>45797</v>
      </c>
      <c r="D3697" t="inlineStr">
        <is>
          <t>ÖREBRO LÄN</t>
        </is>
      </c>
      <c r="E3697" t="inlineStr">
        <is>
          <t>HALLSBERG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35428-2022</t>
        </is>
      </c>
      <c r="B3698" s="1" t="n">
        <v>44798</v>
      </c>
      <c r="C3698" s="1" t="n">
        <v>45797</v>
      </c>
      <c r="D3698" t="inlineStr">
        <is>
          <t>ÖREBRO LÄN</t>
        </is>
      </c>
      <c r="E3698" t="inlineStr">
        <is>
          <t>HALLSBERG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35613-2022</t>
        </is>
      </c>
      <c r="B3699" s="1" t="n">
        <v>44799</v>
      </c>
      <c r="C3699" s="1" t="n">
        <v>45797</v>
      </c>
      <c r="D3699" t="inlineStr">
        <is>
          <t>ÖREBRO LÄN</t>
        </is>
      </c>
      <c r="E3699" t="inlineStr">
        <is>
          <t>LAXÅ</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35633-2022</t>
        </is>
      </c>
      <c r="B3700" s="1" t="n">
        <v>44799</v>
      </c>
      <c r="C3700" s="1" t="n">
        <v>45797</v>
      </c>
      <c r="D3700" t="inlineStr">
        <is>
          <t>ÖREBRO LÄN</t>
        </is>
      </c>
      <c r="E3700" t="inlineStr">
        <is>
          <t>ASKERSUND</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35638-2022</t>
        </is>
      </c>
      <c r="B3701" s="1" t="n">
        <v>44799</v>
      </c>
      <c r="C3701" s="1" t="n">
        <v>45797</v>
      </c>
      <c r="D3701" t="inlineStr">
        <is>
          <t>ÖREBRO LÄN</t>
        </is>
      </c>
      <c r="E3701" t="inlineStr">
        <is>
          <t>ASKERSUND</t>
        </is>
      </c>
      <c r="G3701" t="n">
        <v>9.300000000000001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35671-2022</t>
        </is>
      </c>
      <c r="B3702" s="1" t="n">
        <v>44799</v>
      </c>
      <c r="C3702" s="1" t="n">
        <v>45797</v>
      </c>
      <c r="D3702" t="inlineStr">
        <is>
          <t>ÖREBRO LÄN</t>
        </is>
      </c>
      <c r="E3702" t="inlineStr">
        <is>
          <t>NORA</t>
        </is>
      </c>
      <c r="F3702" t="inlineStr">
        <is>
          <t>Sveaskog</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35673-2022</t>
        </is>
      </c>
      <c r="B3703" s="1" t="n">
        <v>44799</v>
      </c>
      <c r="C3703" s="1" t="n">
        <v>45797</v>
      </c>
      <c r="D3703" t="inlineStr">
        <is>
          <t>ÖREBRO LÄN</t>
        </is>
      </c>
      <c r="E3703" t="inlineStr">
        <is>
          <t>NORA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35670-2022</t>
        </is>
      </c>
      <c r="B3704" s="1" t="n">
        <v>44799</v>
      </c>
      <c r="C3704" s="1" t="n">
        <v>45797</v>
      </c>
      <c r="D3704" t="inlineStr">
        <is>
          <t>ÖREBRO LÄN</t>
        </is>
      </c>
      <c r="E3704" t="inlineStr">
        <is>
          <t>NORA</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35731-2022</t>
        </is>
      </c>
      <c r="B3705" s="1" t="n">
        <v>44799</v>
      </c>
      <c r="C3705" s="1" t="n">
        <v>45797</v>
      </c>
      <c r="D3705" t="inlineStr">
        <is>
          <t>ÖREBRO LÄN</t>
        </is>
      </c>
      <c r="E3705" t="inlineStr">
        <is>
          <t>NORA</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35730-2022</t>
        </is>
      </c>
      <c r="B3706" s="1" t="n">
        <v>44799</v>
      </c>
      <c r="C3706" s="1" t="n">
        <v>45797</v>
      </c>
      <c r="D3706" t="inlineStr">
        <is>
          <t>ÖREBRO LÄN</t>
        </is>
      </c>
      <c r="E3706" t="inlineStr">
        <is>
          <t>NORA</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35792-2022</t>
        </is>
      </c>
      <c r="B3707" s="1" t="n">
        <v>44801</v>
      </c>
      <c r="C3707" s="1" t="n">
        <v>45797</v>
      </c>
      <c r="D3707" t="inlineStr">
        <is>
          <t>ÖREBRO LÄN</t>
        </is>
      </c>
      <c r="E3707" t="inlineStr">
        <is>
          <t>LAXÅ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35870-2022</t>
        </is>
      </c>
      <c r="B3708" s="1" t="n">
        <v>44802</v>
      </c>
      <c r="C3708" s="1" t="n">
        <v>45797</v>
      </c>
      <c r="D3708" t="inlineStr">
        <is>
          <t>ÖREBRO LÄN</t>
        </is>
      </c>
      <c r="E3708" t="inlineStr">
        <is>
          <t>NORA</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35838-2022</t>
        </is>
      </c>
      <c r="B3709" s="1" t="n">
        <v>44802</v>
      </c>
      <c r="C3709" s="1" t="n">
        <v>45797</v>
      </c>
      <c r="D3709" t="inlineStr">
        <is>
          <t>ÖREBRO LÄN</t>
        </is>
      </c>
      <c r="E3709" t="inlineStr">
        <is>
          <t>LJUSNARSBERG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35843-2022</t>
        </is>
      </c>
      <c r="B3710" s="1" t="n">
        <v>44802</v>
      </c>
      <c r="C3710" s="1" t="n">
        <v>45797</v>
      </c>
      <c r="D3710" t="inlineStr">
        <is>
          <t>ÖREBRO LÄN</t>
        </is>
      </c>
      <c r="E3710" t="inlineStr">
        <is>
          <t>ÖREBRO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35996-2022</t>
        </is>
      </c>
      <c r="B3711" s="1" t="n">
        <v>44802</v>
      </c>
      <c r="C3711" s="1" t="n">
        <v>45797</v>
      </c>
      <c r="D3711" t="inlineStr">
        <is>
          <t>ÖREBRO LÄN</t>
        </is>
      </c>
      <c r="E3711" t="inlineStr">
        <is>
          <t>LAXÅ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36291-2022</t>
        </is>
      </c>
      <c r="B3712" s="1" t="n">
        <v>44803</v>
      </c>
      <c r="C3712" s="1" t="n">
        <v>45797</v>
      </c>
      <c r="D3712" t="inlineStr">
        <is>
          <t>ÖREBRO LÄN</t>
        </is>
      </c>
      <c r="E3712" t="inlineStr">
        <is>
          <t>LINDESBERG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36276-2022</t>
        </is>
      </c>
      <c r="B3713" s="1" t="n">
        <v>44803</v>
      </c>
      <c r="C3713" s="1" t="n">
        <v>45797</v>
      </c>
      <c r="D3713" t="inlineStr">
        <is>
          <t>ÖREBRO LÄN</t>
        </is>
      </c>
      <c r="E3713" t="inlineStr">
        <is>
          <t>HALLSBERG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36348-2022</t>
        </is>
      </c>
      <c r="B3714" s="1" t="n">
        <v>44803</v>
      </c>
      <c r="C3714" s="1" t="n">
        <v>45797</v>
      </c>
      <c r="D3714" t="inlineStr">
        <is>
          <t>ÖREBRO LÄN</t>
        </is>
      </c>
      <c r="E3714" t="inlineStr">
        <is>
          <t>LAXÅ</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36349-2022</t>
        </is>
      </c>
      <c r="B3715" s="1" t="n">
        <v>44803</v>
      </c>
      <c r="C3715" s="1" t="n">
        <v>45797</v>
      </c>
      <c r="D3715" t="inlineStr">
        <is>
          <t>ÖREBRO LÄN</t>
        </is>
      </c>
      <c r="E3715" t="inlineStr">
        <is>
          <t>LAXÅ</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36346-2022</t>
        </is>
      </c>
      <c r="B3716" s="1" t="n">
        <v>44803</v>
      </c>
      <c r="C3716" s="1" t="n">
        <v>45797</v>
      </c>
      <c r="D3716" t="inlineStr">
        <is>
          <t>ÖREBRO LÄN</t>
        </is>
      </c>
      <c r="E3716" t="inlineStr">
        <is>
          <t>LAXÅ</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36351-2022</t>
        </is>
      </c>
      <c r="B3717" s="1" t="n">
        <v>44803</v>
      </c>
      <c r="C3717" s="1" t="n">
        <v>45797</v>
      </c>
      <c r="D3717" t="inlineStr">
        <is>
          <t>ÖREBRO LÄN</t>
        </is>
      </c>
      <c r="E3717" t="inlineStr">
        <is>
          <t>LAXÅ</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36295-2022</t>
        </is>
      </c>
      <c r="B3718" s="1" t="n">
        <v>44803</v>
      </c>
      <c r="C3718" s="1" t="n">
        <v>45797</v>
      </c>
      <c r="D3718" t="inlineStr">
        <is>
          <t>ÖREBRO LÄN</t>
        </is>
      </c>
      <c r="E3718" t="inlineStr">
        <is>
          <t>LJUSNARSBERG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36350-2022</t>
        </is>
      </c>
      <c r="B3719" s="1" t="n">
        <v>44803</v>
      </c>
      <c r="C3719" s="1" t="n">
        <v>45797</v>
      </c>
      <c r="D3719" t="inlineStr">
        <is>
          <t>ÖREBRO LÄN</t>
        </is>
      </c>
      <c r="E3719" t="inlineStr">
        <is>
          <t>LAXÅ</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36444-2022</t>
        </is>
      </c>
      <c r="B3720" s="1" t="n">
        <v>44804</v>
      </c>
      <c r="C3720" s="1" t="n">
        <v>45797</v>
      </c>
      <c r="D3720" t="inlineStr">
        <is>
          <t>ÖREBRO LÄN</t>
        </is>
      </c>
      <c r="E3720" t="inlineStr">
        <is>
          <t>LEKEBERG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36520-2022</t>
        </is>
      </c>
      <c r="B3721" s="1" t="n">
        <v>44804</v>
      </c>
      <c r="C3721" s="1" t="n">
        <v>45797</v>
      </c>
      <c r="D3721" t="inlineStr">
        <is>
          <t>ÖREBRO LÄN</t>
        </is>
      </c>
      <c r="E3721" t="inlineStr">
        <is>
          <t>LAXÅ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36484-2022</t>
        </is>
      </c>
      <c r="B3722" s="1" t="n">
        <v>44804</v>
      </c>
      <c r="C3722" s="1" t="n">
        <v>45797</v>
      </c>
      <c r="D3722" t="inlineStr">
        <is>
          <t>ÖREBRO LÄN</t>
        </is>
      </c>
      <c r="E3722" t="inlineStr">
        <is>
          <t>ASKERSUND</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36635-2022</t>
        </is>
      </c>
      <c r="B3723" s="1" t="n">
        <v>44804</v>
      </c>
      <c r="C3723" s="1" t="n">
        <v>45797</v>
      </c>
      <c r="D3723" t="inlineStr">
        <is>
          <t>ÖREBRO LÄN</t>
        </is>
      </c>
      <c r="E3723" t="inlineStr">
        <is>
          <t>HÄLLEFORS</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36794-2022</t>
        </is>
      </c>
      <c r="B3724" s="1" t="n">
        <v>44805</v>
      </c>
      <c r="C3724" s="1" t="n">
        <v>45797</v>
      </c>
      <c r="D3724" t="inlineStr">
        <is>
          <t>ÖREBRO LÄN</t>
        </is>
      </c>
      <c r="E3724" t="inlineStr">
        <is>
          <t>ÖREBRO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36784-2022</t>
        </is>
      </c>
      <c r="B3725" s="1" t="n">
        <v>44805</v>
      </c>
      <c r="C3725" s="1" t="n">
        <v>45797</v>
      </c>
      <c r="D3725" t="inlineStr">
        <is>
          <t>ÖREBRO LÄN</t>
        </is>
      </c>
      <c r="E3725" t="inlineStr">
        <is>
          <t>DEGERFORS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36798-2022</t>
        </is>
      </c>
      <c r="B3726" s="1" t="n">
        <v>44805</v>
      </c>
      <c r="C3726" s="1" t="n">
        <v>45797</v>
      </c>
      <c r="D3726" t="inlineStr">
        <is>
          <t>ÖREBRO LÄN</t>
        </is>
      </c>
      <c r="E3726" t="inlineStr">
        <is>
          <t>DEGERFORS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37146-2022</t>
        </is>
      </c>
      <c r="B3727" s="1" t="n">
        <v>44805</v>
      </c>
      <c r="C3727" s="1" t="n">
        <v>45797</v>
      </c>
      <c r="D3727" t="inlineStr">
        <is>
          <t>ÖREBRO LÄN</t>
        </is>
      </c>
      <c r="E3727" t="inlineStr">
        <is>
          <t>LAXÅ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37137-2022</t>
        </is>
      </c>
      <c r="B3728" s="1" t="n">
        <v>44805</v>
      </c>
      <c r="C3728" s="1" t="n">
        <v>45797</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37027-2022</t>
        </is>
      </c>
      <c r="B3729" s="1" t="n">
        <v>44806</v>
      </c>
      <c r="C3729" s="1" t="n">
        <v>45797</v>
      </c>
      <c r="D3729" t="inlineStr">
        <is>
          <t>ÖREBRO LÄN</t>
        </is>
      </c>
      <c r="E3729" t="inlineStr">
        <is>
          <t>HÄLLEFORS</t>
        </is>
      </c>
      <c r="F3729" t="inlineStr">
        <is>
          <t>Bergvik skog väst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37006-2022</t>
        </is>
      </c>
      <c r="B3730" s="1" t="n">
        <v>44806</v>
      </c>
      <c r="C3730" s="1" t="n">
        <v>45797</v>
      </c>
      <c r="D3730" t="inlineStr">
        <is>
          <t>ÖREBRO LÄN</t>
        </is>
      </c>
      <c r="E3730" t="inlineStr">
        <is>
          <t>LINDESBERG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37260-2022</t>
        </is>
      </c>
      <c r="B3731" s="1" t="n">
        <v>44807</v>
      </c>
      <c r="C3731" s="1" t="n">
        <v>45797</v>
      </c>
      <c r="D3731" t="inlineStr">
        <is>
          <t>ÖREBRO LÄN</t>
        </is>
      </c>
      <c r="E3731" t="inlineStr">
        <is>
          <t>NORA</t>
        </is>
      </c>
      <c r="F3731" t="inlineStr">
        <is>
          <t>Sveaskog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37265-2022</t>
        </is>
      </c>
      <c r="B3732" s="1" t="n">
        <v>44807</v>
      </c>
      <c r="C3732" s="1" t="n">
        <v>45797</v>
      </c>
      <c r="D3732" t="inlineStr">
        <is>
          <t>ÖREBRO LÄN</t>
        </is>
      </c>
      <c r="E3732" t="inlineStr">
        <is>
          <t>NORA</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37270-2022</t>
        </is>
      </c>
      <c r="B3733" s="1" t="n">
        <v>44807</v>
      </c>
      <c r="C3733" s="1" t="n">
        <v>45797</v>
      </c>
      <c r="D3733" t="inlineStr">
        <is>
          <t>ÖREBRO LÄN</t>
        </is>
      </c>
      <c r="E3733" t="inlineStr">
        <is>
          <t>ÖREBRO</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37277-2022</t>
        </is>
      </c>
      <c r="B3734" s="1" t="n">
        <v>44807</v>
      </c>
      <c r="C3734" s="1" t="n">
        <v>45797</v>
      </c>
      <c r="D3734" t="inlineStr">
        <is>
          <t>ÖREBRO LÄN</t>
        </is>
      </c>
      <c r="E3734" t="inlineStr">
        <is>
          <t>ÖREBRO</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37262-2022</t>
        </is>
      </c>
      <c r="B3735" s="1" t="n">
        <v>44807</v>
      </c>
      <c r="C3735" s="1" t="n">
        <v>45797</v>
      </c>
      <c r="D3735" t="inlineStr">
        <is>
          <t>ÖREBRO LÄN</t>
        </is>
      </c>
      <c r="E3735" t="inlineStr">
        <is>
          <t>NORA</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37272-2022</t>
        </is>
      </c>
      <c r="B3736" s="1" t="n">
        <v>44807</v>
      </c>
      <c r="C3736" s="1" t="n">
        <v>45797</v>
      </c>
      <c r="D3736" t="inlineStr">
        <is>
          <t>ÖREBRO LÄN</t>
        </is>
      </c>
      <c r="E3736" t="inlineStr">
        <is>
          <t>ÖREBRO</t>
        </is>
      </c>
      <c r="F3736" t="inlineStr">
        <is>
          <t>Sveaskog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37261-2022</t>
        </is>
      </c>
      <c r="B3737" s="1" t="n">
        <v>44807</v>
      </c>
      <c r="C3737" s="1" t="n">
        <v>45797</v>
      </c>
      <c r="D3737" t="inlineStr">
        <is>
          <t>ÖREBRO LÄN</t>
        </is>
      </c>
      <c r="E3737" t="inlineStr">
        <is>
          <t>NORA</t>
        </is>
      </c>
      <c r="F3737" t="inlineStr">
        <is>
          <t>Sveaskog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37266-2022</t>
        </is>
      </c>
      <c r="B3738" s="1" t="n">
        <v>44807</v>
      </c>
      <c r="C3738" s="1" t="n">
        <v>45797</v>
      </c>
      <c r="D3738" t="inlineStr">
        <is>
          <t>ÖREBRO LÄN</t>
        </is>
      </c>
      <c r="E3738" t="inlineStr">
        <is>
          <t>NORA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37271-2022</t>
        </is>
      </c>
      <c r="B3739" s="1" t="n">
        <v>44807</v>
      </c>
      <c r="C3739" s="1" t="n">
        <v>45797</v>
      </c>
      <c r="D3739" t="inlineStr">
        <is>
          <t>ÖREBRO LÄN</t>
        </is>
      </c>
      <c r="E3739" t="inlineStr">
        <is>
          <t>ÖREBRO</t>
        </is>
      </c>
      <c r="F3739" t="inlineStr">
        <is>
          <t>Sveaskog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37259-2022</t>
        </is>
      </c>
      <c r="B3740" s="1" t="n">
        <v>44807</v>
      </c>
      <c r="C3740" s="1" t="n">
        <v>45797</v>
      </c>
      <c r="D3740" t="inlineStr">
        <is>
          <t>ÖREBRO LÄN</t>
        </is>
      </c>
      <c r="E3740" t="inlineStr">
        <is>
          <t>NORA</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37268-2022</t>
        </is>
      </c>
      <c r="B3741" s="1" t="n">
        <v>44807</v>
      </c>
      <c r="C3741" s="1" t="n">
        <v>45797</v>
      </c>
      <c r="D3741" t="inlineStr">
        <is>
          <t>ÖREBRO LÄN</t>
        </is>
      </c>
      <c r="E3741" t="inlineStr">
        <is>
          <t>ÖREBRO</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37276-2022</t>
        </is>
      </c>
      <c r="B3742" s="1" t="n">
        <v>44807</v>
      </c>
      <c r="C3742" s="1" t="n">
        <v>45797</v>
      </c>
      <c r="D3742" t="inlineStr">
        <is>
          <t>ÖREBRO LÄN</t>
        </is>
      </c>
      <c r="E3742" t="inlineStr">
        <is>
          <t>ÖREBRO</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37263-2022</t>
        </is>
      </c>
      <c r="B3743" s="1" t="n">
        <v>44807</v>
      </c>
      <c r="C3743" s="1" t="n">
        <v>45797</v>
      </c>
      <c r="D3743" t="inlineStr">
        <is>
          <t>ÖREBRO LÄN</t>
        </is>
      </c>
      <c r="E3743" t="inlineStr">
        <is>
          <t>NORA</t>
        </is>
      </c>
      <c r="F3743" t="inlineStr">
        <is>
          <t>Sveaskog</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37404-2022</t>
        </is>
      </c>
      <c r="B3744" s="1" t="n">
        <v>44808</v>
      </c>
      <c r="C3744" s="1" t="n">
        <v>45797</v>
      </c>
      <c r="D3744" t="inlineStr">
        <is>
          <t>ÖREBRO LÄN</t>
        </is>
      </c>
      <c r="E3744" t="inlineStr">
        <is>
          <t>ASKERSUND</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37432-2022</t>
        </is>
      </c>
      <c r="B3745" s="1" t="n">
        <v>44809</v>
      </c>
      <c r="C3745" s="1" t="n">
        <v>45797</v>
      </c>
      <c r="D3745" t="inlineStr">
        <is>
          <t>ÖREBRO LÄN</t>
        </is>
      </c>
      <c r="E3745" t="inlineStr">
        <is>
          <t>LINDESBERG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37584-2022</t>
        </is>
      </c>
      <c r="B3746" s="1" t="n">
        <v>44809</v>
      </c>
      <c r="C3746" s="1" t="n">
        <v>45797</v>
      </c>
      <c r="D3746" t="inlineStr">
        <is>
          <t>ÖREBRO LÄN</t>
        </is>
      </c>
      <c r="E3746" t="inlineStr">
        <is>
          <t>KARLSKOGA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37605-2022</t>
        </is>
      </c>
      <c r="B3747" s="1" t="n">
        <v>44809</v>
      </c>
      <c r="C3747" s="1" t="n">
        <v>45797</v>
      </c>
      <c r="D3747" t="inlineStr">
        <is>
          <t>ÖREBRO LÄN</t>
        </is>
      </c>
      <c r="E3747" t="inlineStr">
        <is>
          <t>ASKERSUND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37582-2022</t>
        </is>
      </c>
      <c r="B3748" s="1" t="n">
        <v>44809</v>
      </c>
      <c r="C3748" s="1" t="n">
        <v>45797</v>
      </c>
      <c r="D3748" t="inlineStr">
        <is>
          <t>ÖREBRO LÄN</t>
        </is>
      </c>
      <c r="E3748" t="inlineStr">
        <is>
          <t>KARLSKOGA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37671-2022</t>
        </is>
      </c>
      <c r="B3749" s="1" t="n">
        <v>44810</v>
      </c>
      <c r="C3749" s="1" t="n">
        <v>45797</v>
      </c>
      <c r="D3749" t="inlineStr">
        <is>
          <t>ÖREBRO LÄN</t>
        </is>
      </c>
      <c r="E3749" t="inlineStr">
        <is>
          <t>LINDESBERG</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37783-2022</t>
        </is>
      </c>
      <c r="B3750" s="1" t="n">
        <v>44810</v>
      </c>
      <c r="C3750" s="1" t="n">
        <v>45797</v>
      </c>
      <c r="D3750" t="inlineStr">
        <is>
          <t>ÖREBRO LÄN</t>
        </is>
      </c>
      <c r="E3750" t="inlineStr">
        <is>
          <t>HÄLLEFORS</t>
        </is>
      </c>
      <c r="G3750" t="n">
        <v>14.1</v>
      </c>
      <c r="H3750" t="n">
        <v>0</v>
      </c>
      <c r="I3750" t="n">
        <v>0</v>
      </c>
      <c r="J3750" t="n">
        <v>0</v>
      </c>
      <c r="K3750" t="n">
        <v>0</v>
      </c>
      <c r="L3750" t="n">
        <v>0</v>
      </c>
      <c r="M3750" t="n">
        <v>0</v>
      </c>
      <c r="N3750" t="n">
        <v>0</v>
      </c>
      <c r="O3750" t="n">
        <v>0</v>
      </c>
      <c r="P3750" t="n">
        <v>0</v>
      </c>
      <c r="Q3750" t="n">
        <v>0</v>
      </c>
      <c r="R3750" s="2" t="inlineStr"/>
    </row>
    <row r="3751" ht="15" customHeight="1">
      <c r="A3751" t="inlineStr">
        <is>
          <t>A 38030-2022</t>
        </is>
      </c>
      <c r="B3751" s="1" t="n">
        <v>44811</v>
      </c>
      <c r="C3751" s="1" t="n">
        <v>45797</v>
      </c>
      <c r="D3751" t="inlineStr">
        <is>
          <t>ÖREBRO LÄN</t>
        </is>
      </c>
      <c r="E3751" t="inlineStr">
        <is>
          <t>HÄLLEFORS</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38075-2022</t>
        </is>
      </c>
      <c r="B3752" s="1" t="n">
        <v>44811</v>
      </c>
      <c r="C3752" s="1" t="n">
        <v>45797</v>
      </c>
      <c r="D3752" t="inlineStr">
        <is>
          <t>ÖREBRO LÄN</t>
        </is>
      </c>
      <c r="E3752" t="inlineStr">
        <is>
          <t>ÖREBRO</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37999-2022</t>
        </is>
      </c>
      <c r="B3753" s="1" t="n">
        <v>44811</v>
      </c>
      <c r="C3753" s="1" t="n">
        <v>45797</v>
      </c>
      <c r="D3753" t="inlineStr">
        <is>
          <t>ÖREBRO LÄN</t>
        </is>
      </c>
      <c r="E3753" t="inlineStr">
        <is>
          <t>HÄLLEFORS</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38012-2022</t>
        </is>
      </c>
      <c r="B3754" s="1" t="n">
        <v>44811</v>
      </c>
      <c r="C3754" s="1" t="n">
        <v>45797</v>
      </c>
      <c r="D3754" t="inlineStr">
        <is>
          <t>ÖREBRO LÄN</t>
        </is>
      </c>
      <c r="E3754" t="inlineStr">
        <is>
          <t>KARLSKOGA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38018-2022</t>
        </is>
      </c>
      <c r="B3755" s="1" t="n">
        <v>44811</v>
      </c>
      <c r="C3755" s="1" t="n">
        <v>45797</v>
      </c>
      <c r="D3755" t="inlineStr">
        <is>
          <t>ÖREBRO LÄN</t>
        </is>
      </c>
      <c r="E3755" t="inlineStr">
        <is>
          <t>HÄLLEFORS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38024-2022</t>
        </is>
      </c>
      <c r="B3756" s="1" t="n">
        <v>44811</v>
      </c>
      <c r="C3756" s="1" t="n">
        <v>45797</v>
      </c>
      <c r="D3756" t="inlineStr">
        <is>
          <t>ÖREBRO LÄN</t>
        </is>
      </c>
      <c r="E3756" t="inlineStr">
        <is>
          <t>HÄLLEFORS</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38072-2022</t>
        </is>
      </c>
      <c r="B3757" s="1" t="n">
        <v>44811</v>
      </c>
      <c r="C3757" s="1" t="n">
        <v>45797</v>
      </c>
      <c r="D3757" t="inlineStr">
        <is>
          <t>ÖREBRO LÄN</t>
        </is>
      </c>
      <c r="E3757" t="inlineStr">
        <is>
          <t>HÄLLEFORS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38063-2022</t>
        </is>
      </c>
      <c r="B3758" s="1" t="n">
        <v>44811</v>
      </c>
      <c r="C3758" s="1" t="n">
        <v>45797</v>
      </c>
      <c r="D3758" t="inlineStr">
        <is>
          <t>ÖREBRO LÄN</t>
        </is>
      </c>
      <c r="E3758" t="inlineStr">
        <is>
          <t>HÄLLEFORS</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38068-2022</t>
        </is>
      </c>
      <c r="B3759" s="1" t="n">
        <v>44811</v>
      </c>
      <c r="C3759" s="1" t="n">
        <v>45797</v>
      </c>
      <c r="D3759" t="inlineStr">
        <is>
          <t>ÖREBRO LÄN</t>
        </is>
      </c>
      <c r="E3759" t="inlineStr">
        <is>
          <t>HÄLLEFORS</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38239-2022</t>
        </is>
      </c>
      <c r="B3760" s="1" t="n">
        <v>44812</v>
      </c>
      <c r="C3760" s="1" t="n">
        <v>45797</v>
      </c>
      <c r="D3760" t="inlineStr">
        <is>
          <t>ÖREBRO LÄN</t>
        </is>
      </c>
      <c r="E3760" t="inlineStr">
        <is>
          <t>HÄLLEFORS</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38245-2022</t>
        </is>
      </c>
      <c r="B3761" s="1" t="n">
        <v>44812</v>
      </c>
      <c r="C3761" s="1" t="n">
        <v>45797</v>
      </c>
      <c r="D3761" t="inlineStr">
        <is>
          <t>ÖREBRO LÄN</t>
        </is>
      </c>
      <c r="E3761" t="inlineStr">
        <is>
          <t>HÄLLEFORS</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38276-2022</t>
        </is>
      </c>
      <c r="B3762" s="1" t="n">
        <v>44812</v>
      </c>
      <c r="C3762" s="1" t="n">
        <v>45797</v>
      </c>
      <c r="D3762" t="inlineStr">
        <is>
          <t>ÖREBRO LÄN</t>
        </is>
      </c>
      <c r="E3762" t="inlineStr">
        <is>
          <t>LJUSNARSBERG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38277-2022</t>
        </is>
      </c>
      <c r="B3763" s="1" t="n">
        <v>44812</v>
      </c>
      <c r="C3763" s="1" t="n">
        <v>45797</v>
      </c>
      <c r="D3763" t="inlineStr">
        <is>
          <t>ÖREBRO LÄN</t>
        </is>
      </c>
      <c r="E3763" t="inlineStr">
        <is>
          <t>LJUSNARSBERG</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38301-2022</t>
        </is>
      </c>
      <c r="B3764" s="1" t="n">
        <v>44812</v>
      </c>
      <c r="C3764" s="1" t="n">
        <v>45797</v>
      </c>
      <c r="D3764" t="inlineStr">
        <is>
          <t>ÖREBRO LÄN</t>
        </is>
      </c>
      <c r="E3764" t="inlineStr">
        <is>
          <t>KARLSKOGA</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38325-2022</t>
        </is>
      </c>
      <c r="B3765" s="1" t="n">
        <v>44812</v>
      </c>
      <c r="C3765" s="1" t="n">
        <v>45797</v>
      </c>
      <c r="D3765" t="inlineStr">
        <is>
          <t>ÖREBRO LÄN</t>
        </is>
      </c>
      <c r="E3765" t="inlineStr">
        <is>
          <t>LEKEBERG</t>
        </is>
      </c>
      <c r="F3765" t="inlineStr">
        <is>
          <t>Sveaskog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38382-2022</t>
        </is>
      </c>
      <c r="B3766" s="1" t="n">
        <v>44812</v>
      </c>
      <c r="C3766" s="1" t="n">
        <v>45797</v>
      </c>
      <c r="D3766" t="inlineStr">
        <is>
          <t>ÖREBRO LÄN</t>
        </is>
      </c>
      <c r="E3766" t="inlineStr">
        <is>
          <t>KARLSKOGA</t>
        </is>
      </c>
      <c r="F3766" t="inlineStr">
        <is>
          <t>Kyrkan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38359-2022</t>
        </is>
      </c>
      <c r="B3767" s="1" t="n">
        <v>44812</v>
      </c>
      <c r="C3767" s="1" t="n">
        <v>45797</v>
      </c>
      <c r="D3767" t="inlineStr">
        <is>
          <t>ÖREBRO LÄN</t>
        </is>
      </c>
      <c r="E3767" t="inlineStr">
        <is>
          <t>ASKERSUND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38549-2022</t>
        </is>
      </c>
      <c r="B3768" s="1" t="n">
        <v>44813</v>
      </c>
      <c r="C3768" s="1" t="n">
        <v>45797</v>
      </c>
      <c r="D3768" t="inlineStr">
        <is>
          <t>ÖREBRO LÄN</t>
        </is>
      </c>
      <c r="E3768" t="inlineStr">
        <is>
          <t>LAXÅ</t>
        </is>
      </c>
      <c r="F3768" t="inlineStr">
        <is>
          <t>Sveaskog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38559-2022</t>
        </is>
      </c>
      <c r="B3769" s="1" t="n">
        <v>44813</v>
      </c>
      <c r="C3769" s="1" t="n">
        <v>45797</v>
      </c>
      <c r="D3769" t="inlineStr">
        <is>
          <t>ÖREBRO LÄN</t>
        </is>
      </c>
      <c r="E3769" t="inlineStr">
        <is>
          <t>LAXÅ</t>
        </is>
      </c>
      <c r="F3769" t="inlineStr">
        <is>
          <t>Sveaskog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38539-2022</t>
        </is>
      </c>
      <c r="B3770" s="1" t="n">
        <v>44813</v>
      </c>
      <c r="C3770" s="1" t="n">
        <v>45797</v>
      </c>
      <c r="D3770" t="inlineStr">
        <is>
          <t>ÖREBRO LÄN</t>
        </is>
      </c>
      <c r="E3770" t="inlineStr">
        <is>
          <t>LAXÅ</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38554-2022</t>
        </is>
      </c>
      <c r="B3771" s="1" t="n">
        <v>44813</v>
      </c>
      <c r="C3771" s="1" t="n">
        <v>45797</v>
      </c>
      <c r="D3771" t="inlineStr">
        <is>
          <t>ÖREBRO LÄN</t>
        </is>
      </c>
      <c r="E3771" t="inlineStr">
        <is>
          <t>LAXÅ</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38564-2022</t>
        </is>
      </c>
      <c r="B3772" s="1" t="n">
        <v>44813</v>
      </c>
      <c r="C3772" s="1" t="n">
        <v>45797</v>
      </c>
      <c r="D3772" t="inlineStr">
        <is>
          <t>ÖREBRO LÄN</t>
        </is>
      </c>
      <c r="E3772" t="inlineStr">
        <is>
          <t>LAXÅ</t>
        </is>
      </c>
      <c r="F3772" t="inlineStr">
        <is>
          <t>Sveaskog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38547-2022</t>
        </is>
      </c>
      <c r="B3773" s="1" t="n">
        <v>44813</v>
      </c>
      <c r="C3773" s="1" t="n">
        <v>45797</v>
      </c>
      <c r="D3773" t="inlineStr">
        <is>
          <t>ÖREBRO LÄN</t>
        </is>
      </c>
      <c r="E3773" t="inlineStr">
        <is>
          <t>LAXÅ</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38551-2022</t>
        </is>
      </c>
      <c r="B3774" s="1" t="n">
        <v>44813</v>
      </c>
      <c r="C3774" s="1" t="n">
        <v>45797</v>
      </c>
      <c r="D3774" t="inlineStr">
        <is>
          <t>ÖREBRO LÄN</t>
        </is>
      </c>
      <c r="E3774" t="inlineStr">
        <is>
          <t>LAXÅ</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38561-2022</t>
        </is>
      </c>
      <c r="B3775" s="1" t="n">
        <v>44813</v>
      </c>
      <c r="C3775" s="1" t="n">
        <v>45797</v>
      </c>
      <c r="D3775" t="inlineStr">
        <is>
          <t>ÖREBRO LÄN</t>
        </is>
      </c>
      <c r="E3775" t="inlineStr">
        <is>
          <t>LAXÅ</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38655-2022</t>
        </is>
      </c>
      <c r="B3776" s="1" t="n">
        <v>44813</v>
      </c>
      <c r="C3776" s="1" t="n">
        <v>45797</v>
      </c>
      <c r="D3776" t="inlineStr">
        <is>
          <t>ÖREBRO LÄN</t>
        </is>
      </c>
      <c r="E3776" t="inlineStr">
        <is>
          <t>HÄLLEFORS</t>
        </is>
      </c>
      <c r="G3776" t="n">
        <v>14.6</v>
      </c>
      <c r="H3776" t="n">
        <v>0</v>
      </c>
      <c r="I3776" t="n">
        <v>0</v>
      </c>
      <c r="J3776" t="n">
        <v>0</v>
      </c>
      <c r="K3776" t="n">
        <v>0</v>
      </c>
      <c r="L3776" t="n">
        <v>0</v>
      </c>
      <c r="M3776" t="n">
        <v>0</v>
      </c>
      <c r="N3776" t="n">
        <v>0</v>
      </c>
      <c r="O3776" t="n">
        <v>0</v>
      </c>
      <c r="P3776" t="n">
        <v>0</v>
      </c>
      <c r="Q3776" t="n">
        <v>0</v>
      </c>
      <c r="R3776" s="2" t="inlineStr"/>
    </row>
    <row r="3777" ht="15" customHeight="1">
      <c r="A3777" t="inlineStr">
        <is>
          <t>A 38656-2022</t>
        </is>
      </c>
      <c r="B3777" s="1" t="n">
        <v>44813</v>
      </c>
      <c r="C3777" s="1" t="n">
        <v>45797</v>
      </c>
      <c r="D3777" t="inlineStr">
        <is>
          <t>ÖREBRO LÄN</t>
        </is>
      </c>
      <c r="E3777" t="inlineStr">
        <is>
          <t>HÄLLEFORS</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38711-2022</t>
        </is>
      </c>
      <c r="B3778" s="1" t="n">
        <v>44814</v>
      </c>
      <c r="C3778" s="1" t="n">
        <v>45797</v>
      </c>
      <c r="D3778" t="inlineStr">
        <is>
          <t>ÖREBRO LÄN</t>
        </is>
      </c>
      <c r="E3778" t="inlineStr">
        <is>
          <t>LEKEBERG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38698-2022</t>
        </is>
      </c>
      <c r="B3779" s="1" t="n">
        <v>44814</v>
      </c>
      <c r="C3779" s="1" t="n">
        <v>45797</v>
      </c>
      <c r="D3779" t="inlineStr">
        <is>
          <t>ÖREBRO LÄN</t>
        </is>
      </c>
      <c r="E3779" t="inlineStr">
        <is>
          <t>NORA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38696-2022</t>
        </is>
      </c>
      <c r="B3780" s="1" t="n">
        <v>44814</v>
      </c>
      <c r="C3780" s="1" t="n">
        <v>45797</v>
      </c>
      <c r="D3780" t="inlineStr">
        <is>
          <t>ÖREBRO LÄN</t>
        </is>
      </c>
      <c r="E3780" t="inlineStr">
        <is>
          <t>NORA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38864-2022</t>
        </is>
      </c>
      <c r="B3781" s="1" t="n">
        <v>44814</v>
      </c>
      <c r="C3781" s="1" t="n">
        <v>45797</v>
      </c>
      <c r="D3781" t="inlineStr">
        <is>
          <t>ÖREBRO LÄN</t>
        </is>
      </c>
      <c r="E3781" t="inlineStr">
        <is>
          <t>ÖREBRO</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38697-2022</t>
        </is>
      </c>
      <c r="B3782" s="1" t="n">
        <v>44814</v>
      </c>
      <c r="C3782" s="1" t="n">
        <v>45797</v>
      </c>
      <c r="D3782" t="inlineStr">
        <is>
          <t>ÖREBRO LÄN</t>
        </is>
      </c>
      <c r="E3782" t="inlineStr">
        <is>
          <t>NORA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38831-2022</t>
        </is>
      </c>
      <c r="B3783" s="1" t="n">
        <v>44814</v>
      </c>
      <c r="C3783" s="1" t="n">
        <v>45797</v>
      </c>
      <c r="D3783" t="inlineStr">
        <is>
          <t>ÖREBRO LÄN</t>
        </is>
      </c>
      <c r="E3783" t="inlineStr">
        <is>
          <t>HALLSBERG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38842-2022</t>
        </is>
      </c>
      <c r="B3784" s="1" t="n">
        <v>44814</v>
      </c>
      <c r="C3784" s="1" t="n">
        <v>45797</v>
      </c>
      <c r="D3784" t="inlineStr">
        <is>
          <t>ÖREBRO LÄN</t>
        </is>
      </c>
      <c r="E3784" t="inlineStr">
        <is>
          <t>ÖREBRO</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38738-2022</t>
        </is>
      </c>
      <c r="B3785" s="1" t="n">
        <v>44816</v>
      </c>
      <c r="C3785" s="1" t="n">
        <v>45797</v>
      </c>
      <c r="D3785" t="inlineStr">
        <is>
          <t>ÖREBRO LÄN</t>
        </is>
      </c>
      <c r="E3785" t="inlineStr">
        <is>
          <t>DEGERFORS</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38746-2022</t>
        </is>
      </c>
      <c r="B3786" s="1" t="n">
        <v>44816</v>
      </c>
      <c r="C3786" s="1" t="n">
        <v>45797</v>
      </c>
      <c r="D3786" t="inlineStr">
        <is>
          <t>ÖREBRO LÄN</t>
        </is>
      </c>
      <c r="E3786" t="inlineStr">
        <is>
          <t>DEGERFORS</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38921-2022</t>
        </is>
      </c>
      <c r="B3787" s="1" t="n">
        <v>44816</v>
      </c>
      <c r="C3787" s="1" t="n">
        <v>45797</v>
      </c>
      <c r="D3787" t="inlineStr">
        <is>
          <t>ÖREBRO LÄN</t>
        </is>
      </c>
      <c r="E3787" t="inlineStr">
        <is>
          <t>HALLSBERG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38743-2022</t>
        </is>
      </c>
      <c r="B3788" s="1" t="n">
        <v>44816</v>
      </c>
      <c r="C3788" s="1" t="n">
        <v>45797</v>
      </c>
      <c r="D3788" t="inlineStr">
        <is>
          <t>ÖREBRO LÄN</t>
        </is>
      </c>
      <c r="E3788" t="inlineStr">
        <is>
          <t>DEGERFORS</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38748-2022</t>
        </is>
      </c>
      <c r="B3789" s="1" t="n">
        <v>44816</v>
      </c>
      <c r="C3789" s="1" t="n">
        <v>45797</v>
      </c>
      <c r="D3789" t="inlineStr">
        <is>
          <t>ÖREBRO LÄN</t>
        </is>
      </c>
      <c r="E3789" t="inlineStr">
        <is>
          <t>DEGERFORS</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38768-2022</t>
        </is>
      </c>
      <c r="B3790" s="1" t="n">
        <v>44816</v>
      </c>
      <c r="C3790" s="1" t="n">
        <v>45797</v>
      </c>
      <c r="D3790" t="inlineStr">
        <is>
          <t>ÖREBRO LÄN</t>
        </is>
      </c>
      <c r="E3790" t="inlineStr">
        <is>
          <t>KUMLA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38747-2022</t>
        </is>
      </c>
      <c r="B3791" s="1" t="n">
        <v>44816</v>
      </c>
      <c r="C3791" s="1" t="n">
        <v>45797</v>
      </c>
      <c r="D3791" t="inlineStr">
        <is>
          <t>ÖREBRO LÄN</t>
        </is>
      </c>
      <c r="E3791" t="inlineStr">
        <is>
          <t>DEGERFORS</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38854-2022</t>
        </is>
      </c>
      <c r="B3792" s="1" t="n">
        <v>44816</v>
      </c>
      <c r="C3792" s="1" t="n">
        <v>45797</v>
      </c>
      <c r="D3792" t="inlineStr">
        <is>
          <t>ÖREBRO LÄN</t>
        </is>
      </c>
      <c r="E3792" t="inlineStr">
        <is>
          <t>ASKERSUND</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39725-2022</t>
        </is>
      </c>
      <c r="B3793" s="1" t="n">
        <v>44816</v>
      </c>
      <c r="C3793" s="1" t="n">
        <v>45797</v>
      </c>
      <c r="D3793" t="inlineStr">
        <is>
          <t>ÖREBRO LÄN</t>
        </is>
      </c>
      <c r="E3793" t="inlineStr">
        <is>
          <t>HALLSBERG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39179-2022</t>
        </is>
      </c>
      <c r="B3794" s="1" t="n">
        <v>44817</v>
      </c>
      <c r="C3794" s="1" t="n">
        <v>45797</v>
      </c>
      <c r="D3794" t="inlineStr">
        <is>
          <t>ÖREBRO LÄN</t>
        </is>
      </c>
      <c r="E3794" t="inlineStr">
        <is>
          <t>HÄLLEFORS</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39031-2022</t>
        </is>
      </c>
      <c r="B3795" s="1" t="n">
        <v>44817</v>
      </c>
      <c r="C3795" s="1" t="n">
        <v>45797</v>
      </c>
      <c r="D3795" t="inlineStr">
        <is>
          <t>ÖREBRO LÄN</t>
        </is>
      </c>
      <c r="E3795" t="inlineStr">
        <is>
          <t>HÄLLEFORS</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39030-2022</t>
        </is>
      </c>
      <c r="B3796" s="1" t="n">
        <v>44817</v>
      </c>
      <c r="C3796" s="1" t="n">
        <v>45797</v>
      </c>
      <c r="D3796" t="inlineStr">
        <is>
          <t>ÖREBRO LÄN</t>
        </is>
      </c>
      <c r="E3796" t="inlineStr">
        <is>
          <t>KARLSKOGA</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39027-2022</t>
        </is>
      </c>
      <c r="B3797" s="1" t="n">
        <v>44817</v>
      </c>
      <c r="C3797" s="1" t="n">
        <v>45797</v>
      </c>
      <c r="D3797" t="inlineStr">
        <is>
          <t>ÖREBRO LÄN</t>
        </is>
      </c>
      <c r="E3797" t="inlineStr">
        <is>
          <t>KARLSKOGA</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39095-2022</t>
        </is>
      </c>
      <c r="B3798" s="1" t="n">
        <v>44817</v>
      </c>
      <c r="C3798" s="1" t="n">
        <v>45797</v>
      </c>
      <c r="D3798" t="inlineStr">
        <is>
          <t>ÖREBRO LÄN</t>
        </is>
      </c>
      <c r="E3798" t="inlineStr">
        <is>
          <t>LJUSNARSBERG</t>
        </is>
      </c>
      <c r="F3798" t="inlineStr">
        <is>
          <t>Bergvik skog väst AB</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39178-2022</t>
        </is>
      </c>
      <c r="B3799" s="1" t="n">
        <v>44817</v>
      </c>
      <c r="C3799" s="1" t="n">
        <v>45797</v>
      </c>
      <c r="D3799" t="inlineStr">
        <is>
          <t>ÖREBRO LÄN</t>
        </is>
      </c>
      <c r="E3799" t="inlineStr">
        <is>
          <t>HÄLLEFORS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39320-2022</t>
        </is>
      </c>
      <c r="B3800" s="1" t="n">
        <v>44817</v>
      </c>
      <c r="C3800" s="1" t="n">
        <v>45797</v>
      </c>
      <c r="D3800" t="inlineStr">
        <is>
          <t>ÖREBRO LÄN</t>
        </is>
      </c>
      <c r="E3800" t="inlineStr">
        <is>
          <t>LINDESBERG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39169-2022</t>
        </is>
      </c>
      <c r="B3801" s="1" t="n">
        <v>44817</v>
      </c>
      <c r="C3801" s="1" t="n">
        <v>45797</v>
      </c>
      <c r="D3801" t="inlineStr">
        <is>
          <t>ÖREBRO LÄN</t>
        </is>
      </c>
      <c r="E3801" t="inlineStr">
        <is>
          <t>HÄLLEFORS</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39183-2022</t>
        </is>
      </c>
      <c r="B3802" s="1" t="n">
        <v>44817</v>
      </c>
      <c r="C3802" s="1" t="n">
        <v>45797</v>
      </c>
      <c r="D3802" t="inlineStr">
        <is>
          <t>ÖREBRO LÄN</t>
        </is>
      </c>
      <c r="E3802" t="inlineStr">
        <is>
          <t>HÄLLEFORS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39327-2022</t>
        </is>
      </c>
      <c r="B3803" s="1" t="n">
        <v>44817</v>
      </c>
      <c r="C3803" s="1" t="n">
        <v>45797</v>
      </c>
      <c r="D3803" t="inlineStr">
        <is>
          <t>ÖREBRO LÄN</t>
        </is>
      </c>
      <c r="E3803" t="inlineStr">
        <is>
          <t>HÄLLEFORS</t>
        </is>
      </c>
      <c r="F3803" t="inlineStr">
        <is>
          <t>Bergvik skog väst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39337-2022</t>
        </is>
      </c>
      <c r="B3804" s="1" t="n">
        <v>44817</v>
      </c>
      <c r="C3804" s="1" t="n">
        <v>45797</v>
      </c>
      <c r="D3804" t="inlineStr">
        <is>
          <t>ÖREBRO LÄN</t>
        </is>
      </c>
      <c r="E3804" t="inlineStr">
        <is>
          <t>KARLSKOGA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39544-2022</t>
        </is>
      </c>
      <c r="B3805" s="1" t="n">
        <v>44818</v>
      </c>
      <c r="C3805" s="1" t="n">
        <v>45797</v>
      </c>
      <c r="D3805" t="inlineStr">
        <is>
          <t>ÖREBRO LÄN</t>
        </is>
      </c>
      <c r="E3805" t="inlineStr">
        <is>
          <t>KARLSKOGA</t>
        </is>
      </c>
      <c r="F3805" t="inlineStr">
        <is>
          <t>Kyrkan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39579-2022</t>
        </is>
      </c>
      <c r="B3806" s="1" t="n">
        <v>44818</v>
      </c>
      <c r="C3806" s="1" t="n">
        <v>45797</v>
      </c>
      <c r="D3806" t="inlineStr">
        <is>
          <t>ÖREBRO LÄN</t>
        </is>
      </c>
      <c r="E3806" t="inlineStr">
        <is>
          <t>ASKERSUND</t>
        </is>
      </c>
      <c r="F3806" t="inlineStr">
        <is>
          <t>Sveaskog</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39710-2022</t>
        </is>
      </c>
      <c r="B3807" s="1" t="n">
        <v>44819</v>
      </c>
      <c r="C3807" s="1" t="n">
        <v>45797</v>
      </c>
      <c r="D3807" t="inlineStr">
        <is>
          <t>ÖREBRO LÄN</t>
        </is>
      </c>
      <c r="E3807" t="inlineStr">
        <is>
          <t>NORA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39707-2022</t>
        </is>
      </c>
      <c r="B3808" s="1" t="n">
        <v>44819</v>
      </c>
      <c r="C3808" s="1" t="n">
        <v>45797</v>
      </c>
      <c r="D3808" t="inlineStr">
        <is>
          <t>ÖREBRO LÄN</t>
        </is>
      </c>
      <c r="E3808" t="inlineStr">
        <is>
          <t>NORA</t>
        </is>
      </c>
      <c r="F3808" t="inlineStr">
        <is>
          <t>Sveaskog</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39709-2022</t>
        </is>
      </c>
      <c r="B3809" s="1" t="n">
        <v>44819</v>
      </c>
      <c r="C3809" s="1" t="n">
        <v>45797</v>
      </c>
      <c r="D3809" t="inlineStr">
        <is>
          <t>ÖREBRO LÄN</t>
        </is>
      </c>
      <c r="E3809" t="inlineStr">
        <is>
          <t>NORA</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39708-2022</t>
        </is>
      </c>
      <c r="B3810" s="1" t="n">
        <v>44819</v>
      </c>
      <c r="C3810" s="1" t="n">
        <v>45797</v>
      </c>
      <c r="D3810" t="inlineStr">
        <is>
          <t>ÖREBRO LÄN</t>
        </is>
      </c>
      <c r="E3810" t="inlineStr">
        <is>
          <t>NORA</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39773-2022</t>
        </is>
      </c>
      <c r="B3811" s="1" t="n">
        <v>44819</v>
      </c>
      <c r="C3811" s="1" t="n">
        <v>45797</v>
      </c>
      <c r="D3811" t="inlineStr">
        <is>
          <t>ÖREBRO LÄN</t>
        </is>
      </c>
      <c r="E3811" t="inlineStr">
        <is>
          <t>LINDESBERG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39876-2022</t>
        </is>
      </c>
      <c r="B3812" s="1" t="n">
        <v>44819</v>
      </c>
      <c r="C3812" s="1" t="n">
        <v>45797</v>
      </c>
      <c r="D3812" t="inlineStr">
        <is>
          <t>ÖREBRO LÄN</t>
        </is>
      </c>
      <c r="E3812" t="inlineStr">
        <is>
          <t>HÄLLEFORS</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40237-2022</t>
        </is>
      </c>
      <c r="B3813" s="1" t="n">
        <v>44820</v>
      </c>
      <c r="C3813" s="1" t="n">
        <v>45797</v>
      </c>
      <c r="D3813" t="inlineStr">
        <is>
          <t>ÖREBRO LÄN</t>
        </is>
      </c>
      <c r="E3813" t="inlineStr">
        <is>
          <t>LJUSNARSBERG</t>
        </is>
      </c>
      <c r="F3813" t="inlineStr">
        <is>
          <t>Bergvik skog väst AB</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40231-2022</t>
        </is>
      </c>
      <c r="B3814" s="1" t="n">
        <v>44820</v>
      </c>
      <c r="C3814" s="1" t="n">
        <v>45797</v>
      </c>
      <c r="D3814" t="inlineStr">
        <is>
          <t>ÖREBRO LÄN</t>
        </is>
      </c>
      <c r="E3814" t="inlineStr">
        <is>
          <t>ÖREBRO</t>
        </is>
      </c>
      <c r="F3814" t="inlineStr">
        <is>
          <t>Allmännings- och besparingsskogar</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40755-2022</t>
        </is>
      </c>
      <c r="B3815" s="1" t="n">
        <v>44820</v>
      </c>
      <c r="C3815" s="1" t="n">
        <v>45797</v>
      </c>
      <c r="D3815" t="inlineStr">
        <is>
          <t>ÖREBRO LÄN</t>
        </is>
      </c>
      <c r="E3815" t="inlineStr">
        <is>
          <t>LINDESBERG</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40306-2022</t>
        </is>
      </c>
      <c r="B3816" s="1" t="n">
        <v>44822</v>
      </c>
      <c r="C3816" s="1" t="n">
        <v>45797</v>
      </c>
      <c r="D3816" t="inlineStr">
        <is>
          <t>ÖREBRO LÄN</t>
        </is>
      </c>
      <c r="E3816" t="inlineStr">
        <is>
          <t>LINDESBERG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40351-2022</t>
        </is>
      </c>
      <c r="B3817" s="1" t="n">
        <v>44823</v>
      </c>
      <c r="C3817" s="1" t="n">
        <v>45797</v>
      </c>
      <c r="D3817" t="inlineStr">
        <is>
          <t>ÖREBRO LÄN</t>
        </is>
      </c>
      <c r="E3817" t="inlineStr">
        <is>
          <t>LINDESBERG</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40530-2022</t>
        </is>
      </c>
      <c r="B3818" s="1" t="n">
        <v>44823</v>
      </c>
      <c r="C3818" s="1" t="n">
        <v>45797</v>
      </c>
      <c r="D3818" t="inlineStr">
        <is>
          <t>ÖREBRO LÄN</t>
        </is>
      </c>
      <c r="E3818" t="inlineStr">
        <is>
          <t>HÄLLEFORS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40347-2022</t>
        </is>
      </c>
      <c r="B3819" s="1" t="n">
        <v>44823</v>
      </c>
      <c r="C3819" s="1" t="n">
        <v>45797</v>
      </c>
      <c r="D3819" t="inlineStr">
        <is>
          <t>ÖREBRO LÄN</t>
        </is>
      </c>
      <c r="E3819" t="inlineStr">
        <is>
          <t>LJUSNARSBERG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40553-2022</t>
        </is>
      </c>
      <c r="B3820" s="1" t="n">
        <v>44823</v>
      </c>
      <c r="C3820" s="1" t="n">
        <v>45797</v>
      </c>
      <c r="D3820" t="inlineStr">
        <is>
          <t>ÖREBRO LÄN</t>
        </is>
      </c>
      <c r="E3820" t="inlineStr">
        <is>
          <t>HÄLLEFORS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40696-2022</t>
        </is>
      </c>
      <c r="B3821" s="1" t="n">
        <v>44824</v>
      </c>
      <c r="C3821" s="1" t="n">
        <v>45797</v>
      </c>
      <c r="D3821" t="inlineStr">
        <is>
          <t>ÖREBRO LÄN</t>
        </is>
      </c>
      <c r="E3821" t="inlineStr">
        <is>
          <t>LEKEBERG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40960-2022</t>
        </is>
      </c>
      <c r="B3822" s="1" t="n">
        <v>44825</v>
      </c>
      <c r="C3822" s="1" t="n">
        <v>45797</v>
      </c>
      <c r="D3822" t="inlineStr">
        <is>
          <t>ÖREBRO LÄN</t>
        </is>
      </c>
      <c r="E3822" t="inlineStr">
        <is>
          <t>LAXÅ</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40953-2022</t>
        </is>
      </c>
      <c r="B3823" s="1" t="n">
        <v>44825</v>
      </c>
      <c r="C3823" s="1" t="n">
        <v>45797</v>
      </c>
      <c r="D3823" t="inlineStr">
        <is>
          <t>ÖREBRO LÄN</t>
        </is>
      </c>
      <c r="E3823" t="inlineStr">
        <is>
          <t>LAXÅ</t>
        </is>
      </c>
      <c r="F3823" t="inlineStr">
        <is>
          <t>Sveaskog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40917-2022</t>
        </is>
      </c>
      <c r="B3824" s="1" t="n">
        <v>44825</v>
      </c>
      <c r="C3824" s="1" t="n">
        <v>45797</v>
      </c>
      <c r="D3824" t="inlineStr">
        <is>
          <t>ÖREBRO LÄN</t>
        </is>
      </c>
      <c r="E3824" t="inlineStr">
        <is>
          <t>HÄLLEFORS</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40954-2022</t>
        </is>
      </c>
      <c r="B3825" s="1" t="n">
        <v>44825</v>
      </c>
      <c r="C3825" s="1" t="n">
        <v>45797</v>
      </c>
      <c r="D3825" t="inlineStr">
        <is>
          <t>ÖREBRO LÄN</t>
        </is>
      </c>
      <c r="E3825" t="inlineStr">
        <is>
          <t>LINDESBERG</t>
        </is>
      </c>
      <c r="F3825" t="inlineStr">
        <is>
          <t>Kyrkan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40952-2022</t>
        </is>
      </c>
      <c r="B3826" s="1" t="n">
        <v>44825</v>
      </c>
      <c r="C3826" s="1" t="n">
        <v>45797</v>
      </c>
      <c r="D3826" t="inlineStr">
        <is>
          <t>ÖREBRO LÄN</t>
        </is>
      </c>
      <c r="E3826" t="inlineStr">
        <is>
          <t>LAXÅ</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40999-2022</t>
        </is>
      </c>
      <c r="B3827" s="1" t="n">
        <v>44825</v>
      </c>
      <c r="C3827" s="1" t="n">
        <v>45797</v>
      </c>
      <c r="D3827" t="inlineStr">
        <is>
          <t>ÖREBRO LÄN</t>
        </is>
      </c>
      <c r="E3827" t="inlineStr">
        <is>
          <t>ASKERSUND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41112-2022</t>
        </is>
      </c>
      <c r="B3828" s="1" t="n">
        <v>44825</v>
      </c>
      <c r="C3828" s="1" t="n">
        <v>45797</v>
      </c>
      <c r="D3828" t="inlineStr">
        <is>
          <t>ÖREBRO LÄN</t>
        </is>
      </c>
      <c r="E3828" t="inlineStr">
        <is>
          <t>HÄLLEFORS</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41096-2022</t>
        </is>
      </c>
      <c r="B3829" s="1" t="n">
        <v>44825</v>
      </c>
      <c r="C3829" s="1" t="n">
        <v>45797</v>
      </c>
      <c r="D3829" t="inlineStr">
        <is>
          <t>ÖREBRO LÄN</t>
        </is>
      </c>
      <c r="E3829" t="inlineStr">
        <is>
          <t>HÄLLEFORS</t>
        </is>
      </c>
      <c r="F3829" t="inlineStr">
        <is>
          <t>Sveaskog</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41089-2022</t>
        </is>
      </c>
      <c r="B3830" s="1" t="n">
        <v>44825</v>
      </c>
      <c r="C3830" s="1" t="n">
        <v>45797</v>
      </c>
      <c r="D3830" t="inlineStr">
        <is>
          <t>ÖREBRO LÄN</t>
        </is>
      </c>
      <c r="E3830" t="inlineStr">
        <is>
          <t>HÄLLEFORS</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41207-2022</t>
        </is>
      </c>
      <c r="B3831" s="1" t="n">
        <v>44826</v>
      </c>
      <c r="C3831" s="1" t="n">
        <v>45797</v>
      </c>
      <c r="D3831" t="inlineStr">
        <is>
          <t>ÖREBRO LÄN</t>
        </is>
      </c>
      <c r="E3831" t="inlineStr">
        <is>
          <t>LINDESBERG</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41208-2022</t>
        </is>
      </c>
      <c r="B3832" s="1" t="n">
        <v>44826</v>
      </c>
      <c r="C3832" s="1" t="n">
        <v>45797</v>
      </c>
      <c r="D3832" t="inlineStr">
        <is>
          <t>ÖREBRO LÄN</t>
        </is>
      </c>
      <c r="E3832" t="inlineStr">
        <is>
          <t>LINDESBERG</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41553-2022</t>
        </is>
      </c>
      <c r="B3833" s="1" t="n">
        <v>44827</v>
      </c>
      <c r="C3833" s="1" t="n">
        <v>45797</v>
      </c>
      <c r="D3833" t="inlineStr">
        <is>
          <t>ÖREBRO LÄN</t>
        </is>
      </c>
      <c r="E3833" t="inlineStr">
        <is>
          <t>ÖREBRO</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41595-2022</t>
        </is>
      </c>
      <c r="B3834" s="1" t="n">
        <v>44827</v>
      </c>
      <c r="C3834" s="1" t="n">
        <v>45797</v>
      </c>
      <c r="D3834" t="inlineStr">
        <is>
          <t>ÖREBRO LÄN</t>
        </is>
      </c>
      <c r="E3834" t="inlineStr">
        <is>
          <t>HALLSBERG</t>
        </is>
      </c>
      <c r="F3834" t="inlineStr">
        <is>
          <t>Kommuner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41602-2022</t>
        </is>
      </c>
      <c r="B3835" s="1" t="n">
        <v>44827</v>
      </c>
      <c r="C3835" s="1" t="n">
        <v>45797</v>
      </c>
      <c r="D3835" t="inlineStr">
        <is>
          <t>ÖREBRO LÄN</t>
        </is>
      </c>
      <c r="E3835" t="inlineStr">
        <is>
          <t>HALLSBERG</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41838-2022</t>
        </is>
      </c>
      <c r="B3836" s="1" t="n">
        <v>44828</v>
      </c>
      <c r="C3836" s="1" t="n">
        <v>45797</v>
      </c>
      <c r="D3836" t="inlineStr">
        <is>
          <t>ÖREBRO LÄN</t>
        </is>
      </c>
      <c r="E3836" t="inlineStr">
        <is>
          <t>ASKERSUND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41894-2022</t>
        </is>
      </c>
      <c r="B3837" s="1" t="n">
        <v>44830</v>
      </c>
      <c r="C3837" s="1" t="n">
        <v>45797</v>
      </c>
      <c r="D3837" t="inlineStr">
        <is>
          <t>ÖREBRO LÄN</t>
        </is>
      </c>
      <c r="E3837" t="inlineStr">
        <is>
          <t>ÖREBRO</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41967-2022</t>
        </is>
      </c>
      <c r="B3838" s="1" t="n">
        <v>44830</v>
      </c>
      <c r="C3838" s="1" t="n">
        <v>45797</v>
      </c>
      <c r="D3838" t="inlineStr">
        <is>
          <t>ÖREBRO LÄN</t>
        </is>
      </c>
      <c r="E3838" t="inlineStr">
        <is>
          <t>LEKEBERG</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41979-2022</t>
        </is>
      </c>
      <c r="B3839" s="1" t="n">
        <v>44830</v>
      </c>
      <c r="C3839" s="1" t="n">
        <v>45797</v>
      </c>
      <c r="D3839" t="inlineStr">
        <is>
          <t>ÖREBRO LÄN</t>
        </is>
      </c>
      <c r="E3839" t="inlineStr">
        <is>
          <t>LEKEBERG</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41892-2022</t>
        </is>
      </c>
      <c r="B3840" s="1" t="n">
        <v>44830</v>
      </c>
      <c r="C3840" s="1" t="n">
        <v>45797</v>
      </c>
      <c r="D3840" t="inlineStr">
        <is>
          <t>ÖREBRO LÄN</t>
        </is>
      </c>
      <c r="E3840" t="inlineStr">
        <is>
          <t>ÖREBRO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41977-2022</t>
        </is>
      </c>
      <c r="B3841" s="1" t="n">
        <v>44830</v>
      </c>
      <c r="C3841" s="1" t="n">
        <v>45797</v>
      </c>
      <c r="D3841" t="inlineStr">
        <is>
          <t>ÖREBRO LÄN</t>
        </is>
      </c>
      <c r="E3841" t="inlineStr">
        <is>
          <t>LEKEBERG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42095-2022</t>
        </is>
      </c>
      <c r="B3842" s="1" t="n">
        <v>44830</v>
      </c>
      <c r="C3842" s="1" t="n">
        <v>45797</v>
      </c>
      <c r="D3842" t="inlineStr">
        <is>
          <t>ÖREBRO LÄN</t>
        </is>
      </c>
      <c r="E3842" t="inlineStr">
        <is>
          <t>LAXÅ</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42028-2022</t>
        </is>
      </c>
      <c r="B3843" s="1" t="n">
        <v>44830</v>
      </c>
      <c r="C3843" s="1" t="n">
        <v>45797</v>
      </c>
      <c r="D3843" t="inlineStr">
        <is>
          <t>ÖREBRO LÄN</t>
        </is>
      </c>
      <c r="E3843" t="inlineStr">
        <is>
          <t>HÄLLEFORS</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42206-2022</t>
        </is>
      </c>
      <c r="B3844" s="1" t="n">
        <v>44830</v>
      </c>
      <c r="C3844" s="1" t="n">
        <v>45797</v>
      </c>
      <c r="D3844" t="inlineStr">
        <is>
          <t>ÖREBRO LÄN</t>
        </is>
      </c>
      <c r="E3844" t="inlineStr">
        <is>
          <t>HALLSBERG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42493-2022</t>
        </is>
      </c>
      <c r="B3845" s="1" t="n">
        <v>44831</v>
      </c>
      <c r="C3845" s="1" t="n">
        <v>45797</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42495-2022</t>
        </is>
      </c>
      <c r="B3846" s="1" t="n">
        <v>44831</v>
      </c>
      <c r="C3846" s="1" t="n">
        <v>45797</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42559-2022</t>
        </is>
      </c>
      <c r="B3847" s="1" t="n">
        <v>44831</v>
      </c>
      <c r="C3847" s="1" t="n">
        <v>45797</v>
      </c>
      <c r="D3847" t="inlineStr">
        <is>
          <t>ÖREBRO LÄN</t>
        </is>
      </c>
      <c r="E3847" t="inlineStr">
        <is>
          <t>HALLSBERG</t>
        </is>
      </c>
      <c r="F3847" t="inlineStr">
        <is>
          <t>Allmännings- och besparingsskogar</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42618-2022</t>
        </is>
      </c>
      <c r="B3848" s="1" t="n">
        <v>44831</v>
      </c>
      <c r="C3848" s="1" t="n">
        <v>45797</v>
      </c>
      <c r="D3848" t="inlineStr">
        <is>
          <t>ÖREBRO LÄN</t>
        </is>
      </c>
      <c r="E3848" t="inlineStr">
        <is>
          <t>ÖREBRO</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42623-2022</t>
        </is>
      </c>
      <c r="B3849" s="1" t="n">
        <v>44831</v>
      </c>
      <c r="C3849" s="1" t="n">
        <v>45797</v>
      </c>
      <c r="D3849" t="inlineStr">
        <is>
          <t>ÖREBRO LÄN</t>
        </is>
      </c>
      <c r="E3849" t="inlineStr">
        <is>
          <t>ÖREBRO</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42862-2022</t>
        </is>
      </c>
      <c r="B3850" s="1" t="n">
        <v>44832</v>
      </c>
      <c r="C3850" s="1" t="n">
        <v>45797</v>
      </c>
      <c r="D3850" t="inlineStr">
        <is>
          <t>ÖREBRO LÄN</t>
        </is>
      </c>
      <c r="E3850" t="inlineStr">
        <is>
          <t>HÄLLEFORS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42863-2022</t>
        </is>
      </c>
      <c r="B3851" s="1" t="n">
        <v>44832</v>
      </c>
      <c r="C3851" s="1" t="n">
        <v>45797</v>
      </c>
      <c r="D3851" t="inlineStr">
        <is>
          <t>ÖREBRO LÄN</t>
        </is>
      </c>
      <c r="E3851" t="inlineStr">
        <is>
          <t>HÄLLEFORS</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43046-2022</t>
        </is>
      </c>
      <c r="B3852" s="1" t="n">
        <v>44833</v>
      </c>
      <c r="C3852" s="1" t="n">
        <v>45797</v>
      </c>
      <c r="D3852" t="inlineStr">
        <is>
          <t>ÖREBRO LÄN</t>
        </is>
      </c>
      <c r="E3852" t="inlineStr">
        <is>
          <t>LINDESBERG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43254-2022</t>
        </is>
      </c>
      <c r="B3853" s="1" t="n">
        <v>44834</v>
      </c>
      <c r="C3853" s="1" t="n">
        <v>45797</v>
      </c>
      <c r="D3853" t="inlineStr">
        <is>
          <t>ÖREBRO LÄN</t>
        </is>
      </c>
      <c r="E3853" t="inlineStr">
        <is>
          <t>NORA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43270-2022</t>
        </is>
      </c>
      <c r="B3854" s="1" t="n">
        <v>44834</v>
      </c>
      <c r="C3854" s="1" t="n">
        <v>45797</v>
      </c>
      <c r="D3854" t="inlineStr">
        <is>
          <t>ÖREBRO LÄN</t>
        </is>
      </c>
      <c r="E3854" t="inlineStr">
        <is>
          <t>ASKERSUND</t>
        </is>
      </c>
      <c r="F3854" t="inlineStr">
        <is>
          <t>Övriga Aktiebolag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43208-2022</t>
        </is>
      </c>
      <c r="B3855" s="1" t="n">
        <v>44834</v>
      </c>
      <c r="C3855" s="1" t="n">
        <v>45797</v>
      </c>
      <c r="D3855" t="inlineStr">
        <is>
          <t>ÖREBRO LÄN</t>
        </is>
      </c>
      <c r="E3855" t="inlineStr">
        <is>
          <t>LJUSNARSBERG</t>
        </is>
      </c>
      <c r="F3855" t="inlineStr">
        <is>
          <t>Bergvik skog väst AB</t>
        </is>
      </c>
      <c r="G3855" t="n">
        <v>21.2</v>
      </c>
      <c r="H3855" t="n">
        <v>0</v>
      </c>
      <c r="I3855" t="n">
        <v>0</v>
      </c>
      <c r="J3855" t="n">
        <v>0</v>
      </c>
      <c r="K3855" t="n">
        <v>0</v>
      </c>
      <c r="L3855" t="n">
        <v>0</v>
      </c>
      <c r="M3855" t="n">
        <v>0</v>
      </c>
      <c r="N3855" t="n">
        <v>0</v>
      </c>
      <c r="O3855" t="n">
        <v>0</v>
      </c>
      <c r="P3855" t="n">
        <v>0</v>
      </c>
      <c r="Q3855" t="n">
        <v>0</v>
      </c>
      <c r="R3855" s="2" t="inlineStr"/>
    </row>
    <row r="3856" ht="15" customHeight="1">
      <c r="A3856" t="inlineStr">
        <is>
          <t>A 43391-2022</t>
        </is>
      </c>
      <c r="B3856" s="1" t="n">
        <v>44834</v>
      </c>
      <c r="C3856" s="1" t="n">
        <v>45797</v>
      </c>
      <c r="D3856" t="inlineStr">
        <is>
          <t>ÖREBRO LÄN</t>
        </is>
      </c>
      <c r="E3856" t="inlineStr">
        <is>
          <t>ÖREBRO</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43399-2022</t>
        </is>
      </c>
      <c r="B3857" s="1" t="n">
        <v>44834</v>
      </c>
      <c r="C3857" s="1" t="n">
        <v>45797</v>
      </c>
      <c r="D3857" t="inlineStr">
        <is>
          <t>ÖREBRO LÄN</t>
        </is>
      </c>
      <c r="E3857" t="inlineStr">
        <is>
          <t>ÖREBRO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43486-2022</t>
        </is>
      </c>
      <c r="B3858" s="1" t="n">
        <v>44837</v>
      </c>
      <c r="C3858" s="1" t="n">
        <v>45797</v>
      </c>
      <c r="D3858" t="inlineStr">
        <is>
          <t>ÖREBRO LÄN</t>
        </is>
      </c>
      <c r="E3858" t="inlineStr">
        <is>
          <t>LINDESBERG</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43500-2022</t>
        </is>
      </c>
      <c r="B3859" s="1" t="n">
        <v>44837</v>
      </c>
      <c r="C3859" s="1" t="n">
        <v>45797</v>
      </c>
      <c r="D3859" t="inlineStr">
        <is>
          <t>ÖREBRO LÄN</t>
        </is>
      </c>
      <c r="E3859" t="inlineStr">
        <is>
          <t>LAXÅ</t>
        </is>
      </c>
      <c r="F3859" t="inlineStr">
        <is>
          <t>Sveaskog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43679-2022</t>
        </is>
      </c>
      <c r="B3860" s="1" t="n">
        <v>44837</v>
      </c>
      <c r="C3860" s="1" t="n">
        <v>45797</v>
      </c>
      <c r="D3860" t="inlineStr">
        <is>
          <t>ÖREBRO LÄN</t>
        </is>
      </c>
      <c r="E3860" t="inlineStr">
        <is>
          <t>HALLSBERG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43612-2022</t>
        </is>
      </c>
      <c r="B3861" s="1" t="n">
        <v>44837</v>
      </c>
      <c r="C3861" s="1" t="n">
        <v>45797</v>
      </c>
      <c r="D3861" t="inlineStr">
        <is>
          <t>ÖREBRO LÄN</t>
        </is>
      </c>
      <c r="E3861" t="inlineStr">
        <is>
          <t>ÖREBRO</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43706-2022</t>
        </is>
      </c>
      <c r="B3862" s="1" t="n">
        <v>44837</v>
      </c>
      <c r="C3862" s="1" t="n">
        <v>45797</v>
      </c>
      <c r="D3862" t="inlineStr">
        <is>
          <t>ÖREBRO LÄN</t>
        </is>
      </c>
      <c r="E3862" t="inlineStr">
        <is>
          <t>KUMLA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43941-2022</t>
        </is>
      </c>
      <c r="B3863" s="1" t="n">
        <v>44838</v>
      </c>
      <c r="C3863" s="1" t="n">
        <v>45797</v>
      </c>
      <c r="D3863" t="inlineStr">
        <is>
          <t>ÖREBRO LÄN</t>
        </is>
      </c>
      <c r="E3863" t="inlineStr">
        <is>
          <t>NORA</t>
        </is>
      </c>
      <c r="F3863" t="inlineStr">
        <is>
          <t>Sveaskog</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44003-2022</t>
        </is>
      </c>
      <c r="B3864" s="1" t="n">
        <v>44838</v>
      </c>
      <c r="C3864" s="1" t="n">
        <v>45797</v>
      </c>
      <c r="D3864" t="inlineStr">
        <is>
          <t>ÖREBRO LÄN</t>
        </is>
      </c>
      <c r="E3864" t="inlineStr">
        <is>
          <t>LINDESBERG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44591-2022</t>
        </is>
      </c>
      <c r="B3865" s="1" t="n">
        <v>44838</v>
      </c>
      <c r="C3865" s="1" t="n">
        <v>45797</v>
      </c>
      <c r="D3865" t="inlineStr">
        <is>
          <t>ÖREBRO LÄN</t>
        </is>
      </c>
      <c r="E3865" t="inlineStr">
        <is>
          <t>LJUSNARSBERG</t>
        </is>
      </c>
      <c r="F3865" t="inlineStr">
        <is>
          <t>Bergvik skog väst AB</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44165-2022</t>
        </is>
      </c>
      <c r="B3866" s="1" t="n">
        <v>44839</v>
      </c>
      <c r="C3866" s="1" t="n">
        <v>45797</v>
      </c>
      <c r="D3866" t="inlineStr">
        <is>
          <t>ÖREBRO LÄN</t>
        </is>
      </c>
      <c r="E3866" t="inlineStr">
        <is>
          <t>ÖREBRO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44209-2022</t>
        </is>
      </c>
      <c r="B3867" s="1" t="n">
        <v>44839</v>
      </c>
      <c r="C3867" s="1" t="n">
        <v>45797</v>
      </c>
      <c r="D3867" t="inlineStr">
        <is>
          <t>ÖREBRO LÄN</t>
        </is>
      </c>
      <c r="E3867" t="inlineStr">
        <is>
          <t>HÄLLEFORS</t>
        </is>
      </c>
      <c r="F3867" t="inlineStr">
        <is>
          <t>Bergvik skog väst AB</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44271-2022</t>
        </is>
      </c>
      <c r="B3868" s="1" t="n">
        <v>44839</v>
      </c>
      <c r="C3868" s="1" t="n">
        <v>45797</v>
      </c>
      <c r="D3868" t="inlineStr">
        <is>
          <t>ÖREBRO LÄN</t>
        </is>
      </c>
      <c r="E3868" t="inlineStr">
        <is>
          <t>ÖREBRO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44295-2022</t>
        </is>
      </c>
      <c r="B3869" s="1" t="n">
        <v>44839</v>
      </c>
      <c r="C3869" s="1" t="n">
        <v>45797</v>
      </c>
      <c r="D3869" t="inlineStr">
        <is>
          <t>ÖREBRO LÄN</t>
        </is>
      </c>
      <c r="E3869" t="inlineStr">
        <is>
          <t>ÖREBRO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44343-2022</t>
        </is>
      </c>
      <c r="B3870" s="1" t="n">
        <v>44839</v>
      </c>
      <c r="C3870" s="1" t="n">
        <v>45797</v>
      </c>
      <c r="D3870" t="inlineStr">
        <is>
          <t>ÖREBRO LÄN</t>
        </is>
      </c>
      <c r="E3870" t="inlineStr">
        <is>
          <t>LEKEBERG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44364-2022</t>
        </is>
      </c>
      <c r="B3871" s="1" t="n">
        <v>44839</v>
      </c>
      <c r="C3871" s="1" t="n">
        <v>45797</v>
      </c>
      <c r="D3871" t="inlineStr">
        <is>
          <t>ÖREBRO LÄN</t>
        </is>
      </c>
      <c r="E3871" t="inlineStr">
        <is>
          <t>ÖREBRO</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44457-2022</t>
        </is>
      </c>
      <c r="B3872" s="1" t="n">
        <v>44839</v>
      </c>
      <c r="C3872" s="1" t="n">
        <v>45797</v>
      </c>
      <c r="D3872" t="inlineStr">
        <is>
          <t>ÖREBRO LÄN</t>
        </is>
      </c>
      <c r="E3872" t="inlineStr">
        <is>
          <t>DEGERFORS</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44131-2022</t>
        </is>
      </c>
      <c r="B3873" s="1" t="n">
        <v>44839</v>
      </c>
      <c r="C3873" s="1" t="n">
        <v>45797</v>
      </c>
      <c r="D3873" t="inlineStr">
        <is>
          <t>ÖREBRO LÄN</t>
        </is>
      </c>
      <c r="E3873" t="inlineStr">
        <is>
          <t>ÖREBRO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44279-2022</t>
        </is>
      </c>
      <c r="B3874" s="1" t="n">
        <v>44839</v>
      </c>
      <c r="C3874" s="1" t="n">
        <v>45797</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44210-2022</t>
        </is>
      </c>
      <c r="B3875" s="1" t="n">
        <v>44839</v>
      </c>
      <c r="C3875" s="1" t="n">
        <v>45797</v>
      </c>
      <c r="D3875" t="inlineStr">
        <is>
          <t>ÖREBRO LÄN</t>
        </is>
      </c>
      <c r="E3875" t="inlineStr">
        <is>
          <t>HALLSBERG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44284-2022</t>
        </is>
      </c>
      <c r="B3876" s="1" t="n">
        <v>44839</v>
      </c>
      <c r="C3876" s="1" t="n">
        <v>45797</v>
      </c>
      <c r="D3876" t="inlineStr">
        <is>
          <t>ÖREBRO LÄN</t>
        </is>
      </c>
      <c r="E3876" t="inlineStr">
        <is>
          <t>ÖREBRO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44163-2022</t>
        </is>
      </c>
      <c r="B3877" s="1" t="n">
        <v>44839</v>
      </c>
      <c r="C3877" s="1" t="n">
        <v>45797</v>
      </c>
      <c r="D3877" t="inlineStr">
        <is>
          <t>ÖREBRO LÄN</t>
        </is>
      </c>
      <c r="E3877" t="inlineStr">
        <is>
          <t>LJUSNARSBERG</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44171-2022</t>
        </is>
      </c>
      <c r="B3878" s="1" t="n">
        <v>44839</v>
      </c>
      <c r="C3878" s="1" t="n">
        <v>45797</v>
      </c>
      <c r="D3878" t="inlineStr">
        <is>
          <t>ÖREBRO LÄN</t>
        </is>
      </c>
      <c r="E3878" t="inlineStr">
        <is>
          <t>HÄLLEFORS</t>
        </is>
      </c>
      <c r="F3878" t="inlineStr">
        <is>
          <t>Bergvik skog väst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44216-2022</t>
        </is>
      </c>
      <c r="B3879" s="1" t="n">
        <v>44839</v>
      </c>
      <c r="C3879" s="1" t="n">
        <v>45797</v>
      </c>
      <c r="D3879" t="inlineStr">
        <is>
          <t>ÖREBRO LÄN</t>
        </is>
      </c>
      <c r="E3879" t="inlineStr">
        <is>
          <t>HALLSBERG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44512-2022</t>
        </is>
      </c>
      <c r="B3880" s="1" t="n">
        <v>44840</v>
      </c>
      <c r="C3880" s="1" t="n">
        <v>45797</v>
      </c>
      <c r="D3880" t="inlineStr">
        <is>
          <t>ÖREBRO LÄN</t>
        </is>
      </c>
      <c r="E3880" t="inlineStr">
        <is>
          <t>HALLSBERG</t>
        </is>
      </c>
      <c r="F3880" t="inlineStr">
        <is>
          <t>Sveaskog</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44939-2022</t>
        </is>
      </c>
      <c r="B3881" s="1" t="n">
        <v>44841</v>
      </c>
      <c r="C3881" s="1" t="n">
        <v>45797</v>
      </c>
      <c r="D3881" t="inlineStr">
        <is>
          <t>ÖREBRO LÄN</t>
        </is>
      </c>
      <c r="E3881" t="inlineStr">
        <is>
          <t>HÄLLEFORS</t>
        </is>
      </c>
      <c r="F3881" t="inlineStr">
        <is>
          <t>Bergvik skog väst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44996-2022</t>
        </is>
      </c>
      <c r="B3882" s="1" t="n">
        <v>44841</v>
      </c>
      <c r="C3882" s="1" t="n">
        <v>45797</v>
      </c>
      <c r="D3882" t="inlineStr">
        <is>
          <t>ÖREBRO LÄN</t>
        </is>
      </c>
      <c r="E3882" t="inlineStr">
        <is>
          <t>NORA</t>
        </is>
      </c>
      <c r="F3882" t="inlineStr">
        <is>
          <t>Sveaskog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45062-2022</t>
        </is>
      </c>
      <c r="B3883" s="1" t="n">
        <v>44841</v>
      </c>
      <c r="C3883" s="1" t="n">
        <v>45797</v>
      </c>
      <c r="D3883" t="inlineStr">
        <is>
          <t>ÖREBRO LÄN</t>
        </is>
      </c>
      <c r="E3883" t="inlineStr">
        <is>
          <t>LINDESBERG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44995-2022</t>
        </is>
      </c>
      <c r="B3884" s="1" t="n">
        <v>44841</v>
      </c>
      <c r="C3884" s="1" t="n">
        <v>45797</v>
      </c>
      <c r="D3884" t="inlineStr">
        <is>
          <t>ÖREBRO LÄN</t>
        </is>
      </c>
      <c r="E3884" t="inlineStr">
        <is>
          <t>NORA</t>
        </is>
      </c>
      <c r="F3884" t="inlineStr">
        <is>
          <t>Sveaskog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45014-2022</t>
        </is>
      </c>
      <c r="B3885" s="1" t="n">
        <v>44841</v>
      </c>
      <c r="C3885" s="1" t="n">
        <v>45797</v>
      </c>
      <c r="D3885" t="inlineStr">
        <is>
          <t>ÖREBRO LÄN</t>
        </is>
      </c>
      <c r="E3885" t="inlineStr">
        <is>
          <t>LAXÅ</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44810-2022</t>
        </is>
      </c>
      <c r="B3886" s="1" t="n">
        <v>44841</v>
      </c>
      <c r="C3886" s="1" t="n">
        <v>45797</v>
      </c>
      <c r="D3886" t="inlineStr">
        <is>
          <t>ÖREBRO LÄN</t>
        </is>
      </c>
      <c r="E3886" t="inlineStr">
        <is>
          <t>HÄLLEFORS</t>
        </is>
      </c>
      <c r="F3886" t="inlineStr">
        <is>
          <t>Bergvik skog väst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44850-2022</t>
        </is>
      </c>
      <c r="B3887" s="1" t="n">
        <v>44841</v>
      </c>
      <c r="C3887" s="1" t="n">
        <v>45797</v>
      </c>
      <c r="D3887" t="inlineStr">
        <is>
          <t>ÖREBRO LÄN</t>
        </is>
      </c>
      <c r="E3887" t="inlineStr">
        <is>
          <t>NORA</t>
        </is>
      </c>
      <c r="F3887" t="inlineStr">
        <is>
          <t>Sveaskog</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44972-2022</t>
        </is>
      </c>
      <c r="B3888" s="1" t="n">
        <v>44841</v>
      </c>
      <c r="C3888" s="1" t="n">
        <v>45797</v>
      </c>
      <c r="D3888" t="inlineStr">
        <is>
          <t>ÖREBRO LÄN</t>
        </is>
      </c>
      <c r="E3888" t="inlineStr">
        <is>
          <t>LINDESBERG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44993-2022</t>
        </is>
      </c>
      <c r="B3889" s="1" t="n">
        <v>44841</v>
      </c>
      <c r="C3889" s="1" t="n">
        <v>45797</v>
      </c>
      <c r="D3889" t="inlineStr">
        <is>
          <t>ÖREBRO LÄN</t>
        </is>
      </c>
      <c r="E3889" t="inlineStr">
        <is>
          <t>NORA</t>
        </is>
      </c>
      <c r="F3889" t="inlineStr">
        <is>
          <t>Sveaskog</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45066-2022</t>
        </is>
      </c>
      <c r="B3890" s="1" t="n">
        <v>44841</v>
      </c>
      <c r="C3890" s="1" t="n">
        <v>45797</v>
      </c>
      <c r="D3890" t="inlineStr">
        <is>
          <t>ÖREBRO LÄN</t>
        </is>
      </c>
      <c r="E3890" t="inlineStr">
        <is>
          <t>NORA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45105-2022</t>
        </is>
      </c>
      <c r="B3891" s="1" t="n">
        <v>44843</v>
      </c>
      <c r="C3891" s="1" t="n">
        <v>45797</v>
      </c>
      <c r="D3891" t="inlineStr">
        <is>
          <t>ÖREBRO LÄN</t>
        </is>
      </c>
      <c r="E3891" t="inlineStr">
        <is>
          <t>LEKEBERG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45270-2022</t>
        </is>
      </c>
      <c r="B3892" s="1" t="n">
        <v>44844</v>
      </c>
      <c r="C3892" s="1" t="n">
        <v>45797</v>
      </c>
      <c r="D3892" t="inlineStr">
        <is>
          <t>ÖREBRO LÄN</t>
        </is>
      </c>
      <c r="E3892" t="inlineStr">
        <is>
          <t>LINDESBERG</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45166-2022</t>
        </is>
      </c>
      <c r="B3893" s="1" t="n">
        <v>44844</v>
      </c>
      <c r="C3893" s="1" t="n">
        <v>45797</v>
      </c>
      <c r="D3893" t="inlineStr">
        <is>
          <t>ÖREBRO LÄN</t>
        </is>
      </c>
      <c r="E3893" t="inlineStr">
        <is>
          <t>DEGERFORS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45292-2022</t>
        </is>
      </c>
      <c r="B3894" s="1" t="n">
        <v>44844</v>
      </c>
      <c r="C3894" s="1" t="n">
        <v>45797</v>
      </c>
      <c r="D3894" t="inlineStr">
        <is>
          <t>ÖREBRO LÄN</t>
        </is>
      </c>
      <c r="E3894" t="inlineStr">
        <is>
          <t>DEGERFORS</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45339-2022</t>
        </is>
      </c>
      <c r="B3895" s="1" t="n">
        <v>44844</v>
      </c>
      <c r="C3895" s="1" t="n">
        <v>45797</v>
      </c>
      <c r="D3895" t="inlineStr">
        <is>
          <t>ÖREBRO LÄN</t>
        </is>
      </c>
      <c r="E3895" t="inlineStr">
        <is>
          <t>ASKERSUND</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45360-2022</t>
        </is>
      </c>
      <c r="B3896" s="1" t="n">
        <v>44844</v>
      </c>
      <c r="C3896" s="1" t="n">
        <v>45797</v>
      </c>
      <c r="D3896" t="inlineStr">
        <is>
          <t>ÖREBRO LÄN</t>
        </is>
      </c>
      <c r="E3896" t="inlineStr">
        <is>
          <t>HALLSBERG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45291-2022</t>
        </is>
      </c>
      <c r="B3897" s="1" t="n">
        <v>44844</v>
      </c>
      <c r="C3897" s="1" t="n">
        <v>45797</v>
      </c>
      <c r="D3897" t="inlineStr">
        <is>
          <t>ÖREBRO LÄN</t>
        </is>
      </c>
      <c r="E3897" t="inlineStr">
        <is>
          <t>DEGERFORS</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45298-2022</t>
        </is>
      </c>
      <c r="B3898" s="1" t="n">
        <v>44844</v>
      </c>
      <c r="C3898" s="1" t="n">
        <v>45797</v>
      </c>
      <c r="D3898" t="inlineStr">
        <is>
          <t>ÖREBRO LÄN</t>
        </is>
      </c>
      <c r="E3898" t="inlineStr">
        <is>
          <t>DEGERFORS</t>
        </is>
      </c>
      <c r="F3898" t="inlineStr">
        <is>
          <t>Sveaskog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45297-2022</t>
        </is>
      </c>
      <c r="B3899" s="1" t="n">
        <v>44844</v>
      </c>
      <c r="C3899" s="1" t="n">
        <v>45797</v>
      </c>
      <c r="D3899" t="inlineStr">
        <is>
          <t>ÖREBRO LÄN</t>
        </is>
      </c>
      <c r="E3899" t="inlineStr">
        <is>
          <t>ASKERSUND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45269-2022</t>
        </is>
      </c>
      <c r="B3900" s="1" t="n">
        <v>44844</v>
      </c>
      <c r="C3900" s="1" t="n">
        <v>45797</v>
      </c>
      <c r="D3900" t="inlineStr">
        <is>
          <t>ÖREBRO LÄN</t>
        </is>
      </c>
      <c r="E3900" t="inlineStr">
        <is>
          <t>LINDESBERG</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45296-2022</t>
        </is>
      </c>
      <c r="B3901" s="1" t="n">
        <v>44844</v>
      </c>
      <c r="C3901" s="1" t="n">
        <v>45797</v>
      </c>
      <c r="D3901" t="inlineStr">
        <is>
          <t>ÖREBRO LÄN</t>
        </is>
      </c>
      <c r="E3901" t="inlineStr">
        <is>
          <t>DEGERFORS</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45341-2022</t>
        </is>
      </c>
      <c r="B3902" s="1" t="n">
        <v>44844</v>
      </c>
      <c r="C3902" s="1" t="n">
        <v>45797</v>
      </c>
      <c r="D3902" t="inlineStr">
        <is>
          <t>ÖREBRO LÄN</t>
        </is>
      </c>
      <c r="E3902" t="inlineStr">
        <is>
          <t>HALLSBERG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45645-2022</t>
        </is>
      </c>
      <c r="B3903" s="1" t="n">
        <v>44845</v>
      </c>
      <c r="C3903" s="1" t="n">
        <v>45797</v>
      </c>
      <c r="D3903" t="inlineStr">
        <is>
          <t>ÖREBRO LÄN</t>
        </is>
      </c>
      <c r="E3903" t="inlineStr">
        <is>
          <t>NORA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45800-2022</t>
        </is>
      </c>
      <c r="B3904" s="1" t="n">
        <v>44846</v>
      </c>
      <c r="C3904" s="1" t="n">
        <v>45797</v>
      </c>
      <c r="D3904" t="inlineStr">
        <is>
          <t>ÖREBRO LÄN</t>
        </is>
      </c>
      <c r="E3904" t="inlineStr">
        <is>
          <t>KARLSKOGA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46219-2022</t>
        </is>
      </c>
      <c r="B3905" s="1" t="n">
        <v>44846</v>
      </c>
      <c r="C3905" s="1" t="n">
        <v>45797</v>
      </c>
      <c r="D3905" t="inlineStr">
        <is>
          <t>ÖREBRO LÄN</t>
        </is>
      </c>
      <c r="E3905" t="inlineStr">
        <is>
          <t>LINDESBERG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46146-2022</t>
        </is>
      </c>
      <c r="B3906" s="1" t="n">
        <v>44847</v>
      </c>
      <c r="C3906" s="1" t="n">
        <v>45797</v>
      </c>
      <c r="D3906" t="inlineStr">
        <is>
          <t>ÖREBRO LÄN</t>
        </is>
      </c>
      <c r="E3906" t="inlineStr">
        <is>
          <t>LJUSNARSBERG</t>
        </is>
      </c>
      <c r="F3906" t="inlineStr">
        <is>
          <t>Bergvik skog väst AB</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46266-2022</t>
        </is>
      </c>
      <c r="B3907" s="1" t="n">
        <v>44847</v>
      </c>
      <c r="C3907" s="1" t="n">
        <v>45797</v>
      </c>
      <c r="D3907" t="inlineStr">
        <is>
          <t>ÖREBRO LÄN</t>
        </is>
      </c>
      <c r="E3907" t="inlineStr">
        <is>
          <t>ÖREBRO</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46271-2022</t>
        </is>
      </c>
      <c r="B3908" s="1" t="n">
        <v>44847</v>
      </c>
      <c r="C3908" s="1" t="n">
        <v>45797</v>
      </c>
      <c r="D3908" t="inlineStr">
        <is>
          <t>ÖREBRO LÄN</t>
        </is>
      </c>
      <c r="E3908" t="inlineStr">
        <is>
          <t>ÖREBRO</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46265-2022</t>
        </is>
      </c>
      <c r="B3909" s="1" t="n">
        <v>44847</v>
      </c>
      <c r="C3909" s="1" t="n">
        <v>45797</v>
      </c>
      <c r="D3909" t="inlineStr">
        <is>
          <t>ÖREBRO LÄN</t>
        </is>
      </c>
      <c r="E3909" t="inlineStr">
        <is>
          <t>LAXÅ</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46269-2022</t>
        </is>
      </c>
      <c r="B3910" s="1" t="n">
        <v>44847</v>
      </c>
      <c r="C3910" s="1" t="n">
        <v>45797</v>
      </c>
      <c r="D3910" t="inlineStr">
        <is>
          <t>ÖREBRO LÄN</t>
        </is>
      </c>
      <c r="E3910" t="inlineStr">
        <is>
          <t>LAXÅ</t>
        </is>
      </c>
      <c r="F3910" t="inlineStr">
        <is>
          <t>Sveaskog</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46268-2022</t>
        </is>
      </c>
      <c r="B3911" s="1" t="n">
        <v>44847</v>
      </c>
      <c r="C3911" s="1" t="n">
        <v>45797</v>
      </c>
      <c r="D3911" t="inlineStr">
        <is>
          <t>ÖREBRO LÄN</t>
        </is>
      </c>
      <c r="E3911" t="inlineStr">
        <is>
          <t>LAXÅ</t>
        </is>
      </c>
      <c r="F3911" t="inlineStr">
        <is>
          <t>Sveaskog</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46416-2022</t>
        </is>
      </c>
      <c r="B3912" s="1" t="n">
        <v>44848</v>
      </c>
      <c r="C3912" s="1" t="n">
        <v>45797</v>
      </c>
      <c r="D3912" t="inlineStr">
        <is>
          <t>ÖREBRO LÄN</t>
        </is>
      </c>
      <c r="E3912" t="inlineStr">
        <is>
          <t>HALLSBERG</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46421-2022</t>
        </is>
      </c>
      <c r="B3913" s="1" t="n">
        <v>44848</v>
      </c>
      <c r="C3913" s="1" t="n">
        <v>45797</v>
      </c>
      <c r="D3913" t="inlineStr">
        <is>
          <t>ÖREBRO LÄN</t>
        </is>
      </c>
      <c r="E3913" t="inlineStr">
        <is>
          <t>HALLSBERG</t>
        </is>
      </c>
      <c r="F3913" t="inlineStr">
        <is>
          <t>Sveaskog</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46877-2022</t>
        </is>
      </c>
      <c r="B3914" s="1" t="n">
        <v>44848</v>
      </c>
      <c r="C3914" s="1" t="n">
        <v>45797</v>
      </c>
      <c r="D3914" t="inlineStr">
        <is>
          <t>ÖREBRO LÄN</t>
        </is>
      </c>
      <c r="E3914" t="inlineStr">
        <is>
          <t>LEKEBERG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46661-2022</t>
        </is>
      </c>
      <c r="B3915" s="1" t="n">
        <v>44850</v>
      </c>
      <c r="C3915" s="1" t="n">
        <v>45797</v>
      </c>
      <c r="D3915" t="inlineStr">
        <is>
          <t>ÖREBRO LÄN</t>
        </is>
      </c>
      <c r="E3915" t="inlineStr">
        <is>
          <t>ASKERSUND</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46730-2022</t>
        </is>
      </c>
      <c r="B3916" s="1" t="n">
        <v>44851</v>
      </c>
      <c r="C3916" s="1" t="n">
        <v>45797</v>
      </c>
      <c r="D3916" t="inlineStr">
        <is>
          <t>ÖREBRO LÄN</t>
        </is>
      </c>
      <c r="E3916" t="inlineStr">
        <is>
          <t>KUMLA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46834-2022</t>
        </is>
      </c>
      <c r="B3917" s="1" t="n">
        <v>44851</v>
      </c>
      <c r="C3917" s="1" t="n">
        <v>45797</v>
      </c>
      <c r="D3917" t="inlineStr">
        <is>
          <t>ÖREBRO LÄN</t>
        </is>
      </c>
      <c r="E3917" t="inlineStr">
        <is>
          <t>ÖREBRO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46806-2022</t>
        </is>
      </c>
      <c r="B3918" s="1" t="n">
        <v>44851</v>
      </c>
      <c r="C3918" s="1" t="n">
        <v>45797</v>
      </c>
      <c r="D3918" t="inlineStr">
        <is>
          <t>ÖREBRO LÄN</t>
        </is>
      </c>
      <c r="E3918" t="inlineStr">
        <is>
          <t>NORA</t>
        </is>
      </c>
      <c r="F3918" t="inlineStr">
        <is>
          <t>Sveaskog</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47190-2022</t>
        </is>
      </c>
      <c r="B3919" s="1" t="n">
        <v>44852</v>
      </c>
      <c r="C3919" s="1" t="n">
        <v>45797</v>
      </c>
      <c r="D3919" t="inlineStr">
        <is>
          <t>ÖREBRO LÄN</t>
        </is>
      </c>
      <c r="E3919" t="inlineStr">
        <is>
          <t>HÄLLEFORS</t>
        </is>
      </c>
      <c r="F3919" t="inlineStr">
        <is>
          <t>Bergvik skog väst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47047-2022</t>
        </is>
      </c>
      <c r="B3920" s="1" t="n">
        <v>44852</v>
      </c>
      <c r="C3920" s="1" t="n">
        <v>45797</v>
      </c>
      <c r="D3920" t="inlineStr">
        <is>
          <t>ÖREBRO LÄN</t>
        </is>
      </c>
      <c r="E3920" t="inlineStr">
        <is>
          <t>ÖREBRO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47371-2022</t>
        </is>
      </c>
      <c r="B3921" s="1" t="n">
        <v>44853</v>
      </c>
      <c r="C3921" s="1" t="n">
        <v>45797</v>
      </c>
      <c r="D3921" t="inlineStr">
        <is>
          <t>ÖREBRO LÄN</t>
        </is>
      </c>
      <c r="E3921" t="inlineStr">
        <is>
          <t>ASKERSUND</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47457-2022</t>
        </is>
      </c>
      <c r="B3922" s="1" t="n">
        <v>44853</v>
      </c>
      <c r="C3922" s="1" t="n">
        <v>45797</v>
      </c>
      <c r="D3922" t="inlineStr">
        <is>
          <t>ÖREBRO LÄN</t>
        </is>
      </c>
      <c r="E3922" t="inlineStr">
        <is>
          <t>LINDESBERG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47535-2022</t>
        </is>
      </c>
      <c r="B3923" s="1" t="n">
        <v>44853</v>
      </c>
      <c r="C3923" s="1" t="n">
        <v>45797</v>
      </c>
      <c r="D3923" t="inlineStr">
        <is>
          <t>ÖREBRO LÄN</t>
        </is>
      </c>
      <c r="E3923" t="inlineStr">
        <is>
          <t>LINDESBERG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47604-2022</t>
        </is>
      </c>
      <c r="B3924" s="1" t="n">
        <v>44854</v>
      </c>
      <c r="C3924" s="1" t="n">
        <v>45797</v>
      </c>
      <c r="D3924" t="inlineStr">
        <is>
          <t>ÖREBRO LÄN</t>
        </is>
      </c>
      <c r="E3924" t="inlineStr">
        <is>
          <t>HÄLLEFORS</t>
        </is>
      </c>
      <c r="F3924" t="inlineStr">
        <is>
          <t>Bergvik skog väst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47601-2022</t>
        </is>
      </c>
      <c r="B3925" s="1" t="n">
        <v>44854</v>
      </c>
      <c r="C3925" s="1" t="n">
        <v>45797</v>
      </c>
      <c r="D3925" t="inlineStr">
        <is>
          <t>ÖREBRO LÄN</t>
        </is>
      </c>
      <c r="E3925" t="inlineStr">
        <is>
          <t>HÄLLEFORS</t>
        </is>
      </c>
      <c r="F3925" t="inlineStr">
        <is>
          <t>Bergvik skog väst AB</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48029-2022</t>
        </is>
      </c>
      <c r="B3926" s="1" t="n">
        <v>44855</v>
      </c>
      <c r="C3926" s="1" t="n">
        <v>45797</v>
      </c>
      <c r="D3926" t="inlineStr">
        <is>
          <t>ÖREBRO LÄN</t>
        </is>
      </c>
      <c r="E3926" t="inlineStr">
        <is>
          <t>HALLSBERG</t>
        </is>
      </c>
      <c r="F3926" t="inlineStr">
        <is>
          <t>Allmännings- och besparingsskogar</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47925-2022</t>
        </is>
      </c>
      <c r="B3927" s="1" t="n">
        <v>44855</v>
      </c>
      <c r="C3927" s="1" t="n">
        <v>45797</v>
      </c>
      <c r="D3927" t="inlineStr">
        <is>
          <t>ÖREBRO LÄN</t>
        </is>
      </c>
      <c r="E3927" t="inlineStr">
        <is>
          <t>ASKERSUND</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47983-2022</t>
        </is>
      </c>
      <c r="B3928" s="1" t="n">
        <v>44855</v>
      </c>
      <c r="C3928" s="1" t="n">
        <v>45797</v>
      </c>
      <c r="D3928" t="inlineStr">
        <is>
          <t>ÖREBRO LÄN</t>
        </is>
      </c>
      <c r="E3928" t="inlineStr">
        <is>
          <t>ASKERSUND</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48008-2022</t>
        </is>
      </c>
      <c r="B3929" s="1" t="n">
        <v>44855</v>
      </c>
      <c r="C3929" s="1" t="n">
        <v>45797</v>
      </c>
      <c r="D3929" t="inlineStr">
        <is>
          <t>ÖREBRO LÄN</t>
        </is>
      </c>
      <c r="E3929" t="inlineStr">
        <is>
          <t>ÖREBRO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48021-2022</t>
        </is>
      </c>
      <c r="B3930" s="1" t="n">
        <v>44855</v>
      </c>
      <c r="C3930" s="1" t="n">
        <v>45797</v>
      </c>
      <c r="D3930" t="inlineStr">
        <is>
          <t>ÖREBRO LÄN</t>
        </is>
      </c>
      <c r="E3930" t="inlineStr">
        <is>
          <t>ÖREBRO</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48184-2022</t>
        </is>
      </c>
      <c r="B3931" s="1" t="n">
        <v>44858</v>
      </c>
      <c r="C3931" s="1" t="n">
        <v>45797</v>
      </c>
      <c r="D3931" t="inlineStr">
        <is>
          <t>ÖREBRO LÄN</t>
        </is>
      </c>
      <c r="E3931" t="inlineStr">
        <is>
          <t>HÄLLEFORS</t>
        </is>
      </c>
      <c r="F3931" t="inlineStr">
        <is>
          <t>Bergvik skog väst AB</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48294-2022</t>
        </is>
      </c>
      <c r="B3932" s="1" t="n">
        <v>44858</v>
      </c>
      <c r="C3932" s="1" t="n">
        <v>45797</v>
      </c>
      <c r="D3932" t="inlineStr">
        <is>
          <t>ÖREBRO LÄN</t>
        </is>
      </c>
      <c r="E3932" t="inlineStr">
        <is>
          <t>HALLSBERG</t>
        </is>
      </c>
      <c r="F3932" t="inlineStr">
        <is>
          <t>Sveaskog</t>
        </is>
      </c>
      <c r="G3932" t="n">
        <v>8.6</v>
      </c>
      <c r="H3932" t="n">
        <v>0</v>
      </c>
      <c r="I3932" t="n">
        <v>0</v>
      </c>
      <c r="J3932" t="n">
        <v>0</v>
      </c>
      <c r="K3932" t="n">
        <v>0</v>
      </c>
      <c r="L3932" t="n">
        <v>0</v>
      </c>
      <c r="M3932" t="n">
        <v>0</v>
      </c>
      <c r="N3932" t="n">
        <v>0</v>
      </c>
      <c r="O3932" t="n">
        <v>0</v>
      </c>
      <c r="P3932" t="n">
        <v>0</v>
      </c>
      <c r="Q3932" t="n">
        <v>0</v>
      </c>
      <c r="R3932" s="2" t="inlineStr"/>
    </row>
    <row r="3933" ht="15" customHeight="1">
      <c r="A3933" t="inlineStr">
        <is>
          <t>A 48190-2022</t>
        </is>
      </c>
      <c r="B3933" s="1" t="n">
        <v>44858</v>
      </c>
      <c r="C3933" s="1" t="n">
        <v>45797</v>
      </c>
      <c r="D3933" t="inlineStr">
        <is>
          <t>ÖREBRO LÄN</t>
        </is>
      </c>
      <c r="E3933" t="inlineStr">
        <is>
          <t>KARLSKOGA</t>
        </is>
      </c>
      <c r="F3933" t="inlineStr">
        <is>
          <t>Kyrkan</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48216-2022</t>
        </is>
      </c>
      <c r="B3934" s="1" t="n">
        <v>44858</v>
      </c>
      <c r="C3934" s="1" t="n">
        <v>45797</v>
      </c>
      <c r="D3934" t="inlineStr">
        <is>
          <t>ÖREBRO LÄN</t>
        </is>
      </c>
      <c r="E3934" t="inlineStr">
        <is>
          <t>DEGERFORS</t>
        </is>
      </c>
      <c r="F3934" t="inlineStr">
        <is>
          <t>Sveaskog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48353-2022</t>
        </is>
      </c>
      <c r="B3935" s="1" t="n">
        <v>44858</v>
      </c>
      <c r="C3935" s="1" t="n">
        <v>45797</v>
      </c>
      <c r="D3935" t="inlineStr">
        <is>
          <t>ÖREBRO LÄN</t>
        </is>
      </c>
      <c r="E3935" t="inlineStr">
        <is>
          <t>LJUSNARSBERG</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48707-2022</t>
        </is>
      </c>
      <c r="B3936" s="1" t="n">
        <v>44859</v>
      </c>
      <c r="C3936" s="1" t="n">
        <v>45797</v>
      </c>
      <c r="D3936" t="inlineStr">
        <is>
          <t>ÖREBRO LÄN</t>
        </is>
      </c>
      <c r="E3936" t="inlineStr">
        <is>
          <t>NORA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48869-2022</t>
        </is>
      </c>
      <c r="B3937" s="1" t="n">
        <v>44859</v>
      </c>
      <c r="C3937" s="1" t="n">
        <v>45797</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48884-2022</t>
        </is>
      </c>
      <c r="B3938" s="1" t="n">
        <v>44859</v>
      </c>
      <c r="C3938" s="1" t="n">
        <v>45797</v>
      </c>
      <c r="D3938" t="inlineStr">
        <is>
          <t>ÖREBRO LÄN</t>
        </is>
      </c>
      <c r="E3938" t="inlineStr">
        <is>
          <t>ASKERSUND</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48860-2022</t>
        </is>
      </c>
      <c r="B3939" s="1" t="n">
        <v>44859</v>
      </c>
      <c r="C3939" s="1" t="n">
        <v>45797</v>
      </c>
      <c r="D3939" t="inlineStr">
        <is>
          <t>ÖREBRO LÄN</t>
        </is>
      </c>
      <c r="E3939" t="inlineStr">
        <is>
          <t>ASKERSUND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48885-2022</t>
        </is>
      </c>
      <c r="B3940" s="1" t="n">
        <v>44859</v>
      </c>
      <c r="C3940" s="1" t="n">
        <v>45797</v>
      </c>
      <c r="D3940" t="inlineStr">
        <is>
          <t>ÖREBRO LÄN</t>
        </is>
      </c>
      <c r="E3940" t="inlineStr">
        <is>
          <t>ASKERSUND</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48883-2022</t>
        </is>
      </c>
      <c r="B3941" s="1" t="n">
        <v>44859</v>
      </c>
      <c r="C3941" s="1" t="n">
        <v>45797</v>
      </c>
      <c r="D3941" t="inlineStr">
        <is>
          <t>ÖREBRO LÄN</t>
        </is>
      </c>
      <c r="E3941" t="inlineStr">
        <is>
          <t>HALLSBERG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49580-2022</t>
        </is>
      </c>
      <c r="B3942" s="1" t="n">
        <v>44859</v>
      </c>
      <c r="C3942" s="1" t="n">
        <v>45797</v>
      </c>
      <c r="D3942" t="inlineStr">
        <is>
          <t>ÖREBRO LÄN</t>
        </is>
      </c>
      <c r="E3942" t="inlineStr">
        <is>
          <t>LJUSNARSBERG</t>
        </is>
      </c>
      <c r="F3942" t="inlineStr">
        <is>
          <t>Bergvik skog väst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49050-2022</t>
        </is>
      </c>
      <c r="B3943" s="1" t="n">
        <v>44860</v>
      </c>
      <c r="C3943" s="1" t="n">
        <v>45797</v>
      </c>
      <c r="D3943" t="inlineStr">
        <is>
          <t>ÖREBRO LÄN</t>
        </is>
      </c>
      <c r="E3943" t="inlineStr">
        <is>
          <t>LINDESBERG</t>
        </is>
      </c>
      <c r="F3943" t="inlineStr">
        <is>
          <t>Sveaskog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49058-2022</t>
        </is>
      </c>
      <c r="B3944" s="1" t="n">
        <v>44860</v>
      </c>
      <c r="C3944" s="1" t="n">
        <v>45797</v>
      </c>
      <c r="D3944" t="inlineStr">
        <is>
          <t>ÖREBRO LÄN</t>
        </is>
      </c>
      <c r="E3944" t="inlineStr">
        <is>
          <t>LINDESBERG</t>
        </is>
      </c>
      <c r="F3944" t="inlineStr">
        <is>
          <t>Sveaskog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49055-2022</t>
        </is>
      </c>
      <c r="B3945" s="1" t="n">
        <v>44860</v>
      </c>
      <c r="C3945" s="1" t="n">
        <v>45797</v>
      </c>
      <c r="D3945" t="inlineStr">
        <is>
          <t>ÖREBRO LÄN</t>
        </is>
      </c>
      <c r="E3945" t="inlineStr">
        <is>
          <t>LINDESBERG</t>
        </is>
      </c>
      <c r="F3945" t="inlineStr">
        <is>
          <t>Sveaskog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49135-2022</t>
        </is>
      </c>
      <c r="B3946" s="1" t="n">
        <v>44860</v>
      </c>
      <c r="C3946" s="1" t="n">
        <v>45797</v>
      </c>
      <c r="D3946" t="inlineStr">
        <is>
          <t>ÖREBRO LÄN</t>
        </is>
      </c>
      <c r="E3946" t="inlineStr">
        <is>
          <t>NORA</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50173-2022</t>
        </is>
      </c>
      <c r="B3947" s="1" t="n">
        <v>44860</v>
      </c>
      <c r="C3947" s="1" t="n">
        <v>45797</v>
      </c>
      <c r="D3947" t="inlineStr">
        <is>
          <t>ÖREBRO LÄN</t>
        </is>
      </c>
      <c r="E3947" t="inlineStr">
        <is>
          <t>LINDESBERG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49215-2022</t>
        </is>
      </c>
      <c r="B3948" s="1" t="n">
        <v>44861</v>
      </c>
      <c r="C3948" s="1" t="n">
        <v>45797</v>
      </c>
      <c r="D3948" t="inlineStr">
        <is>
          <t>ÖREBRO LÄN</t>
        </is>
      </c>
      <c r="E3948" t="inlineStr">
        <is>
          <t>HÄLLEFORS</t>
        </is>
      </c>
      <c r="F3948" t="inlineStr">
        <is>
          <t>Bergvik skog väst AB</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49228-2022</t>
        </is>
      </c>
      <c r="B3949" s="1" t="n">
        <v>44861</v>
      </c>
      <c r="C3949" s="1" t="n">
        <v>45797</v>
      </c>
      <c r="D3949" t="inlineStr">
        <is>
          <t>ÖREBRO LÄN</t>
        </is>
      </c>
      <c r="E3949" t="inlineStr">
        <is>
          <t>ÖREBRO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49375-2022</t>
        </is>
      </c>
      <c r="B3950" s="1" t="n">
        <v>44861</v>
      </c>
      <c r="C3950" s="1" t="n">
        <v>45797</v>
      </c>
      <c r="D3950" t="inlineStr">
        <is>
          <t>ÖREBRO LÄN</t>
        </is>
      </c>
      <c r="E3950" t="inlineStr">
        <is>
          <t>HÄLLEFORS</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49282-2022</t>
        </is>
      </c>
      <c r="B3951" s="1" t="n">
        <v>44861</v>
      </c>
      <c r="C3951" s="1" t="n">
        <v>45797</v>
      </c>
      <c r="D3951" t="inlineStr">
        <is>
          <t>ÖREBRO LÄN</t>
        </is>
      </c>
      <c r="E3951" t="inlineStr">
        <is>
          <t>DEGERFORS</t>
        </is>
      </c>
      <c r="F3951" t="inlineStr">
        <is>
          <t>Sveaskog</t>
        </is>
      </c>
      <c r="G3951" t="n">
        <v>12.2</v>
      </c>
      <c r="H3951" t="n">
        <v>0</v>
      </c>
      <c r="I3951" t="n">
        <v>0</v>
      </c>
      <c r="J3951" t="n">
        <v>0</v>
      </c>
      <c r="K3951" t="n">
        <v>0</v>
      </c>
      <c r="L3951" t="n">
        <v>0</v>
      </c>
      <c r="M3951" t="n">
        <v>0</v>
      </c>
      <c r="N3951" t="n">
        <v>0</v>
      </c>
      <c r="O3951" t="n">
        <v>0</v>
      </c>
      <c r="P3951" t="n">
        <v>0</v>
      </c>
      <c r="Q3951" t="n">
        <v>0</v>
      </c>
      <c r="R3951" s="2" t="inlineStr"/>
    </row>
    <row r="3952" ht="15" customHeight="1">
      <c r="A3952" t="inlineStr">
        <is>
          <t>A 49495-2022</t>
        </is>
      </c>
      <c r="B3952" s="1" t="n">
        <v>44861</v>
      </c>
      <c r="C3952" s="1" t="n">
        <v>45797</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50407-2022</t>
        </is>
      </c>
      <c r="B3953" s="1" t="n">
        <v>44861</v>
      </c>
      <c r="C3953" s="1" t="n">
        <v>45797</v>
      </c>
      <c r="D3953" t="inlineStr">
        <is>
          <t>ÖREBRO LÄN</t>
        </is>
      </c>
      <c r="E3953" t="inlineStr">
        <is>
          <t>LEKEBERG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50600-2022</t>
        </is>
      </c>
      <c r="B3954" s="1" t="n">
        <v>44861</v>
      </c>
      <c r="C3954" s="1" t="n">
        <v>45797</v>
      </c>
      <c r="D3954" t="inlineStr">
        <is>
          <t>ÖREBRO LÄN</t>
        </is>
      </c>
      <c r="E3954" t="inlineStr">
        <is>
          <t>DEGERFORS</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50398-2022</t>
        </is>
      </c>
      <c r="B3955" s="1" t="n">
        <v>44861</v>
      </c>
      <c r="C3955" s="1" t="n">
        <v>45797</v>
      </c>
      <c r="D3955" t="inlineStr">
        <is>
          <t>ÖREBRO LÄN</t>
        </is>
      </c>
      <c r="E3955" t="inlineStr">
        <is>
          <t>ÖREBRO</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50599-2022</t>
        </is>
      </c>
      <c r="B3956" s="1" t="n">
        <v>44861</v>
      </c>
      <c r="C3956" s="1" t="n">
        <v>45797</v>
      </c>
      <c r="D3956" t="inlineStr">
        <is>
          <t>ÖREBRO LÄN</t>
        </is>
      </c>
      <c r="E3956" t="inlineStr">
        <is>
          <t>DEGERFORS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49582-2022</t>
        </is>
      </c>
      <c r="B3957" s="1" t="n">
        <v>44862</v>
      </c>
      <c r="C3957" s="1" t="n">
        <v>45797</v>
      </c>
      <c r="D3957" t="inlineStr">
        <is>
          <t>ÖREBRO LÄN</t>
        </is>
      </c>
      <c r="E3957" t="inlineStr">
        <is>
          <t>HALLSBERG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49632-2022</t>
        </is>
      </c>
      <c r="B3958" s="1" t="n">
        <v>44862</v>
      </c>
      <c r="C3958" s="1" t="n">
        <v>45797</v>
      </c>
      <c r="D3958" t="inlineStr">
        <is>
          <t>ÖREBRO LÄN</t>
        </is>
      </c>
      <c r="E3958" t="inlineStr">
        <is>
          <t>NORA</t>
        </is>
      </c>
      <c r="F3958" t="inlineStr">
        <is>
          <t>Sveaskog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49645-2022</t>
        </is>
      </c>
      <c r="B3959" s="1" t="n">
        <v>44862</v>
      </c>
      <c r="C3959" s="1" t="n">
        <v>45797</v>
      </c>
      <c r="D3959" t="inlineStr">
        <is>
          <t>ÖREBRO LÄN</t>
        </is>
      </c>
      <c r="E3959" t="inlineStr">
        <is>
          <t>HALLSBERG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49635-2022</t>
        </is>
      </c>
      <c r="B3960" s="1" t="n">
        <v>44862</v>
      </c>
      <c r="C3960" s="1" t="n">
        <v>45797</v>
      </c>
      <c r="D3960" t="inlineStr">
        <is>
          <t>ÖREBRO LÄN</t>
        </is>
      </c>
      <c r="E3960" t="inlineStr">
        <is>
          <t>NORA</t>
        </is>
      </c>
      <c r="F3960" t="inlineStr">
        <is>
          <t>Sveaskog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49559-2022</t>
        </is>
      </c>
      <c r="B3961" s="1" t="n">
        <v>44862</v>
      </c>
      <c r="C3961" s="1" t="n">
        <v>45797</v>
      </c>
      <c r="D3961" t="inlineStr">
        <is>
          <t>ÖREBRO LÄN</t>
        </is>
      </c>
      <c r="E3961" t="inlineStr">
        <is>
          <t>LINDESBERG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49743-2022</t>
        </is>
      </c>
      <c r="B3962" s="1" t="n">
        <v>44862</v>
      </c>
      <c r="C3962" s="1" t="n">
        <v>45797</v>
      </c>
      <c r="D3962" t="inlineStr">
        <is>
          <t>ÖREBRO LÄN</t>
        </is>
      </c>
      <c r="E3962" t="inlineStr">
        <is>
          <t>LINDESBERG</t>
        </is>
      </c>
      <c r="F3962" t="inlineStr">
        <is>
          <t>Sveaskog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49633-2022</t>
        </is>
      </c>
      <c r="B3963" s="1" t="n">
        <v>44862</v>
      </c>
      <c r="C3963" s="1" t="n">
        <v>45797</v>
      </c>
      <c r="D3963" t="inlineStr">
        <is>
          <t>ÖREBRO LÄN</t>
        </is>
      </c>
      <c r="E3963" t="inlineStr">
        <is>
          <t>NORA</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49629-2022</t>
        </is>
      </c>
      <c r="B3964" s="1" t="n">
        <v>44862</v>
      </c>
      <c r="C3964" s="1" t="n">
        <v>45797</v>
      </c>
      <c r="D3964" t="inlineStr">
        <is>
          <t>ÖREBRO LÄN</t>
        </is>
      </c>
      <c r="E3964" t="inlineStr">
        <is>
          <t>NORA</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49634-2022</t>
        </is>
      </c>
      <c r="B3965" s="1" t="n">
        <v>44862</v>
      </c>
      <c r="C3965" s="1" t="n">
        <v>45797</v>
      </c>
      <c r="D3965" t="inlineStr">
        <is>
          <t>ÖREBRO LÄN</t>
        </is>
      </c>
      <c r="E3965" t="inlineStr">
        <is>
          <t>NORA</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49787-2022</t>
        </is>
      </c>
      <c r="B3966" s="1" t="n">
        <v>44862</v>
      </c>
      <c r="C3966" s="1" t="n">
        <v>45797</v>
      </c>
      <c r="D3966" t="inlineStr">
        <is>
          <t>ÖREBRO LÄN</t>
        </is>
      </c>
      <c r="E3966" t="inlineStr">
        <is>
          <t>HÄLLEFORS</t>
        </is>
      </c>
      <c r="F3966" t="inlineStr">
        <is>
          <t>Bergvik skog väst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49684-2022</t>
        </is>
      </c>
      <c r="B3967" s="1" t="n">
        <v>44862</v>
      </c>
      <c r="C3967" s="1" t="n">
        <v>45797</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49745-2022</t>
        </is>
      </c>
      <c r="B3968" s="1" t="n">
        <v>44862</v>
      </c>
      <c r="C3968" s="1" t="n">
        <v>45797</v>
      </c>
      <c r="D3968" t="inlineStr">
        <is>
          <t>ÖREBRO LÄN</t>
        </is>
      </c>
      <c r="E3968" t="inlineStr">
        <is>
          <t>LINDESBERG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50857-2022</t>
        </is>
      </c>
      <c r="B3969" s="1" t="n">
        <v>44864</v>
      </c>
      <c r="C3969" s="1" t="n">
        <v>45797</v>
      </c>
      <c r="D3969" t="inlineStr">
        <is>
          <t>ÖREBRO LÄN</t>
        </is>
      </c>
      <c r="E3969" t="inlineStr">
        <is>
          <t>ASKERSUND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49903-2022</t>
        </is>
      </c>
      <c r="B3970" s="1" t="n">
        <v>44864</v>
      </c>
      <c r="C3970" s="1" t="n">
        <v>45797</v>
      </c>
      <c r="D3970" t="inlineStr">
        <is>
          <t>ÖREBRO LÄN</t>
        </is>
      </c>
      <c r="E3970" t="inlineStr">
        <is>
          <t>NORA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50003-2022</t>
        </is>
      </c>
      <c r="B3971" s="1" t="n">
        <v>44865</v>
      </c>
      <c r="C3971" s="1" t="n">
        <v>45797</v>
      </c>
      <c r="D3971" t="inlineStr">
        <is>
          <t>ÖREBRO LÄN</t>
        </is>
      </c>
      <c r="E3971" t="inlineStr">
        <is>
          <t>NORA</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50170-2022</t>
        </is>
      </c>
      <c r="B3972" s="1" t="n">
        <v>44865</v>
      </c>
      <c r="C3972" s="1" t="n">
        <v>45797</v>
      </c>
      <c r="D3972" t="inlineStr">
        <is>
          <t>ÖREBRO LÄN</t>
        </is>
      </c>
      <c r="E3972" t="inlineStr">
        <is>
          <t>LINDESBERG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50048-2022</t>
        </is>
      </c>
      <c r="B3973" s="1" t="n">
        <v>44865</v>
      </c>
      <c r="C3973" s="1" t="n">
        <v>45797</v>
      </c>
      <c r="D3973" t="inlineStr">
        <is>
          <t>ÖREBRO LÄN</t>
        </is>
      </c>
      <c r="E3973" t="inlineStr">
        <is>
          <t>ASKERSUND</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50208-2022</t>
        </is>
      </c>
      <c r="B3974" s="1" t="n">
        <v>44865</v>
      </c>
      <c r="C3974" s="1" t="n">
        <v>45797</v>
      </c>
      <c r="D3974" t="inlineStr">
        <is>
          <t>ÖREBRO LÄN</t>
        </is>
      </c>
      <c r="E3974" t="inlineStr">
        <is>
          <t>NORA</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50285-2022</t>
        </is>
      </c>
      <c r="B3975" s="1" t="n">
        <v>44865</v>
      </c>
      <c r="C3975" s="1" t="n">
        <v>45797</v>
      </c>
      <c r="D3975" t="inlineStr">
        <is>
          <t>ÖREBRO LÄN</t>
        </is>
      </c>
      <c r="E3975" t="inlineStr">
        <is>
          <t>LINDESBERG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50416-2022</t>
        </is>
      </c>
      <c r="B3976" s="1" t="n">
        <v>44866</v>
      </c>
      <c r="C3976" s="1" t="n">
        <v>45797</v>
      </c>
      <c r="D3976" t="inlineStr">
        <is>
          <t>ÖREBRO LÄN</t>
        </is>
      </c>
      <c r="E3976" t="inlineStr">
        <is>
          <t>DEGERFORS</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50619-2022</t>
        </is>
      </c>
      <c r="B3977" s="1" t="n">
        <v>44866</v>
      </c>
      <c r="C3977" s="1" t="n">
        <v>45797</v>
      </c>
      <c r="D3977" t="inlineStr">
        <is>
          <t>ÖREBRO LÄN</t>
        </is>
      </c>
      <c r="E3977" t="inlineStr">
        <is>
          <t>LINDESBERG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50552-2022</t>
        </is>
      </c>
      <c r="B3978" s="1" t="n">
        <v>44866</v>
      </c>
      <c r="C3978" s="1" t="n">
        <v>45797</v>
      </c>
      <c r="D3978" t="inlineStr">
        <is>
          <t>ÖREBRO LÄN</t>
        </is>
      </c>
      <c r="E3978" t="inlineStr">
        <is>
          <t>LJUSNARSBERG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51402-2022</t>
        </is>
      </c>
      <c r="B3979" s="1" t="n">
        <v>44866</v>
      </c>
      <c r="C3979" s="1" t="n">
        <v>45797</v>
      </c>
      <c r="D3979" t="inlineStr">
        <is>
          <t>ÖREBRO LÄN</t>
        </is>
      </c>
      <c r="E3979" t="inlineStr">
        <is>
          <t>ASKERSUND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50703-2022</t>
        </is>
      </c>
      <c r="B3980" s="1" t="n">
        <v>44867</v>
      </c>
      <c r="C3980" s="1" t="n">
        <v>45797</v>
      </c>
      <c r="D3980" t="inlineStr">
        <is>
          <t>ÖREBRO LÄN</t>
        </is>
      </c>
      <c r="E3980" t="inlineStr">
        <is>
          <t>HÄLLEFORS</t>
        </is>
      </c>
      <c r="F3980" t="inlineStr">
        <is>
          <t>Bergvik skog väst AB</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50714-2022</t>
        </is>
      </c>
      <c r="B3981" s="1" t="n">
        <v>44867</v>
      </c>
      <c r="C3981" s="1" t="n">
        <v>45797</v>
      </c>
      <c r="D3981" t="inlineStr">
        <is>
          <t>ÖREBRO LÄN</t>
        </is>
      </c>
      <c r="E3981" t="inlineStr">
        <is>
          <t>HÄLLEFORS</t>
        </is>
      </c>
      <c r="F3981" t="inlineStr">
        <is>
          <t>Bergvik skog väst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50753-2022</t>
        </is>
      </c>
      <c r="B3982" s="1" t="n">
        <v>44867</v>
      </c>
      <c r="C3982" s="1" t="n">
        <v>45797</v>
      </c>
      <c r="D3982" t="inlineStr">
        <is>
          <t>ÖREBRO LÄN</t>
        </is>
      </c>
      <c r="E3982" t="inlineStr">
        <is>
          <t>LAXÅ</t>
        </is>
      </c>
      <c r="F3982" t="inlineStr">
        <is>
          <t>Sveaskog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50770-2022</t>
        </is>
      </c>
      <c r="B3983" s="1" t="n">
        <v>44867</v>
      </c>
      <c r="C3983" s="1" t="n">
        <v>45797</v>
      </c>
      <c r="D3983" t="inlineStr">
        <is>
          <t>ÖREBRO LÄN</t>
        </is>
      </c>
      <c r="E3983" t="inlineStr">
        <is>
          <t>LAXÅ</t>
        </is>
      </c>
      <c r="F3983" t="inlineStr">
        <is>
          <t>Sveaskog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50749-2022</t>
        </is>
      </c>
      <c r="B3984" s="1" t="n">
        <v>44867</v>
      </c>
      <c r="C3984" s="1" t="n">
        <v>45797</v>
      </c>
      <c r="D3984" t="inlineStr">
        <is>
          <t>ÖREBRO LÄN</t>
        </is>
      </c>
      <c r="E3984" t="inlineStr">
        <is>
          <t>LAXÅ</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50692-2022</t>
        </is>
      </c>
      <c r="B3985" s="1" t="n">
        <v>44867</v>
      </c>
      <c r="C3985" s="1" t="n">
        <v>45797</v>
      </c>
      <c r="D3985" t="inlineStr">
        <is>
          <t>ÖREBRO LÄN</t>
        </is>
      </c>
      <c r="E3985" t="inlineStr">
        <is>
          <t>KARLSKOGA</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50750-2022</t>
        </is>
      </c>
      <c r="B3986" s="1" t="n">
        <v>44867</v>
      </c>
      <c r="C3986" s="1" t="n">
        <v>45797</v>
      </c>
      <c r="D3986" t="inlineStr">
        <is>
          <t>ÖREBRO LÄN</t>
        </is>
      </c>
      <c r="E3986" t="inlineStr">
        <is>
          <t>LAXÅ</t>
        </is>
      </c>
      <c r="F3986" t="inlineStr">
        <is>
          <t>Sveaskog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50765-2022</t>
        </is>
      </c>
      <c r="B3987" s="1" t="n">
        <v>44867</v>
      </c>
      <c r="C3987" s="1" t="n">
        <v>45797</v>
      </c>
      <c r="D3987" t="inlineStr">
        <is>
          <t>ÖREBRO LÄN</t>
        </is>
      </c>
      <c r="E3987" t="inlineStr">
        <is>
          <t>LAXÅ</t>
        </is>
      </c>
      <c r="F3987" t="inlineStr">
        <is>
          <t>Sveaskog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50958-2022</t>
        </is>
      </c>
      <c r="B3988" s="1" t="n">
        <v>44867</v>
      </c>
      <c r="C3988" s="1" t="n">
        <v>45797</v>
      </c>
      <c r="D3988" t="inlineStr">
        <is>
          <t>ÖREBRO LÄN</t>
        </is>
      </c>
      <c r="E3988" t="inlineStr">
        <is>
          <t>HALLSBERG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50839-2022</t>
        </is>
      </c>
      <c r="B3989" s="1" t="n">
        <v>44867</v>
      </c>
      <c r="C3989" s="1" t="n">
        <v>45797</v>
      </c>
      <c r="D3989" t="inlineStr">
        <is>
          <t>ÖREBRO LÄN</t>
        </is>
      </c>
      <c r="E3989" t="inlineStr">
        <is>
          <t>LEKEBERG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50754-2022</t>
        </is>
      </c>
      <c r="B3990" s="1" t="n">
        <v>44867</v>
      </c>
      <c r="C3990" s="1" t="n">
        <v>45797</v>
      </c>
      <c r="D3990" t="inlineStr">
        <is>
          <t>ÖREBRO LÄN</t>
        </is>
      </c>
      <c r="E3990" t="inlineStr">
        <is>
          <t>LAXÅ</t>
        </is>
      </c>
      <c r="F3990" t="inlineStr">
        <is>
          <t>Sveaskog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50772-2022</t>
        </is>
      </c>
      <c r="B3991" s="1" t="n">
        <v>44867</v>
      </c>
      <c r="C3991" s="1" t="n">
        <v>45797</v>
      </c>
      <c r="D3991" t="inlineStr">
        <is>
          <t>ÖREBRO LÄN</t>
        </is>
      </c>
      <c r="E3991" t="inlineStr">
        <is>
          <t>LAXÅ</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51042-2022</t>
        </is>
      </c>
      <c r="B3992" s="1" t="n">
        <v>44868</v>
      </c>
      <c r="C3992" s="1" t="n">
        <v>45797</v>
      </c>
      <c r="D3992" t="inlineStr">
        <is>
          <t>ÖREBRO LÄN</t>
        </is>
      </c>
      <c r="E3992" t="inlineStr">
        <is>
          <t>LINDESBERG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51071-2022</t>
        </is>
      </c>
      <c r="B3993" s="1" t="n">
        <v>44868</v>
      </c>
      <c r="C3993" s="1" t="n">
        <v>45797</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51103-2022</t>
        </is>
      </c>
      <c r="B3994" s="1" t="n">
        <v>44868</v>
      </c>
      <c r="C3994" s="1" t="n">
        <v>45797</v>
      </c>
      <c r="D3994" t="inlineStr">
        <is>
          <t>ÖREBRO LÄN</t>
        </is>
      </c>
      <c r="E3994" t="inlineStr">
        <is>
          <t>ÖREBRO</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51088-2022</t>
        </is>
      </c>
      <c r="B3995" s="1" t="n">
        <v>44868</v>
      </c>
      <c r="C3995" s="1" t="n">
        <v>45797</v>
      </c>
      <c r="D3995" t="inlineStr">
        <is>
          <t>ÖREBRO LÄN</t>
        </is>
      </c>
      <c r="E3995" t="inlineStr">
        <is>
          <t>HÄLLEFORS</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51175-2022</t>
        </is>
      </c>
      <c r="B3996" s="1" t="n">
        <v>44868</v>
      </c>
      <c r="C3996" s="1" t="n">
        <v>45797</v>
      </c>
      <c r="D3996" t="inlineStr">
        <is>
          <t>ÖREBRO LÄN</t>
        </is>
      </c>
      <c r="E3996" t="inlineStr">
        <is>
          <t>HALLSBERG</t>
        </is>
      </c>
      <c r="F3996" t="inlineStr">
        <is>
          <t>Sveaskog</t>
        </is>
      </c>
      <c r="G3996" t="n">
        <v>14.1</v>
      </c>
      <c r="H3996" t="n">
        <v>0</v>
      </c>
      <c r="I3996" t="n">
        <v>0</v>
      </c>
      <c r="J3996" t="n">
        <v>0</v>
      </c>
      <c r="K3996" t="n">
        <v>0</v>
      </c>
      <c r="L3996" t="n">
        <v>0</v>
      </c>
      <c r="M3996" t="n">
        <v>0</v>
      </c>
      <c r="N3996" t="n">
        <v>0</v>
      </c>
      <c r="O3996" t="n">
        <v>0</v>
      </c>
      <c r="P3996" t="n">
        <v>0</v>
      </c>
      <c r="Q3996" t="n">
        <v>0</v>
      </c>
      <c r="R3996" s="2" t="inlineStr"/>
    </row>
    <row r="3997" ht="15" customHeight="1">
      <c r="A3997" t="inlineStr">
        <is>
          <t>A 51268-2022</t>
        </is>
      </c>
      <c r="B3997" s="1" t="n">
        <v>44868</v>
      </c>
      <c r="C3997" s="1" t="n">
        <v>45797</v>
      </c>
      <c r="D3997" t="inlineStr">
        <is>
          <t>ÖREBRO LÄN</t>
        </is>
      </c>
      <c r="E3997" t="inlineStr">
        <is>
          <t>ÖREBRO</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51373-2022</t>
        </is>
      </c>
      <c r="B3998" s="1" t="n">
        <v>44869</v>
      </c>
      <c r="C3998" s="1" t="n">
        <v>45797</v>
      </c>
      <c r="D3998" t="inlineStr">
        <is>
          <t>ÖREBRO LÄN</t>
        </is>
      </c>
      <c r="E3998" t="inlineStr">
        <is>
          <t>HÄLLEFORS</t>
        </is>
      </c>
      <c r="F3998" t="inlineStr">
        <is>
          <t>Bergvik skog väst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51479-2022</t>
        </is>
      </c>
      <c r="B3999" s="1" t="n">
        <v>44869</v>
      </c>
      <c r="C3999" s="1" t="n">
        <v>45797</v>
      </c>
      <c r="D3999" t="inlineStr">
        <is>
          <t>ÖREBRO LÄN</t>
        </is>
      </c>
      <c r="E3999" t="inlineStr">
        <is>
          <t>HALLSBERG</t>
        </is>
      </c>
      <c r="F3999" t="inlineStr">
        <is>
          <t>Övriga Aktiebolag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51468-2022</t>
        </is>
      </c>
      <c r="B4000" s="1" t="n">
        <v>44869</v>
      </c>
      <c r="C4000" s="1" t="n">
        <v>45797</v>
      </c>
      <c r="D4000" t="inlineStr">
        <is>
          <t>ÖREBRO LÄN</t>
        </is>
      </c>
      <c r="E4000" t="inlineStr">
        <is>
          <t>DEGERFORS</t>
        </is>
      </c>
      <c r="F4000" t="inlineStr">
        <is>
          <t>Sveaskog</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51607-2022</t>
        </is>
      </c>
      <c r="B4001" s="1" t="n">
        <v>44871</v>
      </c>
      <c r="C4001" s="1" t="n">
        <v>45797</v>
      </c>
      <c r="D4001" t="inlineStr">
        <is>
          <t>ÖREBRO LÄN</t>
        </is>
      </c>
      <c r="E4001" t="inlineStr">
        <is>
          <t>ASKERSUND</t>
        </is>
      </c>
      <c r="F4001" t="inlineStr">
        <is>
          <t>Sveaskog</t>
        </is>
      </c>
      <c r="G4001" t="n">
        <v>12.5</v>
      </c>
      <c r="H4001" t="n">
        <v>0</v>
      </c>
      <c r="I4001" t="n">
        <v>0</v>
      </c>
      <c r="J4001" t="n">
        <v>0</v>
      </c>
      <c r="K4001" t="n">
        <v>0</v>
      </c>
      <c r="L4001" t="n">
        <v>0</v>
      </c>
      <c r="M4001" t="n">
        <v>0</v>
      </c>
      <c r="N4001" t="n">
        <v>0</v>
      </c>
      <c r="O4001" t="n">
        <v>0</v>
      </c>
      <c r="P4001" t="n">
        <v>0</v>
      </c>
      <c r="Q4001" t="n">
        <v>0</v>
      </c>
      <c r="R4001" s="2" t="inlineStr"/>
    </row>
    <row r="4002" ht="15" customHeight="1">
      <c r="A4002" t="inlineStr">
        <is>
          <t>A 51603-2022</t>
        </is>
      </c>
      <c r="B4002" s="1" t="n">
        <v>44871</v>
      </c>
      <c r="C4002" s="1" t="n">
        <v>45797</v>
      </c>
      <c r="D4002" t="inlineStr">
        <is>
          <t>ÖREBRO LÄN</t>
        </is>
      </c>
      <c r="E4002" t="inlineStr">
        <is>
          <t>HÄLLEFORS</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51605-2022</t>
        </is>
      </c>
      <c r="B4003" s="1" t="n">
        <v>44871</v>
      </c>
      <c r="C4003" s="1" t="n">
        <v>45797</v>
      </c>
      <c r="D4003" t="inlineStr">
        <is>
          <t>ÖREBRO LÄN</t>
        </is>
      </c>
      <c r="E4003" t="inlineStr">
        <is>
          <t>HÄLLEFORS</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51681-2022</t>
        </is>
      </c>
      <c r="B4004" s="1" t="n">
        <v>44872</v>
      </c>
      <c r="C4004" s="1" t="n">
        <v>45797</v>
      </c>
      <c r="D4004" t="inlineStr">
        <is>
          <t>ÖREBRO LÄN</t>
        </is>
      </c>
      <c r="E4004" t="inlineStr">
        <is>
          <t>LAXÅ</t>
        </is>
      </c>
      <c r="F4004" t="inlineStr">
        <is>
          <t>Sveaskog</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51719-2022</t>
        </is>
      </c>
      <c r="B4005" s="1" t="n">
        <v>44872</v>
      </c>
      <c r="C4005" s="1" t="n">
        <v>45797</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51728-2022</t>
        </is>
      </c>
      <c r="B4006" s="1" t="n">
        <v>44872</v>
      </c>
      <c r="C4006" s="1" t="n">
        <v>45797</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51809-2022</t>
        </is>
      </c>
      <c r="B4007" s="1" t="n">
        <v>44872</v>
      </c>
      <c r="C4007" s="1" t="n">
        <v>45797</v>
      </c>
      <c r="D4007" t="inlineStr">
        <is>
          <t>ÖREBRO LÄN</t>
        </is>
      </c>
      <c r="E4007" t="inlineStr">
        <is>
          <t>LAXÅ</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51818-2022</t>
        </is>
      </c>
      <c r="B4008" s="1" t="n">
        <v>44872</v>
      </c>
      <c r="C4008" s="1" t="n">
        <v>45797</v>
      </c>
      <c r="D4008" t="inlineStr">
        <is>
          <t>ÖREBRO LÄN</t>
        </is>
      </c>
      <c r="E4008" t="inlineStr">
        <is>
          <t>LAXÅ</t>
        </is>
      </c>
      <c r="F4008" t="inlineStr">
        <is>
          <t>Sveaskog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51834-2022</t>
        </is>
      </c>
      <c r="B4009" s="1" t="n">
        <v>44872</v>
      </c>
      <c r="C4009" s="1" t="n">
        <v>45797</v>
      </c>
      <c r="D4009" t="inlineStr">
        <is>
          <t>ÖREBRO LÄN</t>
        </is>
      </c>
      <c r="E4009" t="inlineStr">
        <is>
          <t>LINDESBERG</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51676-2022</t>
        </is>
      </c>
      <c r="B4010" s="1" t="n">
        <v>44872</v>
      </c>
      <c r="C4010" s="1" t="n">
        <v>45797</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51697-2022</t>
        </is>
      </c>
      <c r="B4011" s="1" t="n">
        <v>44872</v>
      </c>
      <c r="C4011" s="1" t="n">
        <v>45797</v>
      </c>
      <c r="D4011" t="inlineStr">
        <is>
          <t>ÖREBRO LÄN</t>
        </is>
      </c>
      <c r="E4011" t="inlineStr">
        <is>
          <t>LAXÅ</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51677-2022</t>
        </is>
      </c>
      <c r="B4012" s="1" t="n">
        <v>44872</v>
      </c>
      <c r="C4012" s="1" t="n">
        <v>45797</v>
      </c>
      <c r="D4012" t="inlineStr">
        <is>
          <t>ÖREBRO LÄN</t>
        </is>
      </c>
      <c r="E4012" t="inlineStr">
        <is>
          <t>LAXÅ</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51714-2022</t>
        </is>
      </c>
      <c r="B4013" s="1" t="n">
        <v>44872</v>
      </c>
      <c r="C4013" s="1" t="n">
        <v>45797</v>
      </c>
      <c r="D4013" t="inlineStr">
        <is>
          <t>ÖREBRO LÄN</t>
        </is>
      </c>
      <c r="E4013" t="inlineStr">
        <is>
          <t>LAXÅ</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51698-2022</t>
        </is>
      </c>
      <c r="B4014" s="1" t="n">
        <v>44872</v>
      </c>
      <c r="C4014" s="1" t="n">
        <v>45797</v>
      </c>
      <c r="D4014" t="inlineStr">
        <is>
          <t>ÖREBRO LÄN</t>
        </is>
      </c>
      <c r="E4014" t="inlineStr">
        <is>
          <t>LAXÅ</t>
        </is>
      </c>
      <c r="F4014" t="inlineStr">
        <is>
          <t>Sveaskog</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51715-2022</t>
        </is>
      </c>
      <c r="B4015" s="1" t="n">
        <v>44872</v>
      </c>
      <c r="C4015" s="1" t="n">
        <v>45797</v>
      </c>
      <c r="D4015" t="inlineStr">
        <is>
          <t>ÖREBRO LÄN</t>
        </is>
      </c>
      <c r="E4015" t="inlineStr">
        <is>
          <t>LAXÅ</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51725-2022</t>
        </is>
      </c>
      <c r="B4016" s="1" t="n">
        <v>44872</v>
      </c>
      <c r="C4016" s="1" t="n">
        <v>45797</v>
      </c>
      <c r="D4016" t="inlineStr">
        <is>
          <t>ÖREBRO LÄN</t>
        </is>
      </c>
      <c r="E4016" t="inlineStr">
        <is>
          <t>LAXÅ</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51731-2022</t>
        </is>
      </c>
      <c r="B4017" s="1" t="n">
        <v>44872</v>
      </c>
      <c r="C4017" s="1" t="n">
        <v>45797</v>
      </c>
      <c r="D4017" t="inlineStr">
        <is>
          <t>ÖREBRO LÄN</t>
        </is>
      </c>
      <c r="E4017" t="inlineStr">
        <is>
          <t>LAXÅ</t>
        </is>
      </c>
      <c r="F4017" t="inlineStr">
        <is>
          <t>Sveaskog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51821-2022</t>
        </is>
      </c>
      <c r="B4018" s="1" t="n">
        <v>44872</v>
      </c>
      <c r="C4018" s="1" t="n">
        <v>45797</v>
      </c>
      <c r="D4018" t="inlineStr">
        <is>
          <t>ÖREBRO LÄN</t>
        </is>
      </c>
      <c r="E4018" t="inlineStr">
        <is>
          <t>LAXÅ</t>
        </is>
      </c>
      <c r="F4018" t="inlineStr">
        <is>
          <t>Sveaskog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51679-2022</t>
        </is>
      </c>
      <c r="B4019" s="1" t="n">
        <v>44872</v>
      </c>
      <c r="C4019" s="1" t="n">
        <v>45797</v>
      </c>
      <c r="D4019" t="inlineStr">
        <is>
          <t>ÖREBRO LÄN</t>
        </is>
      </c>
      <c r="E4019" t="inlineStr">
        <is>
          <t>LAXÅ</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51695-2022</t>
        </is>
      </c>
      <c r="B4020" s="1" t="n">
        <v>44872</v>
      </c>
      <c r="C4020" s="1" t="n">
        <v>45797</v>
      </c>
      <c r="D4020" t="inlineStr">
        <is>
          <t>ÖREBRO LÄN</t>
        </is>
      </c>
      <c r="E4020" t="inlineStr">
        <is>
          <t>LAXÅ</t>
        </is>
      </c>
      <c r="F4020" t="inlineStr">
        <is>
          <t>Sveaskog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51716-2022</t>
        </is>
      </c>
      <c r="B4021" s="1" t="n">
        <v>44872</v>
      </c>
      <c r="C4021" s="1" t="n">
        <v>45797</v>
      </c>
      <c r="D4021" t="inlineStr">
        <is>
          <t>ÖREBRO LÄN</t>
        </is>
      </c>
      <c r="E4021" t="inlineStr">
        <is>
          <t>LAXÅ</t>
        </is>
      </c>
      <c r="F4021" t="inlineStr">
        <is>
          <t>Sveaskog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51822-2022</t>
        </is>
      </c>
      <c r="B4022" s="1" t="n">
        <v>44872</v>
      </c>
      <c r="C4022" s="1" t="n">
        <v>45797</v>
      </c>
      <c r="D4022" t="inlineStr">
        <is>
          <t>ÖREBRO LÄN</t>
        </is>
      </c>
      <c r="E4022" t="inlineStr">
        <is>
          <t>LAXÅ</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51828-2022</t>
        </is>
      </c>
      <c r="B4023" s="1" t="n">
        <v>44872</v>
      </c>
      <c r="C4023" s="1" t="n">
        <v>45797</v>
      </c>
      <c r="D4023" t="inlineStr">
        <is>
          <t>ÖREBRO LÄN</t>
        </is>
      </c>
      <c r="E4023" t="inlineStr">
        <is>
          <t>LAXÅ</t>
        </is>
      </c>
      <c r="F4023" t="inlineStr">
        <is>
          <t>Sveaskog</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51823-2022</t>
        </is>
      </c>
      <c r="B4024" s="1" t="n">
        <v>44872</v>
      </c>
      <c r="C4024" s="1" t="n">
        <v>45797</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51846-2022</t>
        </is>
      </c>
      <c r="B4025" s="1" t="n">
        <v>44872</v>
      </c>
      <c r="C4025" s="1" t="n">
        <v>45797</v>
      </c>
      <c r="D4025" t="inlineStr">
        <is>
          <t>ÖREBRO LÄN</t>
        </is>
      </c>
      <c r="E4025" t="inlineStr">
        <is>
          <t>LINDESBERG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51970-2022</t>
        </is>
      </c>
      <c r="B4026" s="1" t="n">
        <v>44872</v>
      </c>
      <c r="C4026" s="1" t="n">
        <v>45797</v>
      </c>
      <c r="D4026" t="inlineStr">
        <is>
          <t>ÖREBRO LÄN</t>
        </is>
      </c>
      <c r="E4026" t="inlineStr">
        <is>
          <t>LINDESBERG</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52128-2022</t>
        </is>
      </c>
      <c r="B4027" s="1" t="n">
        <v>44873</v>
      </c>
      <c r="C4027" s="1" t="n">
        <v>45797</v>
      </c>
      <c r="D4027" t="inlineStr">
        <is>
          <t>ÖREBRO LÄN</t>
        </is>
      </c>
      <c r="E4027" t="inlineStr">
        <is>
          <t>HÄLLEFORS</t>
        </is>
      </c>
      <c r="F4027" t="inlineStr">
        <is>
          <t>Bergvik skog väst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52138-2022</t>
        </is>
      </c>
      <c r="B4028" s="1" t="n">
        <v>44873</v>
      </c>
      <c r="C4028" s="1" t="n">
        <v>45797</v>
      </c>
      <c r="D4028" t="inlineStr">
        <is>
          <t>ÖREBRO LÄN</t>
        </is>
      </c>
      <c r="E4028" t="inlineStr">
        <is>
          <t>HÄLLEFORS</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52153-2022</t>
        </is>
      </c>
      <c r="B4029" s="1" t="n">
        <v>44873</v>
      </c>
      <c r="C4029" s="1" t="n">
        <v>45797</v>
      </c>
      <c r="D4029" t="inlineStr">
        <is>
          <t>ÖREBRO LÄN</t>
        </is>
      </c>
      <c r="E4029" t="inlineStr">
        <is>
          <t>LINDESBERG</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52251-2022</t>
        </is>
      </c>
      <c r="B4030" s="1" t="n">
        <v>44873</v>
      </c>
      <c r="C4030" s="1" t="n">
        <v>45797</v>
      </c>
      <c r="D4030" t="inlineStr">
        <is>
          <t>ÖREBRO LÄN</t>
        </is>
      </c>
      <c r="E4030" t="inlineStr">
        <is>
          <t>LINDESBERG</t>
        </is>
      </c>
      <c r="F4030" t="inlineStr">
        <is>
          <t>Sveaskog</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52309-2022</t>
        </is>
      </c>
      <c r="B4031" s="1" t="n">
        <v>44873</v>
      </c>
      <c r="C4031" s="1" t="n">
        <v>45797</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52377-2022</t>
        </is>
      </c>
      <c r="B4032" s="1" t="n">
        <v>44874</v>
      </c>
      <c r="C4032" s="1" t="n">
        <v>45797</v>
      </c>
      <c r="D4032" t="inlineStr">
        <is>
          <t>ÖREBRO LÄN</t>
        </is>
      </c>
      <c r="E4032" t="inlineStr">
        <is>
          <t>HÄLLEFORS</t>
        </is>
      </c>
      <c r="F4032" t="inlineStr">
        <is>
          <t>Bergvik skog väst AB</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52461-2022</t>
        </is>
      </c>
      <c r="B4033" s="1" t="n">
        <v>44874</v>
      </c>
      <c r="C4033" s="1" t="n">
        <v>45797</v>
      </c>
      <c r="D4033" t="inlineStr">
        <is>
          <t>ÖREBRO LÄN</t>
        </is>
      </c>
      <c r="E4033" t="inlineStr">
        <is>
          <t>LAXÅ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52481-2022</t>
        </is>
      </c>
      <c r="B4034" s="1" t="n">
        <v>44874</v>
      </c>
      <c r="C4034" s="1" t="n">
        <v>45797</v>
      </c>
      <c r="D4034" t="inlineStr">
        <is>
          <t>ÖREBRO LÄN</t>
        </is>
      </c>
      <c r="E4034" t="inlineStr">
        <is>
          <t>HÄLLEFORS</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52442-2022</t>
        </is>
      </c>
      <c r="B4035" s="1" t="n">
        <v>44874</v>
      </c>
      <c r="C4035" s="1" t="n">
        <v>45797</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52460-2022</t>
        </is>
      </c>
      <c r="B4036" s="1" t="n">
        <v>44874</v>
      </c>
      <c r="C4036" s="1" t="n">
        <v>45797</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52561-2022</t>
        </is>
      </c>
      <c r="B4037" s="1" t="n">
        <v>44874</v>
      </c>
      <c r="C4037" s="1" t="n">
        <v>45797</v>
      </c>
      <c r="D4037" t="inlineStr">
        <is>
          <t>ÖREBRO LÄN</t>
        </is>
      </c>
      <c r="E4037" t="inlineStr">
        <is>
          <t>LJUSNARSBERG</t>
        </is>
      </c>
      <c r="F4037" t="inlineStr">
        <is>
          <t>Bergvik skog väst AB</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52489-2022</t>
        </is>
      </c>
      <c r="B4038" s="1" t="n">
        <v>44874</v>
      </c>
      <c r="C4038" s="1" t="n">
        <v>45797</v>
      </c>
      <c r="D4038" t="inlineStr">
        <is>
          <t>ÖREBRO LÄN</t>
        </is>
      </c>
      <c r="E4038" t="inlineStr">
        <is>
          <t>LJUSNARSBERG</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52518-2022</t>
        </is>
      </c>
      <c r="B4039" s="1" t="n">
        <v>44874</v>
      </c>
      <c r="C4039" s="1" t="n">
        <v>45797</v>
      </c>
      <c r="D4039" t="inlineStr">
        <is>
          <t>ÖREBRO LÄN</t>
        </is>
      </c>
      <c r="E4039" t="inlineStr">
        <is>
          <t>ASKERSUND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52522-2022</t>
        </is>
      </c>
      <c r="B4040" s="1" t="n">
        <v>44874</v>
      </c>
      <c r="C4040" s="1" t="n">
        <v>45797</v>
      </c>
      <c r="D4040" t="inlineStr">
        <is>
          <t>ÖREBRO LÄN</t>
        </is>
      </c>
      <c r="E4040" t="inlineStr">
        <is>
          <t>ASKERSUND</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52367-2022</t>
        </is>
      </c>
      <c r="B4041" s="1" t="n">
        <v>44874</v>
      </c>
      <c r="C4041" s="1" t="n">
        <v>45797</v>
      </c>
      <c r="D4041" t="inlineStr">
        <is>
          <t>ÖREBRO LÄN</t>
        </is>
      </c>
      <c r="E4041" t="inlineStr">
        <is>
          <t>HÄLLEFORS</t>
        </is>
      </c>
      <c r="F4041" t="inlineStr">
        <is>
          <t>Bergvik skog väst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52851-2022</t>
        </is>
      </c>
      <c r="B4042" s="1" t="n">
        <v>44875</v>
      </c>
      <c r="C4042" s="1" t="n">
        <v>45797</v>
      </c>
      <c r="D4042" t="inlineStr">
        <is>
          <t>ÖREBRO LÄN</t>
        </is>
      </c>
      <c r="E4042" t="inlineStr">
        <is>
          <t>LINDESBERG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52810-2022</t>
        </is>
      </c>
      <c r="B4043" s="1" t="n">
        <v>44875</v>
      </c>
      <c r="C4043" s="1" t="n">
        <v>45797</v>
      </c>
      <c r="D4043" t="inlineStr">
        <is>
          <t>ÖREBRO LÄN</t>
        </is>
      </c>
      <c r="E4043" t="inlineStr">
        <is>
          <t>LJUSNARSBERG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53148-2022</t>
        </is>
      </c>
      <c r="B4044" s="1" t="n">
        <v>44876</v>
      </c>
      <c r="C4044" s="1" t="n">
        <v>45797</v>
      </c>
      <c r="D4044" t="inlineStr">
        <is>
          <t>ÖREBRO LÄN</t>
        </is>
      </c>
      <c r="E4044" t="inlineStr">
        <is>
          <t>NORA</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53035-2022</t>
        </is>
      </c>
      <c r="B4045" s="1" t="n">
        <v>44876</v>
      </c>
      <c r="C4045" s="1" t="n">
        <v>45797</v>
      </c>
      <c r="D4045" t="inlineStr">
        <is>
          <t>ÖREBRO LÄN</t>
        </is>
      </c>
      <c r="E4045" t="inlineStr">
        <is>
          <t>HÄLLEFORS</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53054-2022</t>
        </is>
      </c>
      <c r="B4046" s="1" t="n">
        <v>44876</v>
      </c>
      <c r="C4046" s="1" t="n">
        <v>45797</v>
      </c>
      <c r="D4046" t="inlineStr">
        <is>
          <t>ÖREBRO LÄN</t>
        </is>
      </c>
      <c r="E4046" t="inlineStr">
        <is>
          <t>LINDESBERG</t>
        </is>
      </c>
      <c r="F4046" t="inlineStr">
        <is>
          <t>Sveaskog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53132-2022</t>
        </is>
      </c>
      <c r="B4047" s="1" t="n">
        <v>44876</v>
      </c>
      <c r="C4047" s="1" t="n">
        <v>45797</v>
      </c>
      <c r="D4047" t="inlineStr">
        <is>
          <t>ÖREBRO LÄN</t>
        </is>
      </c>
      <c r="E4047" t="inlineStr">
        <is>
          <t>NORA</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53152-2022</t>
        </is>
      </c>
      <c r="B4048" s="1" t="n">
        <v>44876</v>
      </c>
      <c r="C4048" s="1" t="n">
        <v>45797</v>
      </c>
      <c r="D4048" t="inlineStr">
        <is>
          <t>ÖREBRO LÄN</t>
        </is>
      </c>
      <c r="E4048" t="inlineStr">
        <is>
          <t>HÄLLEFORS</t>
        </is>
      </c>
      <c r="F4048" t="inlineStr">
        <is>
          <t>Bergvik skog väst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53157-2022</t>
        </is>
      </c>
      <c r="B4049" s="1" t="n">
        <v>44876</v>
      </c>
      <c r="C4049" s="1" t="n">
        <v>45797</v>
      </c>
      <c r="D4049" t="inlineStr">
        <is>
          <t>ÖREBRO LÄN</t>
        </is>
      </c>
      <c r="E4049" t="inlineStr">
        <is>
          <t>HÄLLEFORS</t>
        </is>
      </c>
      <c r="F4049" t="inlineStr">
        <is>
          <t>Bergvik skog väst AB</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53165-2022</t>
        </is>
      </c>
      <c r="B4050" s="1" t="n">
        <v>44876</v>
      </c>
      <c r="C4050" s="1" t="n">
        <v>45797</v>
      </c>
      <c r="D4050" t="inlineStr">
        <is>
          <t>ÖREBRO LÄN</t>
        </is>
      </c>
      <c r="E4050" t="inlineStr">
        <is>
          <t>NORA</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53154-2022</t>
        </is>
      </c>
      <c r="B4051" s="1" t="n">
        <v>44876</v>
      </c>
      <c r="C4051" s="1" t="n">
        <v>45797</v>
      </c>
      <c r="D4051" t="inlineStr">
        <is>
          <t>ÖREBRO LÄN</t>
        </is>
      </c>
      <c r="E4051" t="inlineStr">
        <is>
          <t>HÄLLEFORS</t>
        </is>
      </c>
      <c r="F4051" t="inlineStr">
        <is>
          <t>Bergvik skog väst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53209-2022</t>
        </is>
      </c>
      <c r="B4052" s="1" t="n">
        <v>44876</v>
      </c>
      <c r="C4052" s="1" t="n">
        <v>45797</v>
      </c>
      <c r="D4052" t="inlineStr">
        <is>
          <t>ÖREBRO LÄN</t>
        </is>
      </c>
      <c r="E4052" t="inlineStr">
        <is>
          <t>NORA</t>
        </is>
      </c>
      <c r="F4052" t="inlineStr">
        <is>
          <t>Kyrkan</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53472-2022</t>
        </is>
      </c>
      <c r="B4053" s="1" t="n">
        <v>44879</v>
      </c>
      <c r="C4053" s="1" t="n">
        <v>45797</v>
      </c>
      <c r="D4053" t="inlineStr">
        <is>
          <t>ÖREBRO LÄN</t>
        </is>
      </c>
      <c r="E4053" t="inlineStr">
        <is>
          <t>NORA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53578-2022</t>
        </is>
      </c>
      <c r="B4054" s="1" t="n">
        <v>44879</v>
      </c>
      <c r="C4054" s="1" t="n">
        <v>45797</v>
      </c>
      <c r="D4054" t="inlineStr">
        <is>
          <t>ÖREBRO LÄN</t>
        </is>
      </c>
      <c r="E4054" t="inlineStr">
        <is>
          <t>ÖREBRO</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54411-2022</t>
        </is>
      </c>
      <c r="B4055" s="1" t="n">
        <v>44879</v>
      </c>
      <c r="C4055" s="1" t="n">
        <v>45797</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53699-2022</t>
        </is>
      </c>
      <c r="B4056" s="1" t="n">
        <v>44880</v>
      </c>
      <c r="C4056" s="1" t="n">
        <v>45797</v>
      </c>
      <c r="D4056" t="inlineStr">
        <is>
          <t>ÖREBRO LÄN</t>
        </is>
      </c>
      <c r="E4056" t="inlineStr">
        <is>
          <t>HÄLLEFORS</t>
        </is>
      </c>
      <c r="F4056" t="inlineStr">
        <is>
          <t>Bergvik skog väst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53789-2022</t>
        </is>
      </c>
      <c r="B4057" s="1" t="n">
        <v>44880</v>
      </c>
      <c r="C4057" s="1" t="n">
        <v>45797</v>
      </c>
      <c r="D4057" t="inlineStr">
        <is>
          <t>ÖREBRO LÄN</t>
        </is>
      </c>
      <c r="E4057" t="inlineStr">
        <is>
          <t>LJUSNARSBERG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54107-2022</t>
        </is>
      </c>
      <c r="B4058" s="1" t="n">
        <v>44881</v>
      </c>
      <c r="C4058" s="1" t="n">
        <v>45797</v>
      </c>
      <c r="D4058" t="inlineStr">
        <is>
          <t>ÖREBRO LÄN</t>
        </is>
      </c>
      <c r="E4058" t="inlineStr">
        <is>
          <t>LAXÅ</t>
        </is>
      </c>
      <c r="F4058" t="inlineStr">
        <is>
          <t>Sveaskog</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54291-2022</t>
        </is>
      </c>
      <c r="B4059" s="1" t="n">
        <v>44882</v>
      </c>
      <c r="C4059" s="1" t="n">
        <v>45797</v>
      </c>
      <c r="D4059" t="inlineStr">
        <is>
          <t>ÖREBRO LÄN</t>
        </is>
      </c>
      <c r="E4059" t="inlineStr">
        <is>
          <t>LAXÅ</t>
        </is>
      </c>
      <c r="F4059" t="inlineStr">
        <is>
          <t>Sveaskog</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54300-2022</t>
        </is>
      </c>
      <c r="B4060" s="1" t="n">
        <v>44882</v>
      </c>
      <c r="C4060" s="1" t="n">
        <v>45797</v>
      </c>
      <c r="D4060" t="inlineStr">
        <is>
          <t>ÖREBRO LÄN</t>
        </is>
      </c>
      <c r="E4060" t="inlineStr">
        <is>
          <t>LAXÅ</t>
        </is>
      </c>
      <c r="F4060" t="inlineStr">
        <is>
          <t>Sveaskog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54304-2022</t>
        </is>
      </c>
      <c r="B4061" s="1" t="n">
        <v>44882</v>
      </c>
      <c r="C4061" s="1" t="n">
        <v>45797</v>
      </c>
      <c r="D4061" t="inlineStr">
        <is>
          <t>ÖREBRO LÄN</t>
        </is>
      </c>
      <c r="E4061" t="inlineStr">
        <is>
          <t>LAXÅ</t>
        </is>
      </c>
      <c r="F4061" t="inlineStr">
        <is>
          <t>Sveaskog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54295-2022</t>
        </is>
      </c>
      <c r="B4062" s="1" t="n">
        <v>44882</v>
      </c>
      <c r="C4062" s="1" t="n">
        <v>45797</v>
      </c>
      <c r="D4062" t="inlineStr">
        <is>
          <t>ÖREBRO LÄN</t>
        </is>
      </c>
      <c r="E4062" t="inlineStr">
        <is>
          <t>LAXÅ</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54299-2022</t>
        </is>
      </c>
      <c r="B4063" s="1" t="n">
        <v>44882</v>
      </c>
      <c r="C4063" s="1" t="n">
        <v>45797</v>
      </c>
      <c r="D4063" t="inlineStr">
        <is>
          <t>ÖREBRO LÄN</t>
        </is>
      </c>
      <c r="E4063" t="inlineStr">
        <is>
          <t>LAXÅ</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54294-2022</t>
        </is>
      </c>
      <c r="B4064" s="1" t="n">
        <v>44882</v>
      </c>
      <c r="C4064" s="1" t="n">
        <v>45797</v>
      </c>
      <c r="D4064" t="inlineStr">
        <is>
          <t>ÖREBRO LÄN</t>
        </is>
      </c>
      <c r="E4064" t="inlineStr">
        <is>
          <t>LAXÅ</t>
        </is>
      </c>
      <c r="F4064" t="inlineStr">
        <is>
          <t>Sveaskog</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54292-2022</t>
        </is>
      </c>
      <c r="B4065" s="1" t="n">
        <v>44882</v>
      </c>
      <c r="C4065" s="1" t="n">
        <v>45797</v>
      </c>
      <c r="D4065" t="inlineStr">
        <is>
          <t>ÖREBRO LÄN</t>
        </is>
      </c>
      <c r="E4065" t="inlineStr">
        <is>
          <t>LAXÅ</t>
        </is>
      </c>
      <c r="F4065" t="inlineStr">
        <is>
          <t>Sveaskog</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54330-2022</t>
        </is>
      </c>
      <c r="B4066" s="1" t="n">
        <v>44882</v>
      </c>
      <c r="C4066" s="1" t="n">
        <v>45797</v>
      </c>
      <c r="D4066" t="inlineStr">
        <is>
          <t>ÖREBRO LÄN</t>
        </is>
      </c>
      <c r="E4066" t="inlineStr">
        <is>
          <t>LAXÅ</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54530-2022</t>
        </is>
      </c>
      <c r="B4067" s="1" t="n">
        <v>44882</v>
      </c>
      <c r="C4067" s="1" t="n">
        <v>45797</v>
      </c>
      <c r="D4067" t="inlineStr">
        <is>
          <t>ÖREBRO LÄN</t>
        </is>
      </c>
      <c r="E4067" t="inlineStr">
        <is>
          <t>HÄLLEFORS</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54303-2022</t>
        </is>
      </c>
      <c r="B4068" s="1" t="n">
        <v>44882</v>
      </c>
      <c r="C4068" s="1" t="n">
        <v>45797</v>
      </c>
      <c r="D4068" t="inlineStr">
        <is>
          <t>ÖREBRO LÄN</t>
        </is>
      </c>
      <c r="E4068" t="inlineStr">
        <is>
          <t>LAXÅ</t>
        </is>
      </c>
      <c r="F4068" t="inlineStr">
        <is>
          <t>Sveaskog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54328-2022</t>
        </is>
      </c>
      <c r="B4069" s="1" t="n">
        <v>44882</v>
      </c>
      <c r="C4069" s="1" t="n">
        <v>45797</v>
      </c>
      <c r="D4069" t="inlineStr">
        <is>
          <t>ÖREBRO LÄN</t>
        </is>
      </c>
      <c r="E4069" t="inlineStr">
        <is>
          <t>LAXÅ</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54327-2022</t>
        </is>
      </c>
      <c r="B4070" s="1" t="n">
        <v>44882</v>
      </c>
      <c r="C4070" s="1" t="n">
        <v>45797</v>
      </c>
      <c r="D4070" t="inlineStr">
        <is>
          <t>ÖREBRO LÄN</t>
        </is>
      </c>
      <c r="E4070" t="inlineStr">
        <is>
          <t>LAXÅ</t>
        </is>
      </c>
      <c r="F4070" t="inlineStr">
        <is>
          <t>Sveaskog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54628-2022</t>
        </is>
      </c>
      <c r="B4071" s="1" t="n">
        <v>44883</v>
      </c>
      <c r="C4071" s="1" t="n">
        <v>45797</v>
      </c>
      <c r="D4071" t="inlineStr">
        <is>
          <t>ÖREBRO LÄN</t>
        </is>
      </c>
      <c r="E4071" t="inlineStr">
        <is>
          <t>LINDESBERG</t>
        </is>
      </c>
      <c r="F4071" t="inlineStr">
        <is>
          <t>Sveaskog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54705-2022</t>
        </is>
      </c>
      <c r="B4072" s="1" t="n">
        <v>44883</v>
      </c>
      <c r="C4072" s="1" t="n">
        <v>45797</v>
      </c>
      <c r="D4072" t="inlineStr">
        <is>
          <t>ÖREBRO LÄN</t>
        </is>
      </c>
      <c r="E4072" t="inlineStr">
        <is>
          <t>LINDESBERG</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54630-2022</t>
        </is>
      </c>
      <c r="B4073" s="1" t="n">
        <v>44883</v>
      </c>
      <c r="C4073" s="1" t="n">
        <v>45797</v>
      </c>
      <c r="D4073" t="inlineStr">
        <is>
          <t>ÖREBRO LÄN</t>
        </is>
      </c>
      <c r="E4073" t="inlineStr">
        <is>
          <t>LINDESBERG</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54860-2022</t>
        </is>
      </c>
      <c r="B4074" s="1" t="n">
        <v>44884</v>
      </c>
      <c r="C4074" s="1" t="n">
        <v>45797</v>
      </c>
      <c r="D4074" t="inlineStr">
        <is>
          <t>ÖREBRO LÄN</t>
        </is>
      </c>
      <c r="E4074" t="inlineStr">
        <is>
          <t>KARLSKOGA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54859-2022</t>
        </is>
      </c>
      <c r="B4075" s="1" t="n">
        <v>44884</v>
      </c>
      <c r="C4075" s="1" t="n">
        <v>45797</v>
      </c>
      <c r="D4075" t="inlineStr">
        <is>
          <t>ÖREBRO LÄN</t>
        </is>
      </c>
      <c r="E4075" t="inlineStr">
        <is>
          <t>KARLSKOGA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55012-2022</t>
        </is>
      </c>
      <c r="B4076" s="1" t="n">
        <v>44886</v>
      </c>
      <c r="C4076" s="1" t="n">
        <v>45797</v>
      </c>
      <c r="D4076" t="inlineStr">
        <is>
          <t>ÖREBRO LÄN</t>
        </is>
      </c>
      <c r="E4076" t="inlineStr">
        <is>
          <t>ÖREBRO</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55049-2022</t>
        </is>
      </c>
      <c r="B4077" s="1" t="n">
        <v>44886</v>
      </c>
      <c r="C4077" s="1" t="n">
        <v>45797</v>
      </c>
      <c r="D4077" t="inlineStr">
        <is>
          <t>ÖREBRO LÄN</t>
        </is>
      </c>
      <c r="E4077" t="inlineStr">
        <is>
          <t>HALLSBERG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55167-2022</t>
        </is>
      </c>
      <c r="B4078" s="1" t="n">
        <v>44886</v>
      </c>
      <c r="C4078" s="1" t="n">
        <v>45797</v>
      </c>
      <c r="D4078" t="inlineStr">
        <is>
          <t>ÖREBRO LÄN</t>
        </is>
      </c>
      <c r="E4078" t="inlineStr">
        <is>
          <t>HÄLLEFORS</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56135-2022</t>
        </is>
      </c>
      <c r="B4079" s="1" t="n">
        <v>44886</v>
      </c>
      <c r="C4079" s="1" t="n">
        <v>45797</v>
      </c>
      <c r="D4079" t="inlineStr">
        <is>
          <t>ÖREBRO LÄN</t>
        </is>
      </c>
      <c r="E4079" t="inlineStr">
        <is>
          <t>LAXÅ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56112-2022</t>
        </is>
      </c>
      <c r="B4080" s="1" t="n">
        <v>44886</v>
      </c>
      <c r="C4080" s="1" t="n">
        <v>45797</v>
      </c>
      <c r="D4080" t="inlineStr">
        <is>
          <t>ÖREBRO LÄN</t>
        </is>
      </c>
      <c r="E4080" t="inlineStr">
        <is>
          <t>NORA</t>
        </is>
      </c>
      <c r="F4080" t="inlineStr">
        <is>
          <t>Sveaskog</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55299-2022</t>
        </is>
      </c>
      <c r="B4081" s="1" t="n">
        <v>44887</v>
      </c>
      <c r="C4081" s="1" t="n">
        <v>45797</v>
      </c>
      <c r="D4081" t="inlineStr">
        <is>
          <t>ÖREBRO LÄN</t>
        </is>
      </c>
      <c r="E4081" t="inlineStr">
        <is>
          <t>HÄLLEFORS</t>
        </is>
      </c>
      <c r="F4081" t="inlineStr">
        <is>
          <t>Bergvik skog väst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55310-2022</t>
        </is>
      </c>
      <c r="B4082" s="1" t="n">
        <v>44887</v>
      </c>
      <c r="C4082" s="1" t="n">
        <v>45797</v>
      </c>
      <c r="D4082" t="inlineStr">
        <is>
          <t>ÖREBRO LÄN</t>
        </is>
      </c>
      <c r="E4082" t="inlineStr">
        <is>
          <t>NORA</t>
        </is>
      </c>
      <c r="F4082" t="inlineStr">
        <is>
          <t>Sveaskog</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55311-2022</t>
        </is>
      </c>
      <c r="B4083" s="1" t="n">
        <v>44887</v>
      </c>
      <c r="C4083" s="1" t="n">
        <v>45797</v>
      </c>
      <c r="D4083" t="inlineStr">
        <is>
          <t>ÖREBRO LÄN</t>
        </is>
      </c>
      <c r="E4083" t="inlineStr">
        <is>
          <t>NORA</t>
        </is>
      </c>
      <c r="F4083" t="inlineStr">
        <is>
          <t>Sveaskog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55443-2022</t>
        </is>
      </c>
      <c r="B4084" s="1" t="n">
        <v>44887</v>
      </c>
      <c r="C4084" s="1" t="n">
        <v>45797</v>
      </c>
      <c r="D4084" t="inlineStr">
        <is>
          <t>ÖREBRO LÄN</t>
        </is>
      </c>
      <c r="E4084" t="inlineStr">
        <is>
          <t>DEGERFORS</t>
        </is>
      </c>
      <c r="F4084" t="inlineStr">
        <is>
          <t>Sveaskog</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55497-2022</t>
        </is>
      </c>
      <c r="B4085" s="1" t="n">
        <v>44887</v>
      </c>
      <c r="C4085" s="1" t="n">
        <v>45797</v>
      </c>
      <c r="D4085" t="inlineStr">
        <is>
          <t>ÖREBRO LÄN</t>
        </is>
      </c>
      <c r="E4085" t="inlineStr">
        <is>
          <t>NORA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55442-2022</t>
        </is>
      </c>
      <c r="B4086" s="1" t="n">
        <v>44887</v>
      </c>
      <c r="C4086" s="1" t="n">
        <v>45797</v>
      </c>
      <c r="D4086" t="inlineStr">
        <is>
          <t>ÖREBRO LÄN</t>
        </is>
      </c>
      <c r="E4086" t="inlineStr">
        <is>
          <t>KUMLA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55446-2022</t>
        </is>
      </c>
      <c r="B4087" s="1" t="n">
        <v>44887</v>
      </c>
      <c r="C4087" s="1" t="n">
        <v>45797</v>
      </c>
      <c r="D4087" t="inlineStr">
        <is>
          <t>ÖREBRO LÄN</t>
        </is>
      </c>
      <c r="E4087" t="inlineStr">
        <is>
          <t>DEGERFORS</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55593-2022</t>
        </is>
      </c>
      <c r="B4088" s="1" t="n">
        <v>44888</v>
      </c>
      <c r="C4088" s="1" t="n">
        <v>45797</v>
      </c>
      <c r="D4088" t="inlineStr">
        <is>
          <t>ÖREBRO LÄN</t>
        </is>
      </c>
      <c r="E4088" t="inlineStr">
        <is>
          <t>ÖREBRO</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55631-2022</t>
        </is>
      </c>
      <c r="B4089" s="1" t="n">
        <v>44888</v>
      </c>
      <c r="C4089" s="1" t="n">
        <v>45797</v>
      </c>
      <c r="D4089" t="inlineStr">
        <is>
          <t>ÖREBRO LÄN</t>
        </is>
      </c>
      <c r="E4089" t="inlineStr">
        <is>
          <t>LINDESBERG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56033-2022</t>
        </is>
      </c>
      <c r="B4090" s="1" t="n">
        <v>44889</v>
      </c>
      <c r="C4090" s="1" t="n">
        <v>45797</v>
      </c>
      <c r="D4090" t="inlineStr">
        <is>
          <t>ÖREBRO LÄN</t>
        </is>
      </c>
      <c r="E4090" t="inlineStr">
        <is>
          <t>ASKERSUND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56077-2022</t>
        </is>
      </c>
      <c r="B4091" s="1" t="n">
        <v>44889</v>
      </c>
      <c r="C4091" s="1" t="n">
        <v>45797</v>
      </c>
      <c r="D4091" t="inlineStr">
        <is>
          <t>ÖREBRO LÄN</t>
        </is>
      </c>
      <c r="E4091" t="inlineStr">
        <is>
          <t>ÖREBRO</t>
        </is>
      </c>
      <c r="F4091" t="inlineStr">
        <is>
          <t>Övriga Aktiebolag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56014-2022</t>
        </is>
      </c>
      <c r="B4092" s="1" t="n">
        <v>44889</v>
      </c>
      <c r="C4092" s="1" t="n">
        <v>45797</v>
      </c>
      <c r="D4092" t="inlineStr">
        <is>
          <t>ÖREBRO LÄN</t>
        </is>
      </c>
      <c r="E4092" t="inlineStr">
        <is>
          <t>ASKERSUND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56045-2022</t>
        </is>
      </c>
      <c r="B4093" s="1" t="n">
        <v>44889</v>
      </c>
      <c r="C4093" s="1" t="n">
        <v>45797</v>
      </c>
      <c r="D4093" t="inlineStr">
        <is>
          <t>ÖREBRO LÄN</t>
        </is>
      </c>
      <c r="E4093" t="inlineStr">
        <is>
          <t>LINDESBERG</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56136-2022</t>
        </is>
      </c>
      <c r="B4094" s="1" t="n">
        <v>44889</v>
      </c>
      <c r="C4094" s="1" t="n">
        <v>45797</v>
      </c>
      <c r="D4094" t="inlineStr">
        <is>
          <t>ÖREBRO LÄN</t>
        </is>
      </c>
      <c r="E4094" t="inlineStr">
        <is>
          <t>NORA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56123-2022</t>
        </is>
      </c>
      <c r="B4095" s="1" t="n">
        <v>44889</v>
      </c>
      <c r="C4095" s="1" t="n">
        <v>45797</v>
      </c>
      <c r="D4095" t="inlineStr">
        <is>
          <t>ÖREBRO LÄN</t>
        </is>
      </c>
      <c r="E4095" t="inlineStr">
        <is>
          <t>LINDESBERG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56134-2022</t>
        </is>
      </c>
      <c r="B4096" s="1" t="n">
        <v>44889</v>
      </c>
      <c r="C4096" s="1" t="n">
        <v>45797</v>
      </c>
      <c r="D4096" t="inlineStr">
        <is>
          <t>ÖREBRO LÄN</t>
        </is>
      </c>
      <c r="E4096" t="inlineStr">
        <is>
          <t>LAXÅ</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56049-2022</t>
        </is>
      </c>
      <c r="B4097" s="1" t="n">
        <v>44889</v>
      </c>
      <c r="C4097" s="1" t="n">
        <v>45797</v>
      </c>
      <c r="D4097" t="inlineStr">
        <is>
          <t>ÖREBRO LÄN</t>
        </is>
      </c>
      <c r="E4097" t="inlineStr">
        <is>
          <t>LINDESBERG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56217-2022</t>
        </is>
      </c>
      <c r="B4098" s="1" t="n">
        <v>44890</v>
      </c>
      <c r="C4098" s="1" t="n">
        <v>45797</v>
      </c>
      <c r="D4098" t="inlineStr">
        <is>
          <t>ÖREBRO LÄN</t>
        </is>
      </c>
      <c r="E4098" t="inlineStr">
        <is>
          <t>LINDESBERG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56236-2022</t>
        </is>
      </c>
      <c r="B4099" s="1" t="n">
        <v>44890</v>
      </c>
      <c r="C4099" s="1" t="n">
        <v>45797</v>
      </c>
      <c r="D4099" t="inlineStr">
        <is>
          <t>ÖREBRO LÄN</t>
        </is>
      </c>
      <c r="E4099" t="inlineStr">
        <is>
          <t>LAXÅ</t>
        </is>
      </c>
      <c r="F4099" t="inlineStr">
        <is>
          <t>Sveaskog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56265-2022</t>
        </is>
      </c>
      <c r="B4100" s="1" t="n">
        <v>44890</v>
      </c>
      <c r="C4100" s="1" t="n">
        <v>45797</v>
      </c>
      <c r="D4100" t="inlineStr">
        <is>
          <t>ÖREBRO LÄN</t>
        </is>
      </c>
      <c r="E4100" t="inlineStr">
        <is>
          <t>KUMLA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56293-2022</t>
        </is>
      </c>
      <c r="B4101" s="1" t="n">
        <v>44890</v>
      </c>
      <c r="C4101" s="1" t="n">
        <v>45797</v>
      </c>
      <c r="D4101" t="inlineStr">
        <is>
          <t>ÖREBRO LÄN</t>
        </is>
      </c>
      <c r="E4101" t="inlineStr">
        <is>
          <t>KUMLA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57743-2022</t>
        </is>
      </c>
      <c r="B4102" s="1" t="n">
        <v>44890</v>
      </c>
      <c r="C4102" s="1" t="n">
        <v>45797</v>
      </c>
      <c r="D4102" t="inlineStr">
        <is>
          <t>ÖREBRO LÄN</t>
        </is>
      </c>
      <c r="E4102" t="inlineStr">
        <is>
          <t>KARLSKOGA</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56635-2022</t>
        </is>
      </c>
      <c r="B4103" s="1" t="n">
        <v>44893</v>
      </c>
      <c r="C4103" s="1" t="n">
        <v>45797</v>
      </c>
      <c r="D4103" t="inlineStr">
        <is>
          <t>ÖREBRO LÄN</t>
        </is>
      </c>
      <c r="E4103" t="inlineStr">
        <is>
          <t>LEKEBERG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56541-2022</t>
        </is>
      </c>
      <c r="B4104" s="1" t="n">
        <v>44893</v>
      </c>
      <c r="C4104" s="1" t="n">
        <v>45797</v>
      </c>
      <c r="D4104" t="inlineStr">
        <is>
          <t>ÖREBRO LÄN</t>
        </is>
      </c>
      <c r="E4104" t="inlineStr">
        <is>
          <t>LINDESBERG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56622-2022</t>
        </is>
      </c>
      <c r="B4105" s="1" t="n">
        <v>44893</v>
      </c>
      <c r="C4105" s="1" t="n">
        <v>45797</v>
      </c>
      <c r="D4105" t="inlineStr">
        <is>
          <t>ÖREBRO LÄN</t>
        </is>
      </c>
      <c r="E4105" t="inlineStr">
        <is>
          <t>ASKERSUND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56797-2022</t>
        </is>
      </c>
      <c r="B4106" s="1" t="n">
        <v>44894</v>
      </c>
      <c r="C4106" s="1" t="n">
        <v>45797</v>
      </c>
      <c r="D4106" t="inlineStr">
        <is>
          <t>ÖREBRO LÄN</t>
        </is>
      </c>
      <c r="E4106" t="inlineStr">
        <is>
          <t>ASKERSUND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56750-2022</t>
        </is>
      </c>
      <c r="B4107" s="1" t="n">
        <v>44894</v>
      </c>
      <c r="C4107" s="1" t="n">
        <v>45797</v>
      </c>
      <c r="D4107" t="inlineStr">
        <is>
          <t>ÖREBRO LÄN</t>
        </is>
      </c>
      <c r="E4107" t="inlineStr">
        <is>
          <t>HÄLLEFORS</t>
        </is>
      </c>
      <c r="F4107" t="inlineStr">
        <is>
          <t>Bergvik skog väst AB</t>
        </is>
      </c>
      <c r="G4107" t="n">
        <v>10.7</v>
      </c>
      <c r="H4107" t="n">
        <v>0</v>
      </c>
      <c r="I4107" t="n">
        <v>0</v>
      </c>
      <c r="J4107" t="n">
        <v>0</v>
      </c>
      <c r="K4107" t="n">
        <v>0</v>
      </c>
      <c r="L4107" t="n">
        <v>0</v>
      </c>
      <c r="M4107" t="n">
        <v>0</v>
      </c>
      <c r="N4107" t="n">
        <v>0</v>
      </c>
      <c r="O4107" t="n">
        <v>0</v>
      </c>
      <c r="P4107" t="n">
        <v>0</v>
      </c>
      <c r="Q4107" t="n">
        <v>0</v>
      </c>
      <c r="R4107" s="2" t="inlineStr"/>
    </row>
    <row r="4108" ht="15" customHeight="1">
      <c r="A4108" t="inlineStr">
        <is>
          <t>A 56887-2022</t>
        </is>
      </c>
      <c r="B4108" s="1" t="n">
        <v>44894</v>
      </c>
      <c r="C4108" s="1" t="n">
        <v>45797</v>
      </c>
      <c r="D4108" t="inlineStr">
        <is>
          <t>ÖREBRO LÄN</t>
        </is>
      </c>
      <c r="E4108" t="inlineStr">
        <is>
          <t>KARLSKOGA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56948-2022</t>
        </is>
      </c>
      <c r="B4109" s="1" t="n">
        <v>44894</v>
      </c>
      <c r="C4109" s="1" t="n">
        <v>45797</v>
      </c>
      <c r="D4109" t="inlineStr">
        <is>
          <t>ÖREBRO LÄN</t>
        </is>
      </c>
      <c r="E4109" t="inlineStr">
        <is>
          <t>LINDESBERG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57069-2022</t>
        </is>
      </c>
      <c r="B4110" s="1" t="n">
        <v>44895</v>
      </c>
      <c r="C4110" s="1" t="n">
        <v>45797</v>
      </c>
      <c r="D4110" t="inlineStr">
        <is>
          <t>ÖREBRO LÄN</t>
        </is>
      </c>
      <c r="E4110" t="inlineStr">
        <is>
          <t>LINDESBERG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57066-2022</t>
        </is>
      </c>
      <c r="B4111" s="1" t="n">
        <v>44895</v>
      </c>
      <c r="C4111" s="1" t="n">
        <v>45797</v>
      </c>
      <c r="D4111" t="inlineStr">
        <is>
          <t>ÖREBRO LÄN</t>
        </is>
      </c>
      <c r="E4111" t="inlineStr">
        <is>
          <t>LINDESBERG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57075-2022</t>
        </is>
      </c>
      <c r="B4112" s="1" t="n">
        <v>44895</v>
      </c>
      <c r="C4112" s="1" t="n">
        <v>45797</v>
      </c>
      <c r="D4112" t="inlineStr">
        <is>
          <t>ÖREBRO LÄN</t>
        </is>
      </c>
      <c r="E4112" t="inlineStr">
        <is>
          <t>LJUSNARSBERG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57090-2022</t>
        </is>
      </c>
      <c r="B4113" s="1" t="n">
        <v>44895</v>
      </c>
      <c r="C4113" s="1" t="n">
        <v>45797</v>
      </c>
      <c r="D4113" t="inlineStr">
        <is>
          <t>ÖREBRO LÄN</t>
        </is>
      </c>
      <c r="E4113" t="inlineStr">
        <is>
          <t>LJUSNARSBERG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57247-2022</t>
        </is>
      </c>
      <c r="B4114" s="1" t="n">
        <v>44895</v>
      </c>
      <c r="C4114" s="1" t="n">
        <v>45797</v>
      </c>
      <c r="D4114" t="inlineStr">
        <is>
          <t>ÖREBRO LÄN</t>
        </is>
      </c>
      <c r="E4114" t="inlineStr">
        <is>
          <t>ÖREBRO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57042-2022</t>
        </is>
      </c>
      <c r="B4115" s="1" t="n">
        <v>44895</v>
      </c>
      <c r="C4115" s="1" t="n">
        <v>45797</v>
      </c>
      <c r="D4115" t="inlineStr">
        <is>
          <t>ÖREBRO LÄN</t>
        </is>
      </c>
      <c r="E4115" t="inlineStr">
        <is>
          <t>LINDESBERG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57243-2022</t>
        </is>
      </c>
      <c r="B4116" s="1" t="n">
        <v>44895</v>
      </c>
      <c r="C4116" s="1" t="n">
        <v>45797</v>
      </c>
      <c r="D4116" t="inlineStr">
        <is>
          <t>ÖREBRO LÄN</t>
        </is>
      </c>
      <c r="E4116" t="inlineStr">
        <is>
          <t>ÖREBRO</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57197-2022</t>
        </is>
      </c>
      <c r="B4117" s="1" t="n">
        <v>44895</v>
      </c>
      <c r="C4117" s="1" t="n">
        <v>45797</v>
      </c>
      <c r="D4117" t="inlineStr">
        <is>
          <t>ÖREBRO LÄN</t>
        </is>
      </c>
      <c r="E4117" t="inlineStr">
        <is>
          <t>KARLSKOGA</t>
        </is>
      </c>
      <c r="F4117" t="inlineStr">
        <is>
          <t>Kyrkan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57251-2022</t>
        </is>
      </c>
      <c r="B4118" s="1" t="n">
        <v>44895</v>
      </c>
      <c r="C4118" s="1" t="n">
        <v>45797</v>
      </c>
      <c r="D4118" t="inlineStr">
        <is>
          <t>ÖREBRO LÄN</t>
        </is>
      </c>
      <c r="E4118" t="inlineStr">
        <is>
          <t>HALLSBERG</t>
        </is>
      </c>
      <c r="F4118" t="inlineStr">
        <is>
          <t>Sveaskog</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57316-2022</t>
        </is>
      </c>
      <c r="B4119" s="1" t="n">
        <v>44896</v>
      </c>
      <c r="C4119" s="1" t="n">
        <v>45797</v>
      </c>
      <c r="D4119" t="inlineStr">
        <is>
          <t>ÖREBRO LÄN</t>
        </is>
      </c>
      <c r="E4119" t="inlineStr">
        <is>
          <t>NORA</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57377-2022</t>
        </is>
      </c>
      <c r="B4120" s="1" t="n">
        <v>44896</v>
      </c>
      <c r="C4120" s="1" t="n">
        <v>45797</v>
      </c>
      <c r="D4120" t="inlineStr">
        <is>
          <t>ÖREBRO LÄN</t>
        </is>
      </c>
      <c r="E4120" t="inlineStr">
        <is>
          <t>KARLSKOGA</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57313-2022</t>
        </is>
      </c>
      <c r="B4121" s="1" t="n">
        <v>44896</v>
      </c>
      <c r="C4121" s="1" t="n">
        <v>45797</v>
      </c>
      <c r="D4121" t="inlineStr">
        <is>
          <t>ÖREBRO LÄN</t>
        </is>
      </c>
      <c r="E4121" t="inlineStr">
        <is>
          <t>LJUSNARSBERG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57455-2022</t>
        </is>
      </c>
      <c r="B4122" s="1" t="n">
        <v>44896</v>
      </c>
      <c r="C4122" s="1" t="n">
        <v>45797</v>
      </c>
      <c r="D4122" t="inlineStr">
        <is>
          <t>ÖREBRO LÄN</t>
        </is>
      </c>
      <c r="E4122" t="inlineStr">
        <is>
          <t>HÄLLEFORS</t>
        </is>
      </c>
      <c r="F4122" t="inlineStr">
        <is>
          <t>Bergvik skog väst AB</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57372-2022</t>
        </is>
      </c>
      <c r="B4123" s="1" t="n">
        <v>44896</v>
      </c>
      <c r="C4123" s="1" t="n">
        <v>45797</v>
      </c>
      <c r="D4123" t="inlineStr">
        <is>
          <t>ÖREBRO LÄN</t>
        </is>
      </c>
      <c r="E4123" t="inlineStr">
        <is>
          <t>NORA</t>
        </is>
      </c>
      <c r="F4123" t="inlineStr">
        <is>
          <t>Sveaskog</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59228-2022</t>
        </is>
      </c>
      <c r="B4124" s="1" t="n">
        <v>44896</v>
      </c>
      <c r="C4124" s="1" t="n">
        <v>45797</v>
      </c>
      <c r="D4124" t="inlineStr">
        <is>
          <t>ÖREBRO LÄN</t>
        </is>
      </c>
      <c r="E4124" t="inlineStr">
        <is>
          <t>LAXÅ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57638-2022</t>
        </is>
      </c>
      <c r="B4125" s="1" t="n">
        <v>44897</v>
      </c>
      <c r="C4125" s="1" t="n">
        <v>45797</v>
      </c>
      <c r="D4125" t="inlineStr">
        <is>
          <t>ÖREBRO LÄN</t>
        </is>
      </c>
      <c r="E4125" t="inlineStr">
        <is>
          <t>ÖREBRO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57613-2022</t>
        </is>
      </c>
      <c r="B4126" s="1" t="n">
        <v>44897</v>
      </c>
      <c r="C4126" s="1" t="n">
        <v>45797</v>
      </c>
      <c r="D4126" t="inlineStr">
        <is>
          <t>ÖREBRO LÄN</t>
        </is>
      </c>
      <c r="E4126" t="inlineStr">
        <is>
          <t>LAXÅ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57697-2022</t>
        </is>
      </c>
      <c r="B4127" s="1" t="n">
        <v>44897</v>
      </c>
      <c r="C4127" s="1" t="n">
        <v>45797</v>
      </c>
      <c r="D4127" t="inlineStr">
        <is>
          <t>ÖREBRO LÄN</t>
        </is>
      </c>
      <c r="E4127" t="inlineStr">
        <is>
          <t>HÄLLEFORS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57749-2022</t>
        </is>
      </c>
      <c r="B4128" s="1" t="n">
        <v>44897</v>
      </c>
      <c r="C4128" s="1" t="n">
        <v>45797</v>
      </c>
      <c r="D4128" t="inlineStr">
        <is>
          <t>ÖREBRO LÄN</t>
        </is>
      </c>
      <c r="E4128" t="inlineStr">
        <is>
          <t>LAXÅ</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57753-2022</t>
        </is>
      </c>
      <c r="B4129" s="1" t="n">
        <v>44897</v>
      </c>
      <c r="C4129" s="1" t="n">
        <v>45797</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57666-2022</t>
        </is>
      </c>
      <c r="B4130" s="1" t="n">
        <v>44897</v>
      </c>
      <c r="C4130" s="1" t="n">
        <v>45797</v>
      </c>
      <c r="D4130" t="inlineStr">
        <is>
          <t>ÖREBRO LÄN</t>
        </is>
      </c>
      <c r="E4130" t="inlineStr">
        <is>
          <t>NORA</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57747-2022</t>
        </is>
      </c>
      <c r="B4131" s="1" t="n">
        <v>44897</v>
      </c>
      <c r="C4131" s="1" t="n">
        <v>45797</v>
      </c>
      <c r="D4131" t="inlineStr">
        <is>
          <t>ÖREBRO LÄN</t>
        </is>
      </c>
      <c r="E4131" t="inlineStr">
        <is>
          <t>LAXÅ</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57751-2022</t>
        </is>
      </c>
      <c r="B4132" s="1" t="n">
        <v>44897</v>
      </c>
      <c r="C4132" s="1" t="n">
        <v>45797</v>
      </c>
      <c r="D4132" t="inlineStr">
        <is>
          <t>ÖREBRO LÄN</t>
        </is>
      </c>
      <c r="E4132" t="inlineStr">
        <is>
          <t>LAXÅ</t>
        </is>
      </c>
      <c r="F4132" t="inlineStr">
        <is>
          <t>Sveaskog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57756-2022</t>
        </is>
      </c>
      <c r="B4133" s="1" t="n">
        <v>44897</v>
      </c>
      <c r="C4133" s="1" t="n">
        <v>45797</v>
      </c>
      <c r="D4133" t="inlineStr">
        <is>
          <t>ÖREBRO LÄN</t>
        </is>
      </c>
      <c r="E4133" t="inlineStr">
        <is>
          <t>LAXÅ</t>
        </is>
      </c>
      <c r="F4133" t="inlineStr">
        <is>
          <t>Sveaskog</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58091-2022</t>
        </is>
      </c>
      <c r="B4134" s="1" t="n">
        <v>44900</v>
      </c>
      <c r="C4134" s="1" t="n">
        <v>45797</v>
      </c>
      <c r="D4134" t="inlineStr">
        <is>
          <t>ÖREBRO LÄN</t>
        </is>
      </c>
      <c r="E4134" t="inlineStr">
        <is>
          <t>KARLSKOGA</t>
        </is>
      </c>
      <c r="F4134" t="inlineStr">
        <is>
          <t>Sveaskog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57911-2022</t>
        </is>
      </c>
      <c r="B4135" s="1" t="n">
        <v>44900</v>
      </c>
      <c r="C4135" s="1" t="n">
        <v>45797</v>
      </c>
      <c r="D4135" t="inlineStr">
        <is>
          <t>ÖREBRO LÄN</t>
        </is>
      </c>
      <c r="E4135" t="inlineStr">
        <is>
          <t>LINDESBERG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58140-2022</t>
        </is>
      </c>
      <c r="B4136" s="1" t="n">
        <v>44900</v>
      </c>
      <c r="C4136" s="1" t="n">
        <v>45797</v>
      </c>
      <c r="D4136" t="inlineStr">
        <is>
          <t>ÖREBRO LÄN</t>
        </is>
      </c>
      <c r="E4136" t="inlineStr">
        <is>
          <t>KUMLA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58136-2022</t>
        </is>
      </c>
      <c r="B4137" s="1" t="n">
        <v>44900</v>
      </c>
      <c r="C4137" s="1" t="n">
        <v>45797</v>
      </c>
      <c r="D4137" t="inlineStr">
        <is>
          <t>ÖREBRO LÄN</t>
        </is>
      </c>
      <c r="E4137" t="inlineStr">
        <is>
          <t>LINDESBERG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58277-2022</t>
        </is>
      </c>
      <c r="B4138" s="1" t="n">
        <v>44901</v>
      </c>
      <c r="C4138" s="1" t="n">
        <v>45797</v>
      </c>
      <c r="D4138" t="inlineStr">
        <is>
          <t>ÖREBRO LÄN</t>
        </is>
      </c>
      <c r="E4138" t="inlineStr">
        <is>
          <t>ÖREBRO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58499-2022</t>
        </is>
      </c>
      <c r="B4139" s="1" t="n">
        <v>44902</v>
      </c>
      <c r="C4139" s="1" t="n">
        <v>45797</v>
      </c>
      <c r="D4139" t="inlineStr">
        <is>
          <t>ÖREBRO LÄN</t>
        </is>
      </c>
      <c r="E4139" t="inlineStr">
        <is>
          <t>HÄLLEFORS</t>
        </is>
      </c>
      <c r="F4139" t="inlineStr">
        <is>
          <t>Bergvik skog väst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58551-2022</t>
        </is>
      </c>
      <c r="B4140" s="1" t="n">
        <v>44902</v>
      </c>
      <c r="C4140" s="1" t="n">
        <v>45797</v>
      </c>
      <c r="D4140" t="inlineStr">
        <is>
          <t>ÖREBRO LÄN</t>
        </is>
      </c>
      <c r="E4140" t="inlineStr">
        <is>
          <t>ÖREBRO</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60100-2022</t>
        </is>
      </c>
      <c r="B4141" s="1" t="n">
        <v>44902</v>
      </c>
      <c r="C4141" s="1" t="n">
        <v>45797</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60120-2022</t>
        </is>
      </c>
      <c r="B4142" s="1" t="n">
        <v>44902</v>
      </c>
      <c r="C4142" s="1" t="n">
        <v>45797</v>
      </c>
      <c r="D4142" t="inlineStr">
        <is>
          <t>ÖREBRO LÄN</t>
        </is>
      </c>
      <c r="E4142" t="inlineStr">
        <is>
          <t>LINDESBERG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58595-2022</t>
        </is>
      </c>
      <c r="B4143" s="1" t="n">
        <v>44902</v>
      </c>
      <c r="C4143" s="1" t="n">
        <v>45797</v>
      </c>
      <c r="D4143" t="inlineStr">
        <is>
          <t>ÖREBRO LÄN</t>
        </is>
      </c>
      <c r="E4143" t="inlineStr">
        <is>
          <t>ÖREBRO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60105-2022</t>
        </is>
      </c>
      <c r="B4144" s="1" t="n">
        <v>44902</v>
      </c>
      <c r="C4144" s="1" t="n">
        <v>45797</v>
      </c>
      <c r="D4144" t="inlineStr">
        <is>
          <t>ÖREBRO LÄN</t>
        </is>
      </c>
      <c r="E4144" t="inlineStr">
        <is>
          <t>LINDESBERG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58662-2022</t>
        </is>
      </c>
      <c r="B4145" s="1" t="n">
        <v>44902</v>
      </c>
      <c r="C4145" s="1" t="n">
        <v>45797</v>
      </c>
      <c r="D4145" t="inlineStr">
        <is>
          <t>ÖREBRO LÄN</t>
        </is>
      </c>
      <c r="E4145" t="inlineStr">
        <is>
          <t>LINDESBERG</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58666-2022</t>
        </is>
      </c>
      <c r="B4146" s="1" t="n">
        <v>44902</v>
      </c>
      <c r="C4146" s="1" t="n">
        <v>45797</v>
      </c>
      <c r="D4146" t="inlineStr">
        <is>
          <t>ÖREBRO LÄN</t>
        </is>
      </c>
      <c r="E4146" t="inlineStr">
        <is>
          <t>LINDESBERG</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58598-2022</t>
        </is>
      </c>
      <c r="B4147" s="1" t="n">
        <v>44902</v>
      </c>
      <c r="C4147" s="1" t="n">
        <v>45797</v>
      </c>
      <c r="D4147" t="inlineStr">
        <is>
          <t>ÖREBRO LÄN</t>
        </is>
      </c>
      <c r="E4147" t="inlineStr">
        <is>
          <t>ÖREBRO</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60115-2022</t>
        </is>
      </c>
      <c r="B4148" s="1" t="n">
        <v>44902</v>
      </c>
      <c r="C4148" s="1" t="n">
        <v>45797</v>
      </c>
      <c r="D4148" t="inlineStr">
        <is>
          <t>ÖREBRO LÄN</t>
        </is>
      </c>
      <c r="E4148" t="inlineStr">
        <is>
          <t>LINDESBERG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58649-2022</t>
        </is>
      </c>
      <c r="B4149" s="1" t="n">
        <v>44902</v>
      </c>
      <c r="C4149" s="1" t="n">
        <v>45797</v>
      </c>
      <c r="D4149" t="inlineStr">
        <is>
          <t>ÖREBRO LÄN</t>
        </is>
      </c>
      <c r="E4149" t="inlineStr">
        <is>
          <t>LINDESBERG</t>
        </is>
      </c>
      <c r="F4149" t="inlineStr">
        <is>
          <t>Sveaskog</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58668-2022</t>
        </is>
      </c>
      <c r="B4150" s="1" t="n">
        <v>44902</v>
      </c>
      <c r="C4150" s="1" t="n">
        <v>45797</v>
      </c>
      <c r="D4150" t="inlineStr">
        <is>
          <t>ÖREBRO LÄN</t>
        </is>
      </c>
      <c r="E4150" t="inlineStr">
        <is>
          <t>LINDESBERG</t>
        </is>
      </c>
      <c r="F4150" t="inlineStr">
        <is>
          <t>Sveaskog</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58823-2022</t>
        </is>
      </c>
      <c r="B4151" s="1" t="n">
        <v>44903</v>
      </c>
      <c r="C4151" s="1" t="n">
        <v>45797</v>
      </c>
      <c r="D4151" t="inlineStr">
        <is>
          <t>ÖREBRO LÄN</t>
        </is>
      </c>
      <c r="E4151" t="inlineStr">
        <is>
          <t>LJUSNARSBERG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58978-2022</t>
        </is>
      </c>
      <c r="B4152" s="1" t="n">
        <v>44903</v>
      </c>
      <c r="C4152" s="1" t="n">
        <v>45797</v>
      </c>
      <c r="D4152" t="inlineStr">
        <is>
          <t>ÖREBRO LÄN</t>
        </is>
      </c>
      <c r="E4152" t="inlineStr">
        <is>
          <t>LAXÅ</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58977-2022</t>
        </is>
      </c>
      <c r="B4153" s="1" t="n">
        <v>44903</v>
      </c>
      <c r="C4153" s="1" t="n">
        <v>45797</v>
      </c>
      <c r="D4153" t="inlineStr">
        <is>
          <t>ÖREBRO LÄN</t>
        </is>
      </c>
      <c r="E4153" t="inlineStr">
        <is>
          <t>LAXÅ</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59158-2022</t>
        </is>
      </c>
      <c r="B4154" s="1" t="n">
        <v>44904</v>
      </c>
      <c r="C4154" s="1" t="n">
        <v>45797</v>
      </c>
      <c r="D4154" t="inlineStr">
        <is>
          <t>ÖREBRO LÄN</t>
        </is>
      </c>
      <c r="E4154" t="inlineStr">
        <is>
          <t>DEGERFORS</t>
        </is>
      </c>
      <c r="F4154" t="inlineStr">
        <is>
          <t>Sveaskog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59184-2022</t>
        </is>
      </c>
      <c r="B4155" s="1" t="n">
        <v>44904</v>
      </c>
      <c r="C4155" s="1" t="n">
        <v>45797</v>
      </c>
      <c r="D4155" t="inlineStr">
        <is>
          <t>ÖREBRO LÄN</t>
        </is>
      </c>
      <c r="E4155" t="inlineStr">
        <is>
          <t>HÄLLEFORS</t>
        </is>
      </c>
      <c r="F4155" t="inlineStr">
        <is>
          <t>Bergvik skog väst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59113-2022</t>
        </is>
      </c>
      <c r="B4156" s="1" t="n">
        <v>44904</v>
      </c>
      <c r="C4156" s="1" t="n">
        <v>45797</v>
      </c>
      <c r="D4156" t="inlineStr">
        <is>
          <t>ÖREBRO LÄN</t>
        </is>
      </c>
      <c r="E4156" t="inlineStr">
        <is>
          <t>LINDESBERG</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59395-2022</t>
        </is>
      </c>
      <c r="B4157" s="1" t="n">
        <v>44906</v>
      </c>
      <c r="C4157" s="1" t="n">
        <v>45797</v>
      </c>
      <c r="D4157" t="inlineStr">
        <is>
          <t>ÖREBRO LÄN</t>
        </is>
      </c>
      <c r="E4157" t="inlineStr">
        <is>
          <t>LINDESBERG</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59390-2022</t>
        </is>
      </c>
      <c r="B4158" s="1" t="n">
        <v>44906</v>
      </c>
      <c r="C4158" s="1" t="n">
        <v>45797</v>
      </c>
      <c r="D4158" t="inlineStr">
        <is>
          <t>ÖREBRO LÄN</t>
        </is>
      </c>
      <c r="E4158" t="inlineStr">
        <is>
          <t>DEGERFORS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59455-2022</t>
        </is>
      </c>
      <c r="B4159" s="1" t="n">
        <v>44907</v>
      </c>
      <c r="C4159" s="1" t="n">
        <v>45797</v>
      </c>
      <c r="D4159" t="inlineStr">
        <is>
          <t>ÖREBRO LÄN</t>
        </is>
      </c>
      <c r="E4159" t="inlineStr">
        <is>
          <t>LAXÅ</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59454-2022</t>
        </is>
      </c>
      <c r="B4160" s="1" t="n">
        <v>44907</v>
      </c>
      <c r="C4160" s="1" t="n">
        <v>45797</v>
      </c>
      <c r="D4160" t="inlineStr">
        <is>
          <t>ÖREBRO LÄN</t>
        </is>
      </c>
      <c r="E4160" t="inlineStr">
        <is>
          <t>LAXÅ</t>
        </is>
      </c>
      <c r="F4160" t="inlineStr">
        <is>
          <t>Sveaskog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59457-2022</t>
        </is>
      </c>
      <c r="B4161" s="1" t="n">
        <v>44907</v>
      </c>
      <c r="C4161" s="1" t="n">
        <v>45797</v>
      </c>
      <c r="D4161" t="inlineStr">
        <is>
          <t>ÖREBRO LÄN</t>
        </is>
      </c>
      <c r="E4161" t="inlineStr">
        <is>
          <t>LAXÅ</t>
        </is>
      </c>
      <c r="F4161" t="inlineStr">
        <is>
          <t>Sveaskog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59485-2022</t>
        </is>
      </c>
      <c r="B4162" s="1" t="n">
        <v>44907</v>
      </c>
      <c r="C4162" s="1" t="n">
        <v>45797</v>
      </c>
      <c r="D4162" t="inlineStr">
        <is>
          <t>ÖREBRO LÄN</t>
        </is>
      </c>
      <c r="E4162" t="inlineStr">
        <is>
          <t>HÄLLEFORS</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59453-2022</t>
        </is>
      </c>
      <c r="B4163" s="1" t="n">
        <v>44907</v>
      </c>
      <c r="C4163" s="1" t="n">
        <v>45797</v>
      </c>
      <c r="D4163" t="inlineStr">
        <is>
          <t>ÖREBRO LÄN</t>
        </is>
      </c>
      <c r="E4163" t="inlineStr">
        <is>
          <t>LAXÅ</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59549-2022</t>
        </is>
      </c>
      <c r="B4164" s="1" t="n">
        <v>44907</v>
      </c>
      <c r="C4164" s="1" t="n">
        <v>45797</v>
      </c>
      <c r="D4164" t="inlineStr">
        <is>
          <t>ÖREBRO LÄN</t>
        </is>
      </c>
      <c r="E4164" t="inlineStr">
        <is>
          <t>NORA</t>
        </is>
      </c>
      <c r="F4164" t="inlineStr">
        <is>
          <t>Sveaskog</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59557-2022</t>
        </is>
      </c>
      <c r="B4165" s="1" t="n">
        <v>44907</v>
      </c>
      <c r="C4165" s="1" t="n">
        <v>45797</v>
      </c>
      <c r="D4165" t="inlineStr">
        <is>
          <t>ÖREBRO LÄN</t>
        </is>
      </c>
      <c r="E4165" t="inlineStr">
        <is>
          <t>HÄLLEFORS</t>
        </is>
      </c>
      <c r="F4165" t="inlineStr">
        <is>
          <t>Bergvik skog väst AB</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59552-2022</t>
        </is>
      </c>
      <c r="B4166" s="1" t="n">
        <v>44907</v>
      </c>
      <c r="C4166" s="1" t="n">
        <v>45797</v>
      </c>
      <c r="D4166" t="inlineStr">
        <is>
          <t>ÖREBRO LÄN</t>
        </is>
      </c>
      <c r="E4166" t="inlineStr">
        <is>
          <t>NORA</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59550-2022</t>
        </is>
      </c>
      <c r="B4167" s="1" t="n">
        <v>44907</v>
      </c>
      <c r="C4167" s="1" t="n">
        <v>45797</v>
      </c>
      <c r="D4167" t="inlineStr">
        <is>
          <t>ÖREBRO LÄN</t>
        </is>
      </c>
      <c r="E4167" t="inlineStr">
        <is>
          <t>NORA</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59560-2022</t>
        </is>
      </c>
      <c r="B4168" s="1" t="n">
        <v>44907</v>
      </c>
      <c r="C4168" s="1" t="n">
        <v>45797</v>
      </c>
      <c r="D4168" t="inlineStr">
        <is>
          <t>ÖREBRO LÄN</t>
        </is>
      </c>
      <c r="E4168" t="inlineStr">
        <is>
          <t>ASKERSUND</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59562-2022</t>
        </is>
      </c>
      <c r="B4169" s="1" t="n">
        <v>44907</v>
      </c>
      <c r="C4169" s="1" t="n">
        <v>45797</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59723-2022</t>
        </is>
      </c>
      <c r="B4170" s="1" t="n">
        <v>44908</v>
      </c>
      <c r="C4170" s="1" t="n">
        <v>45797</v>
      </c>
      <c r="D4170" t="inlineStr">
        <is>
          <t>ÖREBRO LÄN</t>
        </is>
      </c>
      <c r="E4170" t="inlineStr">
        <is>
          <t>LINDESBERG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59766-2022</t>
        </is>
      </c>
      <c r="B4171" s="1" t="n">
        <v>44908</v>
      </c>
      <c r="C4171" s="1" t="n">
        <v>45797</v>
      </c>
      <c r="D4171" t="inlineStr">
        <is>
          <t>ÖREBRO LÄN</t>
        </is>
      </c>
      <c r="E4171" t="inlineStr">
        <is>
          <t>LINDESBERG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59657-2022</t>
        </is>
      </c>
      <c r="B4172" s="1" t="n">
        <v>44908</v>
      </c>
      <c r="C4172" s="1" t="n">
        <v>45797</v>
      </c>
      <c r="D4172" t="inlineStr">
        <is>
          <t>ÖREBRO LÄN</t>
        </is>
      </c>
      <c r="E4172" t="inlineStr">
        <is>
          <t>LAXÅ</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45797</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45797</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45797</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45797</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45797</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45797</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45797</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45797</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45797</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45797</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45797</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45797</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45797</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45797</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45797</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45797</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45797</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45797</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45797</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45797</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45797</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45797</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45797</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45797</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45797</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45797</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45797</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45797</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45797</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45797</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45797</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45797</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45797</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45797</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45797</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45797</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45797</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45797</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45797</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45797</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45797</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45797</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45797</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45797</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45797</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45797</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45797</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45797</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45797</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45797</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45797</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45797</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45797</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45797</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45797</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45797</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45797</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45797</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45797</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45797</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45797</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45797</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45797</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45797</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45797</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45797</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45797</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45797</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45797</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45797</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45797</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45797</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45797</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45797</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45797</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45797</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45797</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45797</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45797</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45797</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45797</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45797</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45797</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45797</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45797</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45797</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45797</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45797</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45797</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45797</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45797</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45797</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45797</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45797</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45797</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45797</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45797</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45797</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45797</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45797</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45797</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45797</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45797</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45797</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45797</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45797</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45797</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45797</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45797</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45797</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45797</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45797</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45797</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45797</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45797</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45797</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45797</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45797</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45797</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45797</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45797</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45797</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45797</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45797</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45797</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45797</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45797</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45797</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45797</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45797</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45797</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45797</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45797</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45797</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45797</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45797</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45797</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45797</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45797</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45797</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45797</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45797</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45797</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45797</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45797</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45797</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45797</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45797</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45797</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45797</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45797</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45797</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45797</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45797</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45797</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45797</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45797</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45797</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45797</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45797</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45797</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45797</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45797</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45797</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45797</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45797</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45797</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45797</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45797</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45797</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45797</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45797</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45797</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45797</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45797</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45797</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45797</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45797</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45797</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45797</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45797</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45797</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45797</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45797</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45797</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45797</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45797</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45797</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45797</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45797</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45797</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45797</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45797</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45797</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45797</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45797</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45797</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45797</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45797</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45797</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45797</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45797</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45797</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45797</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45797</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45797</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45797</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45797</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45797</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45797</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45797</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45797</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45797</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45797</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45797</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45797</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45797</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45797</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45797</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45797</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45797</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45797</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45797</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45797</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45797</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45797</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45797</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45797</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45797</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45797</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45797</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45797</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45797</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45797</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45797</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45797</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45797</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45797</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45797</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45797</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45797</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45797</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45797</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45797</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45797</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45797</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45797</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45797</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45797</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45797</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45797</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45797</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45797</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45797</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45797</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45797</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45797</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45797</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45797</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45797</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45797</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45797</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45797</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45797</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45797</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45797</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45797</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45797</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45797</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45797</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45797</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45797</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45797</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45797</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45797</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45797</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45797</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45797</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45797</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45797</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45797</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45797</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45797</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45797</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45797</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45797</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45797</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45797</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45797</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45797</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45797</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45797</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45797</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45797</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45797</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45797</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45797</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45797</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45797</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45797</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45797</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45797</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45797</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45797</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45797</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45797</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45797</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45797</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45797</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45797</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45797</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45797</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45797</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45797</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45797</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45797</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45797</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45797</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45797</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45797</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45797</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45797</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45797</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45797</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45797</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45797</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45797</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45797</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45797</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45797</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45797</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45797</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45797</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45797</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45797</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45797</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45797</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45797</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45797</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45797</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45797</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45797</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45797</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45797</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45797</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45797</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45797</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45797</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45797</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45797</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45797</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45797</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45797</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45797</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45797</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45797</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45797</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45797</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45797</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45797</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45797</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45797</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45797</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45797</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45797</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45797</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45797</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45797</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45797</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45797</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45797</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45797</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45797</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45797</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45797</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45797</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45797</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45797</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45797</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45797</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45797</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45797</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45797</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45797</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45797</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45797</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45797</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45797</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45797</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45797</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45797</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45797</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45797</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45797</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45797</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45797</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45797</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45797</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45797</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45797</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45797</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45797</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45797</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45797</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45797</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45797</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45797</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45797</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45797</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45797</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45797</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45797</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45797</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45797</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45797</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45797</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45797</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45797</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45797</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45797</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45797</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45797</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45797</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45797</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45797</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45797</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45797</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45797</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45797</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45797</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45797</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45797</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45797</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45797</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45797</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45797</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45797</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45797</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45797</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45797</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45797</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45797</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45797</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45797</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45797</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45797</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45797</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45797</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45797</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45797</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45797</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45797</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45797</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45797</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45797</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45797</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45797</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45797</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45797</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45797</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45797</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45797</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45797</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45797</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45797</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45797</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45797</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45797</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45797</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45797</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45797</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45797</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45797</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45797</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45797</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45797</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45797</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45797</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45797</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45797</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45797</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45797</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45797</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45797</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45797</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45797</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45797</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45797</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45797</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45797</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45797</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45797</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45797</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45797</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45797</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45797</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45797</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45797</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45797</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45797</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45797</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45797</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45797</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45797</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45797</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45797</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45797</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45797</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45797</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45797</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45797</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45797</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45797</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45797</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45797</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45797</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45797</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45797</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45797</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45797</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45797</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45797</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45797</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45797</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45797</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45797</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45797</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45797</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45797</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45797</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45797</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45797</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45797</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45797</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45797</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45797</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45797</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45797</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45797</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45797</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45797</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45797</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45797</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45797</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45797</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45797</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45797</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45797</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45797</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45797</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45797</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45797</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45797</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45797</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45797</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45797</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45797</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45797</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45797</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45797</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45797</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45797</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45797</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45797</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45797</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45797</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45797</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45797</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45797</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45797</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45797</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45797</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45797</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45797</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45797</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45797</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45797</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45797</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45797</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45797</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45797</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45797</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45797</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45797</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45797</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45797</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45797</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45797</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45797</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45797</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45797</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45797</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45797</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45797</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45797</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45797</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45797</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45797</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45797</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45797</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45797</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45797</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45797</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45797</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45797</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45797</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45797</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45797</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45797</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45797</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45797</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45797</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45797</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45797</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45797</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45797</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45797</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45797</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45797</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45797</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45797</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45797</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45797</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45797</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45797</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45797</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45797</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45797</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45797</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45797</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45797</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45797</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45797</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45797</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45797</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45797</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45797</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45797</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45797</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45797</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45797</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45797</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45797</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45797</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45797</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45797</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45797</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45797</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45797</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45797</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45797</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45797</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45797</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45797</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45797</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45797</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45797</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45797</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45797</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45797</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45797</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45797</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45797</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45797</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45797</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45797</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45797</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45797</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45797</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45797</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45797</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45797</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45797</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45797</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45797</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45797</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45797</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45797</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45797</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45797</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45797</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45797</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45797</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45797</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45797</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45797</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45797</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45797</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45797</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45797</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45797</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45797</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45797</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45797</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45797</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45797</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45797</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45797</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45797</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45797</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45797</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45797</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45797</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45797</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45797</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45797</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45797</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45797</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45797</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45797</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45797</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45797</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45797</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45797</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45797</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45797</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45797</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45797</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45797</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45797</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45797</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45797</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45797</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45797</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45797</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45797</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45797</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45797</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45797</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45797</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45797</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45797</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45797</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45797</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45797</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45797</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45797</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45797</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45797</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45797</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45797</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45797</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45797</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45797</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45797</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45797</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45797</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45797</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45797</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45797</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45797</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45797</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45797</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45797</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45797</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45797</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45797</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45797</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45797</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45797</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45797</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45797</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45797</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45797</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45797</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45797</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45797</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45797</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45797</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45797</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45797</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45797</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45797</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45797</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45797</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45797</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45797</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45797</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45797</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45797</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45797</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45797</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45797</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45797</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45797</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45797</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45797</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45797</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45797</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45797</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45797</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45797</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45797</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45797</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45797</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45797</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45797</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45797</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45797</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45797</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45797</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45797</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45797</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45797</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45797</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45797</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45797</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45797</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45797</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45797</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45797</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45797</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45797</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45797</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45797</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45797</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45797</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45797</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45797</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45797</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45797</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45797</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45797</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45797</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45797</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45797</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45797</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45797</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45797</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45797</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45797</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45797</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45797</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45797</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45797</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45797</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45797</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45797</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45797</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45797</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45797</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45797</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45797</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45797</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45797</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45797</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45797</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45797</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45797</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45797</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45797</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45797</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45797</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45797</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45797</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45797</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45797</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45797</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45797</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45797</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45797</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45797</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45797</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45797</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45797</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45797</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45797</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45797</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45797</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45797</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45797</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45797</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45797</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45797</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45797</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45797</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45797</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45797</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45797</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45797</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45797</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45797</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45797</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45797</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45797</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45797</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45797</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45797</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45797</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45797</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45797</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45797</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45797</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45797</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45797</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45797</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45797</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45797</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45797</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45797</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45797</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45797</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45797</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45797</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45797</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45797</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45797</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45797</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45797</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45797</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45797</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45797</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45797</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45797</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45797</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45797</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45797</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45797</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45797</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45797</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45797</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45797</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45797</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45797</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45797</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45797</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45797</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45797</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45797</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45797</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45797</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45797</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45797</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45797</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45797</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45797</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45797</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45797</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45797</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45797</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45797</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45797</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45797</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45797</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45797</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45797</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45797</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45797</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45797</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45797</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45797</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45797</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45797</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45797</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45797</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45797</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45797</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45797</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45797</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45797</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45797</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45797</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45797</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45797</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45797</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45797</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45797</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45797</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45797</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45797</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45797</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45797</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45797</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45797</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45797</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45797</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45797</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45797</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45797</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45797</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45797</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45797</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45797</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45797</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45797</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45797</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45797</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45797</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45797</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45797</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45797</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45797</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45797</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45797</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45797</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45797</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45797</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45797</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45797</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45797</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45797</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45797</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45797</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45797</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45797</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45797</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45797</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45797</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45797</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45797</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45797</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45797</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45797</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45797</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45797</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45797</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45797</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45797</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45797</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45797</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45797</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45797</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45797</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45797</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45797</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45797</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45797</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45797</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45797</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45797</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45797</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45797</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45797</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45797</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45797</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45797</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45797</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45797</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45797</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45797</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45797</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45797</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45797</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45797</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45797</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45797</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45797</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45797</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45797</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45797</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45797</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45797</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45797</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45797</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45797</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45797</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45797</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45797</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45797</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45797</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45797</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45797</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45797</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45797</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45797</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45797</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45797</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45797</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45797</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45797</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45797</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45797</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45797</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45797</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45797</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45797</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45797</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45797</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45797</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45797</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45797</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45797</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45797</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45797</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45797</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45797</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45797</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45797</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45797</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45797</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45797</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45797</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45797</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45797</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45797</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45797</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45797</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45797</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45797</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45797</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45797</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45797</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45797</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45797</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45797</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45797</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45797</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45797</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45797</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45797</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45797</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45797</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45797</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45797</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45797</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45797</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45797</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45797</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45797</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45797</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45797</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45797</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45797</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45797</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45797</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45797</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45797</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45797</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45797</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45797</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45797</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45797</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45797</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45797</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45797</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45797</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45797</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45797</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45797</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45797</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45797</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45797</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45797</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45797</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45797</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45797</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45797</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45797</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45797</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45797</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45797</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45797</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45797</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45797</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45797</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45797</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45797</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45797</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45797</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45797</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45797</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45797</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45797</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45797</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45797</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45797</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45797</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45797</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45797</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45797</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45797</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45797</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45797</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45797</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45797</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45797</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45797</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45797</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45797</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45797</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45797</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45797</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45797</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45797</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45797</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45797</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45797</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45797</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45797</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45797</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45797</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45797</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45797</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45797</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45797</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45797</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45797</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45797</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45797</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45797</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45797</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45797</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45797</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45797</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45797</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45797</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45797</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45797</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45797</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45797</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45797</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45797</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45797</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45797</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45797</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45797</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45797</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45797</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45797</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45797</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45797</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45797</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45797</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45797</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45797</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45797</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45797</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45797</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45797</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45797</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45797</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45797</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45797</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45797</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45797</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45797</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45797</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45797</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45797</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45797</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45797</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45797</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45797</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45797</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45797</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45797</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45797</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45797</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45797</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45797</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45797</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45797</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45797</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45797</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45797</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45797</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45797</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45797</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45797</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45797</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45797</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45797</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45797</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45797</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45797</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45797</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45797</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45797</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45797</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45797</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45797</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45797</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45797</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45797</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45797</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45797</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45797</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45797</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45797</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45797</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45797</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45797</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45797</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45797</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45797</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45797</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45797</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45797</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45797</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45797</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45797</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45797</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45797</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45797</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45797</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45797</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45797</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45797</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45797</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45797</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45797</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45797</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45797</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45797</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45797</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45797</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45797</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45797</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45797</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45797</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45797</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45797</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45797</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45797</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45797</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45797</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45797</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45797</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45797</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45797</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45797</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45797</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45797</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45797</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45797</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45797</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45797</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45797</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45797</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45797</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45797</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45797</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45797</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45797</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45797</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45797</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45797</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45797</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45797</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45797</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45797</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45797</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45797</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45797</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45797</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45797</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45797</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45797</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45797</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45797</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45797</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45797</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45797</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45797</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45797</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45797</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45797</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45797</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45797</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45797</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45797</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45797</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45797</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45797</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45797</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45797</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45797</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45797</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45797</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45797</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45797</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45797</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45797</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45797</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45797</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45797</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45797</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45797</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45797</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45797</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45797</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45797</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45797</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45797</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45797</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45797</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45797</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45797</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45797</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45797</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45797</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45797</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45797</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45797</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45797</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45797</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45797</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45797</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45797</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45797</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45797</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45797</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45797</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45797</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45797</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45797</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45797</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45797</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45797</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45797</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45797</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45797</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45797</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45797</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45797</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45797</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45797</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45797</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45797</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45797</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45797</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45797</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45797</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45797</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45797</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45797</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45797</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45797</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45797</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45797</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45797</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45797</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45797</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45797</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45797</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45797</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45797</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45797</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45797</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45797</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45797</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45797</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45797</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45797</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45797</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45797</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45797</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45797</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45797</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45797</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45797</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45797</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45797</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45797</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45797</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45797</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45797</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45797</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45797</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45797</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45797</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45797</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45797</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45797</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45797</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45797</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45797</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45797</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45797</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45797</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45797</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45797</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45797</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45797</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45797</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45797</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45797</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45797</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45797</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45797</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45797</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45797</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45797</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45797</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45797</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45797</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45797</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45797</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45797</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45797</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45797</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45797</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45797</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45797</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45797</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45797</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45797</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45797</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45797</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45797</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45797</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45797</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45797</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45797</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45797</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45797</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45797</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45797</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45797</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45797</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45797</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45797</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45797</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45797</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45797</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45797</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45797</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45797</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45797</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45797</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45797</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45797</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45797</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45797</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45797</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45797</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45797</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45797</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45797</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45797</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45797</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45797</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45797</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45797</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45797</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45797</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45797</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45797</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45797</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45797</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45797</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45797</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45797</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45797</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45797</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45797</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45797</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45797</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45797</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45797</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45797</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45797</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45797</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45797</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45797</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45797</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45797</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45797</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45797</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45797</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45797</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45797</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45797</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45797</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45797</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45797</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45797</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45797</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45797</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45797</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45797</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45797</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45797</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45797</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45797</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45797</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45797</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45797</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45797</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45797</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45797</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45797</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45797</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45797</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45797</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45797</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45797</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45797</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45797</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45797</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45797</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45797</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45797</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45797</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45797</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45797</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45797</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45797</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45797</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45797</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45797</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45797</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45797</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45797</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45797</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45797</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45797</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45797</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45797</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45797</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45797</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45797</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45797</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45797</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45797</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45797</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45797</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45797</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45797</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45797</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45797</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45797</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45797</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45797</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45797</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45797</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45797</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45797</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45797</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45797</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45797</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45797</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45797</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45797</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45797</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45797</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45797</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45797</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45797</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45797</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45797</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45797</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45797</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45797</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45797</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45797</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45797</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45797</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45797</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45797</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45797</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45797</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45797</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45797</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45797</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45797</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45797</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45797</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45797</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45797</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45797</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45797</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45797</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45797</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45797</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45797</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45797</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45797</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45797</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45797</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45797</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45797</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45797</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45797</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45797</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45797</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45797</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45797</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45797</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45797</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45797</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45797</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45797</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45797</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45797</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45797</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45797</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45797</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45797</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45797</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45797</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45797</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45797</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45797</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45797</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45797</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45797</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45797</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45797</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45797</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45797</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45797</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45797</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45797</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45797</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45797</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45797</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45797</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45797</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45797</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45797</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45797</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45797</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45797</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45797</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45797</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45797</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45797</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45797</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45797</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45797</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45797</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45797</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45797</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45797</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45797</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45797</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45797</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45797</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45797</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45797</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45797</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45797</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45797</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45797</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45797</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45797</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45797</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45797</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45797</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45797</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45797</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45797</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45797</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45797</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45797</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45797</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45797</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45797</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45797</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45797</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45797</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45797</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45797</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45797</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45797</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45797</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45797</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45797</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45797</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45797</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45797</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45797</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45797</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45797</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45797</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45797</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45797</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45797</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45797</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45797</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45797</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45797</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45797</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45797</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45797</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45797</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45797</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45797</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45797</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45797</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45797</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45797</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45797</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45797</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45797</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45797</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45797</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45797</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45797</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45797</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45797</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45797</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45797</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45797</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45797</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45797</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45797</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45797</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45797</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45797</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45797</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45797</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45797</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45797</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45797</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45797</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45797</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45797</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45797</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45797</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45797</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45797</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45797</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45797</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45797</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45797</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45797</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45797</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45797</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45797</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45797</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45797</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45797</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45797</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45797</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45797</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45797</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45797</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45797</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45797</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45797</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45797</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45797</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45797</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45797</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45797</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45797</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45797</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45797</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45797</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45797</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45797</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45797</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45797</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45797</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45797</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45797</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45797</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45797</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45797</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45797</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45797</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45797</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45797</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45797</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45797</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45797</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45797</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45797</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45797</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45797</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45797</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45797</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45797</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45797</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45797</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45797</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45797</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45797</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45797</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45797</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45797</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45797</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45797</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45797</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45797</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45797</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45797</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45797</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45797</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45797</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45797</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45797</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45797</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45797</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45797</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45797</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45797</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45797</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45797</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45797</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45797</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45797</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45797</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45797</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45797</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45797</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45797</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45797</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45797</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45797</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45797</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45797</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45797</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45797</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45797</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45797</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45797</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45797</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45797</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45797</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45797</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45797</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45797</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45797</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45797</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45797</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45797</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45797</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45797</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45797</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45797</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45797</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45797</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45797</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45797</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45797</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45797</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45797</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45797</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45797</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45797</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45797</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45797</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45797</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45797</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45797</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45797</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45797</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45797</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45797</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45797</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45797</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45797</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45797</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45797</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45797</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45797</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45797</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45797</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45797</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45797</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45797</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45797</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45797</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45797</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45797</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45797</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45797</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45797</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45797</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45797</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45797</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45797</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45797</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45797</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45797</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45797</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45797</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45797</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45797</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45797</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45797</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45797</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45797</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45797</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45797</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45797</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45797</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45797</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45797</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45797</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45797</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45797</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45797</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45797</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45797</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45797</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45797</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45797</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45797</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45797</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45797</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45797</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45797</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45797</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45797</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45797</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45797</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45797</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45797</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45797</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45797</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45797</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45797</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45797</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45797</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45797</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45797</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45797</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45797</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45797</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45797</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45797</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45797</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45797</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45797</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45797</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45797</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45797</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45797</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45797</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45797</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45797</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45797</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45797</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45797</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45797</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45797</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45797</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45797</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45797</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45797</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45797</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45797</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45797</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45797</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45797</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45797</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45797</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45797</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45797</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45797</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45797</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45797</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45797</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45797</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45797</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45797</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45797</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45797</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45797</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45797</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45797</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45797</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45797</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45797</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45797</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45797</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45797</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45797</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45797</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45797</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45797</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45797</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45797</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45797</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45797</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45797</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45797</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45797</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45797</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45797</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45797</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45797</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45797</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45797</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45797</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45797</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45797</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45797</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45797</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45797</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45797</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45797</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45797</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45797</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45797</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45797</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45797</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45797</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45797</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45797</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45797</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45797</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45797</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45797</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45797</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45797</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45797</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45797</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45797</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45797</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45797</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45797</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45797</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45797</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45797</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45797</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45797</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45797</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45797</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45797</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45797</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45797</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45797</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45797</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45797</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45797</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45797</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45797</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45797</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45797</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45797</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45797</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45797</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45797</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45797</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45797</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45797</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45797</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45797</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45797</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45797</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45797</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45797</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45797</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45797</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45797</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45797</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45797</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45797</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45797</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45797</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45797</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45797</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45797</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45797</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45797</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45797</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45797</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45797</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45797</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45797</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45797</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45797</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45797</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45797</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45797</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45797</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45797</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45797</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45797</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45797</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45797</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45797</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45797</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45797</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45797</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45797</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45797</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45797</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45797</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45797</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45797</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45797</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45797</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45797</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45797</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45797</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45797</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45797</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45797</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45797</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45797</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45797</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45797</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45797</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45797</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45797</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45797</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45797</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45797</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45797</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45797</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45797</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45797</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45797</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45797</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45797</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45797</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45797</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45797</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45797</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45797</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45797</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45797</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45797</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45797</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45797</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45797</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45797</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45797</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45797</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45797</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45797</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45797</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45797</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45797</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45797</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45797</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45797</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45797</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45797</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45797</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45797</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45797</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45797</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45797</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45797</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45797</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45797</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45797</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45797</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45797</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45797</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45797</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45797</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45797</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45797</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45797</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45797</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45797</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45797</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45797</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45797</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45797</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45797</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45797</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45797</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45797</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45797</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45797</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45797</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45797</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45797</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45797</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45797</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45797</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45797</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45797</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45797</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45797</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45797</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45797</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45797</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45797</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45797</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45797</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45797</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45797</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45797</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45797</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45797</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45797</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45797</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45797</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45797</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45797</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45797</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45797</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45797</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45797</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45797</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45797</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45797</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45797</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45797</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45797</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45797</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45797</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45797</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45797</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45797</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45797</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45797</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45797</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45797</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45797</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45797</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45797</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45797</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45797</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45797</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45797</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45797</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45797</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45797</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45797</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45797</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45797</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45797</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45797</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45797</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45797</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45797</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45797</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45797</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45797</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45797</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45797</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45797</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45797</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45797</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45797</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45797</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45797</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45797</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45797</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45797</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45797</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45797</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45797</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45797</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45797</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45797</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45797</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45797</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45797</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45797</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45797</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45797</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45797</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45797</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45797</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45797</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45797</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45797</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45797</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45797</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45797</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45797</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45797</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45797</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45797</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45797</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45797</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45797</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45797</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45797</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45797</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45797</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45797</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45797</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45797</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45797</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45797</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45797</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45797</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45797</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45797</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45797</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45797</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45797</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45797</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45797</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45797</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45797</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45797</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45797</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45797</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45797</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45797</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45797</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45797</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45797</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45797</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45797</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45797</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45797</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45797</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45797</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45797</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45797</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45797</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45797</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45797</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45797</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45797</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45797</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45797</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45797</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45797</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45797</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45797</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45797</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45797</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45797</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45797</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45797</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45797</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45797</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45797</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45797</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45797</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45797</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45797</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45797</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45797</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45797</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45797</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45797</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45797</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45797</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45797</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45797</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45797</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45797</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45797</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45797</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45797</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45797</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45797</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45797</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45797</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45797</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45797</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45797</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45797</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45797</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45797</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45797</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45797</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45797</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45797</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45797</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45797</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45797</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45797</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45797</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45797</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45797</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45797</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45797</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45797</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45797</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45797</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45797</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45797</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45797</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45797</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45797</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45797</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45797</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45797</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45797</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45797</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45797</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45797</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45797</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45797</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45797</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45797</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45797</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45797</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45797</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45797</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45797</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45797</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45797</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45797</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45797</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45797</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45797</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45797</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45797</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45797</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45797</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45797</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45797</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45797</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45797</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45797</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45797</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45797</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45797</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45797</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45797</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45797</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45797</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45797</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45797</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45797</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45797</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45797</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45797</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45797</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45797</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45797</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45797</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45797</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45797</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45797</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45797</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45797</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45797</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45797</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45797</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45797</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45797</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45797</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45797</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45797</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45797</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45797</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45797</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45797</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45797</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45797</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45797</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45797</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45797</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45797</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45797</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45797</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45797</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45797</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45797</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45797</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45797</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45797</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45797</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45797</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45797</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45797</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45797</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45797</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45797</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45797</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45797</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45797</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45797</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45797</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45797</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45797</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45797</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45797</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45797</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45797</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45797</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45797</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45797</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45797</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45797</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45797</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45797</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45797</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45797</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45797</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45797</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45797</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45797</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45797</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45797</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45797</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45797</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45797</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45797</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45797</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45797</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45797</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45797</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45797</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45797</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45797</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45797</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45797</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45797</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45797</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45797</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45797</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45797</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45797</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45797</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45797</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45797</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45797</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45797</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45797</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45797</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45797</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45797</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45797</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45797</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45797</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45797</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45797</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45797</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45797</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45797</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45797</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45797</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45797</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45797</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45797</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45797</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45797</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45797</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45797</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45797</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45797</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45797</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45797</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45797</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45797</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45797</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45797</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45797</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45797</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45797</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45797</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45797</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45797</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45797</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45797</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45797</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45797</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45797</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45797</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45797</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45797</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45797</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45797</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45797</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45797</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45797</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45797</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45797</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45797</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45797</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45797</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45797</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45797</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45797</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45797</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45797</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45797</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45797</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45797</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45797</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45797</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45797</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45797</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45797</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45797</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45797</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45797</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45797</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45797</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45797</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45797</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45797</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45797</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45797</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45797</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45797</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45797</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45797</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45797</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45797</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45797</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45797</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45797</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45797</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45797</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45797</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45797</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45797</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45797</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45797</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45797</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45797</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45797</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45797</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45797</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45797</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45797</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45797</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45797</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45797</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45797</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45797</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45797</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45797</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45797</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45797</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45797</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45797</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45797</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45797</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45797</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45797</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45797</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45797</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45797</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45797</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45797</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45797</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45797</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45797</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45797</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45797</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45797</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45797</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45797</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45797</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45797</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45797</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45797</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45797</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45797</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45797</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45797</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45797</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45797</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45797</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45797</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45797</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45797</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45797</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45797</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45797</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45797</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45797</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45797</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45797</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45797</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45797</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45797</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45797</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45797</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45797</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45797</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45797</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45797</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45797</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45797</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45797</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45797</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45797</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45797</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45797</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45797</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45797</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45797</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45797</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45797</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45797</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45797</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45797</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45797</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45797</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45797</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45797</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45797</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45797</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45797</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45797</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45797</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45797</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45797</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45797</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45797</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45797</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45797</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45797</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45797</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45797</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45797</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45797</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45797</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45797</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45797</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45797</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45797</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45797</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45797</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45797</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45797</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45797</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45797</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45797</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45797</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45797</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45797</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45797</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45797</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45797</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45797</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45797</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45797</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45797</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45797</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45797</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45797</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45797</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45797</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45797</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45797</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45797</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45797</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45797</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45797</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45797</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45797</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45797</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45797</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45797</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45797</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45797</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45797</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45797</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45797</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45797</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45797</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45797</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45797</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45797</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45797</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45797</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45797</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45797</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45797</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45797</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45797</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45797</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45797</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45797</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45797</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45797</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45797</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45797</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45797</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45797</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45797</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45797</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45797</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45797</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45797</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45797</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45797</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45797</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45797</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45797</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45797</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45797</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45797</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45797</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45797</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45797</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45797</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45797</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45797</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45797</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45797</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45797</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45797</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45797</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45797</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45797</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45797</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45797</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45797</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45797</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45797</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45797</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45797</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45797</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45797</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45797</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45797</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45797</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45797</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45797</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45797</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45797</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45797</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45797</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45797</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45797</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45797</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45797</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45797</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45797</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45797</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45797</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45797</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45797</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45797</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45797</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45797</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45797</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45797</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45797</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45797</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45797</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45797</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45797</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45797</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45797</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45797</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45797</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45797</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45797</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45797</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45797</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45797</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45797</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45797</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45797</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45797</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45797</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45797</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45797</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45797</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45797</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45797</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45797</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45797</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45797</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45797</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45797</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45797</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45797</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45797</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45797</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45797</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45797</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45797</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45797</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45797</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45797</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45797</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45797</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45797</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45797</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45797</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45797</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45797</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45797</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45797</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45797</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45797</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45797</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45797</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45797</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45797</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45797</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45797</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45797</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45797</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45797</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45797</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45797</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45797</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45797</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45797</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45797</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45797</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45797</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45797</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45797</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45797</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45797</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45797</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45797</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45797</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45797</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45797</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45797</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45797</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45797</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45797</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45797</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45797</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45797</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45797</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45797</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45797</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45797</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45797</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45797</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45797</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45797</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45797</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45797</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45797</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45797</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45797</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45797</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45797</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45797</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45797</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45797</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45797</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45797</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45797</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45797</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45797</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45797</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45797</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45797</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45797</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45797</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45797</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45797</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45797</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45797</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45797</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45797</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45797</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45797</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45797</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45797</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45797</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45797</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45797</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45797</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45797</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45797</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45797</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45797</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45797</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45797</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45797</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45797</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45797</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45797</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45797</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45797</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45797</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45797</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45797</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45797</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45797</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45797</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45797</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45797</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45797</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45797</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45797</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45797</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45797</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45797</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45797</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45797</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45797</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45797</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45797</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45797</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45797</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45797</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45797</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45797</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45797</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45797</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45797</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45797</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45797</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45797</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45797</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45797</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45797</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45797</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45797</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45797</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45797</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45797</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45797</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45797</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45797</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45797</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45797</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45797</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45797</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45797</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45797</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45797</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45797</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45797</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45797</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45797</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45797</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45797</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45797</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45797</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45797</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45797</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45797</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45797</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45797</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45797</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45797</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45797</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45797</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45797</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45797</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45797</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45797</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45797</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45797</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45797</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45797</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45797</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45797</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45797</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45797</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45797</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45797</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45797</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45797</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45797</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45797</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45797</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45797</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45797</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45797</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45797</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45797</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45797</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45797</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45797</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45797</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45797</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45797</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45797</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45797</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45797</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45797</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45797</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45797</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45797</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45797</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45797</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45797</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45797</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45797</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45797</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45797</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45797</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45797</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45797</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45797</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45797</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45797</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45797</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45797</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45797</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45797</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45797</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45797</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45797</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45797</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45797</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45797</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45797</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45797</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45797</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45797</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45797</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45797</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45797</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45797</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45797</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45797</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45797</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45797</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45797</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45797</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45797</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45797</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45797</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45797</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45797</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45797</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45797</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45797</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45797</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45797</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45797</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45797</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45797</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45797</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45797</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45797</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45797</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45797</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45797</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45797</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45797</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45797</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45797</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45797</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45797</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45797</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45797</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45797</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45797</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45797</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45797</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45797</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45797</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45797</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45797</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45797</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45797</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45797</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45797</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45797</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45797</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45797</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45797</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45797</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45797</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45797</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45797</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45797</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45797</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45797</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45797</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45797</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45797</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45797</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45797</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45797</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45797</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45797</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45797</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45797</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45797</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45797</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45797</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45797</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45797</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45797</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45797</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45797</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45797</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45797</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45797</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45797</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45797</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45797</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45797</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45797</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45797</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45797</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45797</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45797</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45797</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45797</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45797</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45797</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45797</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45797</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45797</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45797</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45797</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45797</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45797</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45797</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45797</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45797</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45797</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45797</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45797</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45797</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45797</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45797</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45797</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45797</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45797</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45797</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45797</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45797</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45797</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45797</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45797</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45797</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45797</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45797</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45797</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45797</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45797</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45797</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45797</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45797</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45797</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45797</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45797</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45797</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45797</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45797</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45797</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45797</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45797</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45797</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45797</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45797</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45797</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45797</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45797</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45797</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45797</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45797</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45797</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45797</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45797</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45797</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45797</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45797</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45797</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45797</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45797</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45797</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45797</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45797</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45797</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45797</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45797</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45797</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45797</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45797</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45797</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45797</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45797</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45797</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45797</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45797</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45797</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45797</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45797</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45797</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45797</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45797</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45797</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45797</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45797</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45797</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45797</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45797</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45797</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45797</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45797</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45797</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45797</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45797</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45797</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45797</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45797</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45797</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45797</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45797</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45797</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45797</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45797</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45797</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45797</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45797</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45797</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45797</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45797</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45797</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45797</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45797</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45797</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45797</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45797</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45797</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45797</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45797</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45797</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45797</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45797</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45797</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45797</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45797</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45797</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45797</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45797</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45797</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45797</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45797</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45797</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45797</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45797</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45797</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45797</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45797</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45797</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45797</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45797</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45797</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45797</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45797</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45797</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45797</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45797</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45797</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45797</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45797</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45797</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45797</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45797</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45797</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45797</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45797</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45797</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45797</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45797</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45797</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45797</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45797</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45797</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45797</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45797</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45797</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45797</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45797</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45797</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45797</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45797</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45797</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45797</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45797</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45797</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45797</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45797</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45797</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45797</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45797</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45797</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45797</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45797</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45797</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45797</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45797</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45797</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45797</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45797</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45797</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45797</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45797</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45797</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45797</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45797</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45797</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45797</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45797</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45797</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45797</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45797</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45797</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45797</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45797</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45797</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45797</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45797</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45797</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45797</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45797</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45797</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45797</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45797</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45797</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45797</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45797</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45797</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45797</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45797</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45797</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45797</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45797</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45797</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45797</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45797</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45797</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45797</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45797</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45797</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45797</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45797</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45797</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45797</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45797</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45797</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45797</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45797</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45797</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45797</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45797</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45797</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45797</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45797</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45797</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45797</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45797</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45797</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45797</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45797</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45797</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45797</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45797</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45797</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45797</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45797</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45797</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45797</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45797</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45797</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45797</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45797</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45797</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45797</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45797</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45797</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45797</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45797</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45797</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45797</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45797</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45797</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45797</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45797</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45797</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45797</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45797</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45797</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45797</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45797</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45797</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45797</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45797</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45797</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45797</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45797</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45797</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45797</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45797</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45797</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45797</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45797</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45797</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45797</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45797</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45797</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45797</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45797</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45797</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45797</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45797</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45797</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45797</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45797</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45797</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45797</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45797</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45797</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45797</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45797</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45797</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45797</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45797</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45797</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45797</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45797</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45797</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45797</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45797</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45797</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45797</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45797</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45797</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45797</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45797</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45797</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45797</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45797</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45797</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45797</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45797</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45797</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45797</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45797</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45797</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45797</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45797</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45797</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45797</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45797</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45797</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45797</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45797</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45797</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45797</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45797</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45797</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45797</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45797</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45797</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45797</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45797</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45797</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45797</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45797</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45797</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45797</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45797</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45797</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45797</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45797</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45797</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45797</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45797</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45797</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45797</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45797</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45797</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45797</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45797</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45797</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45797</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45797</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45797</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45797</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45797</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45797</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45797</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45797</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45797</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45797</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45797</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45797</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45797</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45797</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45797</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45797</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45797</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45797</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45797</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45797</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45797</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45797</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45797</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45797</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45797</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45797</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45797</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45797</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45797</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45797</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45797</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45797</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45797</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45797</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45797</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45797</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45797</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45797</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45797</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45797</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45797</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45797</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45797</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45797</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45797</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45797</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45797</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45797</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45797</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45797</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45797</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45797</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45797</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45797</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45797</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45797</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45797</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45797</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45797</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45797</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45797</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45797</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45797</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45797</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45797</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45797</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45797</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45797</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45797</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45797</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45797</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45797</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45797</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45797</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45797</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45797</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45797</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45797</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45797</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45797</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45797</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45797</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45797</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45797</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45797</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45797</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45797</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45797</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45797</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45797</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45797</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45797</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45797</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45797</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45797</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45797</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45797</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45797</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45797</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45797</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45797</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45797</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45797</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45797</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45797</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45797</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45797</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45797</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45797</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45797</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45797</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45797</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45797</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45797</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45797</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45797</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45797</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45797</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45797</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45797</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45797</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45797</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45797</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45797</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45797</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45797</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45797</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45797</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45797</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45797</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45797</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45797</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45797</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45797</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45797</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45797</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45797</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45797</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45797</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45797</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45797</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45797</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45797</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45797</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45797</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45797</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45797</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45797</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45797</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45797</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45797</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45797</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45797</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45797</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45797</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45797</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45797</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45797</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45797</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45797</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45797</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45797</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45797</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45797</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45797</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45797</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45797</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45797</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45797</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45797</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45797</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45797</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45797</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45797</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45797</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45797</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45797</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45797</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45797</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45797</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45797</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45797</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45797</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45797</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45797</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45797</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45797</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45797</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45797</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45797</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45797</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45797</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45797</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45797</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45797</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45797</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45797</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45797</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45797</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45797</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45797</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45797</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45797</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45797</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45797</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45797</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45797</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45797</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45797</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45797</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45797</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45797</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45797</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45797</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45797</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45797</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45797</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45797</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45797</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45797</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45797</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45797</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45797</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45797</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45797</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45797</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45797</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45797</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45797</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45797</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45797</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45797</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45797</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45797</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45797</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45797</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45797</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45797</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45797</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45797</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45797</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45797</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45797</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45797</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45797</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45797</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45797</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45797</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45797</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45797</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45797</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45797</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45797</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45797</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45797</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45797</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45797</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45797</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45797</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45797</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45797</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45797</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45797</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45797</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45797</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45797</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45797</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45797</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45797</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45797</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45797</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45797</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45797</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45797</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45797</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45797</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45797</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45797</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45797</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45797</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45797</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45797</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45797</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45797</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45797</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45797</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45797</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45797</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45797</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45797</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45797</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45797</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45797</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45797</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45797</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45797</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45797</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45797</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45797</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45797</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45797</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45797</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45797</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45797</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45797</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45797</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45797</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45797</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45797</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45797</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45797</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45797</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45797</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45797</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45797</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45797</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45797</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45797</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45797</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45797</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45797</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45797</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45797</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45797</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45797</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45797</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45797</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45797</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45797</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45797</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45797</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45797</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45797</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45797</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45797</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45797</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45797</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45797</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45797</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45797</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45797</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45797</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45797</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45797</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45797</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45797</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45797</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45797</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45797</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45797</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45797</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45797</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45797</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45797</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45797</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45797</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45797</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45797</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45797</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45797</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45797</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45797</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45797</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45797</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45797</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45797</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45797</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45797</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45797</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45797</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45797</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45797</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45797</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45797</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45797</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45797</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45797</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45797</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45797</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45797</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45797</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45797</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45797</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45797</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45797</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45797</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45797</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45797</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45797</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45797</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45797</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45797</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45797</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45797</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45797</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45797</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45797</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45797</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45797</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45797</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45797</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45797</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45797</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45797</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45797</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45797</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45797</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45797</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45797</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45797</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45797</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45797</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45797</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45797</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45797</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45797</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45797</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45797</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45797</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45797</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45797</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45797</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45797</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45797</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45797</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45797</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45797</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45797</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45797</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45797</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45797</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45797</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45797</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45797</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45797</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45797</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45797</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45797</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45797</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45797</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45797</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45797</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45797</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45797</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45797</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45797</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45797</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45797</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45797</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45797</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45797</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45797</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45797</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45797</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45797</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45797</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45797</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45797</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45797</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45797</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45797</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45797</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45797</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45797</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45797</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45797</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45797</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45797</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45797</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45797</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45797</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45797</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45797</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45797</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45797</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45797</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45797</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45797</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45797</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45797</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45797</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45797</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45797</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45797</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45797</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45797</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45797</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45797</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45797</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45797</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45797</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45797</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45797</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45797</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45797</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45797</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45797</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45797</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45797</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45797</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45797</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45797</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45797</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45797</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45797</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45797</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45797</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45797</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45797</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45797</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45797</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45797</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45797</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45797</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45797</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45797</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45797</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45797</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45797</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45797</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45797</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45797</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45797</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45797</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45797</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45797</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45797</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45797</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45797</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45797</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45797</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45797</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45797</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45797</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45797</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45797</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45797</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45797</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45797</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45797</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45797</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45797</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45797</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45797</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45797</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45797</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45797</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45797</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45797</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45797</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45797</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45797</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45797</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45797</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45797</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45797</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45797</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45797</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45797</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45797</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45797</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45797</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45797</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45797</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45797</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45797</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45797</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45797</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45797</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45797</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45797</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45797</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45797</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45797</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45797</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45797</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45797</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45797</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45797</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45797</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45797</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45797</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45797</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45797</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45797</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45797</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45797</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45797</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45797</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45797</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45797</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45797</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45797</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45797</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45797</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45797</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45797</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45797</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45797</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45797</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45797</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45797</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45797</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45797</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45797</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45797</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45797</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45797</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45797</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45797</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45797</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45797</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45797</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45797</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45797</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45797</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45797</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45797</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45797</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45797</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45797</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45797</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45797</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45797</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45797</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45797</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45797</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45797</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45797</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45797</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45797</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45797</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45797</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45797</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45797</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45797</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45797</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45797</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45797</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45797</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45797</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45797</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45797</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45797</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45797</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45797</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45797</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45797</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45797</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45797</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45797</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45797</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45797</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45797</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45797</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45797</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45797</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45797</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45797</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45797</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45797</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45797</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45797</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45797</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45797</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45797</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45797</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45797</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45797</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45797</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45797</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45797</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45797</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45797</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45797</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45797</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45797</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45797</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45797</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45797</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45797</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45797</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45797</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45797</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45797</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45797</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45797</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45797</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45797</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45797</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45797</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45797</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45797</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45797</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45797</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45797</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45797</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45797</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45797</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45797</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45797</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45797</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45797</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45797</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45797</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45797</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45797</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45797</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45797</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45797</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45797</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45797</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45797</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45797</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45797</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45797</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45797</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45797</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45797</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45797</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45797</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45797</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45797</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45797</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45797</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45797</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19180-2025</t>
        </is>
      </c>
      <c r="B8541" s="1" t="n">
        <v>45769</v>
      </c>
      <c r="C8541" s="1" t="n">
        <v>45797</v>
      </c>
      <c r="D8541" t="inlineStr">
        <is>
          <t>ÖREBRO LÄN</t>
        </is>
      </c>
      <c r="E8541" t="inlineStr">
        <is>
          <t>ÖREBRO</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19178-2025</t>
        </is>
      </c>
      <c r="B8542" s="1" t="n">
        <v>45769</v>
      </c>
      <c r="C8542" s="1" t="n">
        <v>45797</v>
      </c>
      <c r="D8542" t="inlineStr">
        <is>
          <t>ÖREBRO LÄN</t>
        </is>
      </c>
      <c r="E8542" t="inlineStr">
        <is>
          <t>LEKEBERG</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19436-2025</t>
        </is>
      </c>
      <c r="B8543" s="1" t="n">
        <v>45770</v>
      </c>
      <c r="C8543" s="1" t="n">
        <v>45797</v>
      </c>
      <c r="D8543" t="inlineStr">
        <is>
          <t>ÖREBRO LÄN</t>
        </is>
      </c>
      <c r="E8543" t="inlineStr">
        <is>
          <t>LINDESBERG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19392-2025</t>
        </is>
      </c>
      <c r="B8544" s="1" t="n">
        <v>45769</v>
      </c>
      <c r="C8544" s="1" t="n">
        <v>45797</v>
      </c>
      <c r="D8544" t="inlineStr">
        <is>
          <t>ÖREBRO LÄN</t>
        </is>
      </c>
      <c r="E8544" t="inlineStr">
        <is>
          <t>LINDESBERG</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19437-2025</t>
        </is>
      </c>
      <c r="B8545" s="1" t="n">
        <v>45770</v>
      </c>
      <c r="C8545" s="1" t="n">
        <v>45797</v>
      </c>
      <c r="D8545" t="inlineStr">
        <is>
          <t>ÖREBRO LÄN</t>
        </is>
      </c>
      <c r="E8545" t="inlineStr">
        <is>
          <t>LINDESBERG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19128-2025</t>
        </is>
      </c>
      <c r="B8546" s="1" t="n">
        <v>45769</v>
      </c>
      <c r="C8546" s="1" t="n">
        <v>45797</v>
      </c>
      <c r="D8546" t="inlineStr">
        <is>
          <t>ÖREBRO LÄN</t>
        </is>
      </c>
      <c r="E8546" t="inlineStr">
        <is>
          <t>LINDESBERG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19245-2025</t>
        </is>
      </c>
      <c r="B8547" s="1" t="n">
        <v>45769</v>
      </c>
      <c r="C8547" s="1" t="n">
        <v>45797</v>
      </c>
      <c r="D8547" t="inlineStr">
        <is>
          <t>ÖREBRO LÄN</t>
        </is>
      </c>
      <c r="E8547" t="inlineStr">
        <is>
          <t>HÄLLEFORS</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19368-2025</t>
        </is>
      </c>
      <c r="B8548" s="1" t="n">
        <v>45769</v>
      </c>
      <c r="C8548" s="1" t="n">
        <v>45797</v>
      </c>
      <c r="D8548" t="inlineStr">
        <is>
          <t>ÖREBRO LÄN</t>
        </is>
      </c>
      <c r="E8548" t="inlineStr">
        <is>
          <t>LJUSNARSBERG</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45797</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45797</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45797</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45797</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45797</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45797</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45797</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19978-2025</t>
        </is>
      </c>
      <c r="B8556" s="1" t="n">
        <v>45771</v>
      </c>
      <c r="C8556" s="1" t="n">
        <v>45797</v>
      </c>
      <c r="D8556" t="inlineStr">
        <is>
          <t>ÖREBRO LÄN</t>
        </is>
      </c>
      <c r="E8556" t="inlineStr">
        <is>
          <t>ÖREBRO</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19807-2025</t>
        </is>
      </c>
      <c r="B8557" s="1" t="n">
        <v>45771</v>
      </c>
      <c r="C8557" s="1" t="n">
        <v>45797</v>
      </c>
      <c r="D8557" t="inlineStr">
        <is>
          <t>ÖREBRO LÄN</t>
        </is>
      </c>
      <c r="E8557" t="inlineStr">
        <is>
          <t>LAXÅ</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19732-2025</t>
        </is>
      </c>
      <c r="B8558" s="1" t="n">
        <v>45771</v>
      </c>
      <c r="C8558" s="1" t="n">
        <v>45797</v>
      </c>
      <c r="D8558" t="inlineStr">
        <is>
          <t>ÖREBRO LÄN</t>
        </is>
      </c>
      <c r="E8558" t="inlineStr">
        <is>
          <t>LJUSNARSBERG</t>
        </is>
      </c>
      <c r="F8558" t="inlineStr">
        <is>
          <t>Sveaskog</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19756-2025</t>
        </is>
      </c>
      <c r="B8559" s="1" t="n">
        <v>45771</v>
      </c>
      <c r="C8559" s="1" t="n">
        <v>45797</v>
      </c>
      <c r="D8559" t="inlineStr">
        <is>
          <t>ÖREBRO LÄN</t>
        </is>
      </c>
      <c r="E8559" t="inlineStr">
        <is>
          <t>KARLSKOGA</t>
        </is>
      </c>
      <c r="F8559" t="inlineStr">
        <is>
          <t>Sveaskog</t>
        </is>
      </c>
      <c r="G8559" t="n">
        <v>15.9</v>
      </c>
      <c r="H8559" t="n">
        <v>0</v>
      </c>
      <c r="I8559" t="n">
        <v>0</v>
      </c>
      <c r="J8559" t="n">
        <v>0</v>
      </c>
      <c r="K8559" t="n">
        <v>0</v>
      </c>
      <c r="L8559" t="n">
        <v>0</v>
      </c>
      <c r="M8559" t="n">
        <v>0</v>
      </c>
      <c r="N8559" t="n">
        <v>0</v>
      </c>
      <c r="O8559" t="n">
        <v>0</v>
      </c>
      <c r="P8559" t="n">
        <v>0</v>
      </c>
      <c r="Q8559" t="n">
        <v>0</v>
      </c>
      <c r="R8559" s="2" t="inlineStr"/>
    </row>
    <row r="8560" ht="15" customHeight="1">
      <c r="A8560" t="inlineStr">
        <is>
          <t>A 19820-2025</t>
        </is>
      </c>
      <c r="B8560" s="1" t="n">
        <v>45771</v>
      </c>
      <c r="C8560" s="1" t="n">
        <v>45797</v>
      </c>
      <c r="D8560" t="inlineStr">
        <is>
          <t>ÖREBRO LÄN</t>
        </is>
      </c>
      <c r="E8560" t="inlineStr">
        <is>
          <t>LAXÅ</t>
        </is>
      </c>
      <c r="F8560" t="inlineStr">
        <is>
          <t>Sveaskog</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19835-2025</t>
        </is>
      </c>
      <c r="B8561" s="1" t="n">
        <v>45771</v>
      </c>
      <c r="C8561" s="1" t="n">
        <v>45797</v>
      </c>
      <c r="D8561" t="inlineStr">
        <is>
          <t>ÖREBRO LÄN</t>
        </is>
      </c>
      <c r="E8561" t="inlineStr">
        <is>
          <t>LAXÅ</t>
        </is>
      </c>
      <c r="F8561" t="inlineStr">
        <is>
          <t>Sveaskog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45797</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45797</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45797</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45797</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45797</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20352-2025</t>
        </is>
      </c>
      <c r="B8567" s="1" t="n">
        <v>45775</v>
      </c>
      <c r="C8567" s="1" t="n">
        <v>45797</v>
      </c>
      <c r="D8567" t="inlineStr">
        <is>
          <t>ÖREBRO LÄN</t>
        </is>
      </c>
      <c r="E8567" t="inlineStr">
        <is>
          <t>HALLSBERG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20470-2025</t>
        </is>
      </c>
      <c r="B8568" s="1" t="n">
        <v>45775</v>
      </c>
      <c r="C8568" s="1" t="n">
        <v>45797</v>
      </c>
      <c r="D8568" t="inlineStr">
        <is>
          <t>ÖREBRO LÄN</t>
        </is>
      </c>
      <c r="E8568" t="inlineStr">
        <is>
          <t>KARLSKOGA</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45797</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20762-2025</t>
        </is>
      </c>
      <c r="B8570" s="1" t="n">
        <v>45776</v>
      </c>
      <c r="C8570" s="1" t="n">
        <v>45797</v>
      </c>
      <c r="D8570" t="inlineStr">
        <is>
          <t>ÖREBRO LÄN</t>
        </is>
      </c>
      <c r="E8570" t="inlineStr">
        <is>
          <t>HALLSBERG</t>
        </is>
      </c>
      <c r="F8570" t="inlineStr">
        <is>
          <t>Allmännings- och besparingsskogar</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45797</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20729-2025</t>
        </is>
      </c>
      <c r="B8572" s="1" t="n">
        <v>45776</v>
      </c>
      <c r="C8572" s="1" t="n">
        <v>45797</v>
      </c>
      <c r="D8572" t="inlineStr">
        <is>
          <t>ÖREBRO LÄN</t>
        </is>
      </c>
      <c r="E8572" t="inlineStr">
        <is>
          <t>HALLSBERG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20730-2025</t>
        </is>
      </c>
      <c r="B8573" s="1" t="n">
        <v>45776</v>
      </c>
      <c r="C8573" s="1" t="n">
        <v>45797</v>
      </c>
      <c r="D8573" t="inlineStr">
        <is>
          <t>ÖREBRO LÄN</t>
        </is>
      </c>
      <c r="E8573" t="inlineStr">
        <is>
          <t>HALLSBERG</t>
        </is>
      </c>
      <c r="F8573" t="inlineStr">
        <is>
          <t>Sveaskog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20804-2025</t>
        </is>
      </c>
      <c r="B8574" s="1" t="n">
        <v>45776</v>
      </c>
      <c r="C8574" s="1" t="n">
        <v>45797</v>
      </c>
      <c r="D8574" t="inlineStr">
        <is>
          <t>ÖREBRO LÄN</t>
        </is>
      </c>
      <c r="E8574" t="inlineStr">
        <is>
          <t>LINDESBERG</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20724-2025</t>
        </is>
      </c>
      <c r="B8575" s="1" t="n">
        <v>45776</v>
      </c>
      <c r="C8575" s="1" t="n">
        <v>45797</v>
      </c>
      <c r="D8575" t="inlineStr">
        <is>
          <t>ÖREBRO LÄN</t>
        </is>
      </c>
      <c r="E8575" t="inlineStr">
        <is>
          <t>HALLSBERG</t>
        </is>
      </c>
      <c r="F8575" t="inlineStr">
        <is>
          <t>Sveaskog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20673-2025</t>
        </is>
      </c>
      <c r="B8576" s="1" t="n">
        <v>45776</v>
      </c>
      <c r="C8576" s="1" t="n">
        <v>45797</v>
      </c>
      <c r="D8576" t="inlineStr">
        <is>
          <t>ÖREBRO LÄN</t>
        </is>
      </c>
      <c r="E8576" t="inlineStr">
        <is>
          <t>LJUSNARSBERG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20766-2025</t>
        </is>
      </c>
      <c r="B8577" s="1" t="n">
        <v>45776</v>
      </c>
      <c r="C8577" s="1" t="n">
        <v>45797</v>
      </c>
      <c r="D8577" t="inlineStr">
        <is>
          <t>ÖREBRO LÄN</t>
        </is>
      </c>
      <c r="E8577" t="inlineStr">
        <is>
          <t>HALLSBERG</t>
        </is>
      </c>
      <c r="F8577" t="inlineStr">
        <is>
          <t>Allmännings- och besparingsskogar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45797</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45797</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21099-2025</t>
        </is>
      </c>
      <c r="B8580" s="1" t="n">
        <v>45777</v>
      </c>
      <c r="C8580" s="1" t="n">
        <v>45797</v>
      </c>
      <c r="D8580" t="inlineStr">
        <is>
          <t>ÖREBRO LÄN</t>
        </is>
      </c>
      <c r="E8580" t="inlineStr">
        <is>
          <t>HÄLLEFORS</t>
        </is>
      </c>
      <c r="F8580" t="inlineStr">
        <is>
          <t>Kyrkan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21048-2025</t>
        </is>
      </c>
      <c r="B8581" s="1" t="n">
        <v>45777</v>
      </c>
      <c r="C8581" s="1" t="n">
        <v>45797</v>
      </c>
      <c r="D8581" t="inlineStr">
        <is>
          <t>ÖREBRO LÄN</t>
        </is>
      </c>
      <c r="E8581" t="inlineStr">
        <is>
          <t>ASKERSUND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21041-2025</t>
        </is>
      </c>
      <c r="B8582" s="1" t="n">
        <v>45777</v>
      </c>
      <c r="C8582" s="1" t="n">
        <v>45797</v>
      </c>
      <c r="D8582" t="inlineStr">
        <is>
          <t>ÖREBRO LÄN</t>
        </is>
      </c>
      <c r="E8582" t="inlineStr">
        <is>
          <t>ASKERSUND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20922-2025</t>
        </is>
      </c>
      <c r="B8583" s="1" t="n">
        <v>45777</v>
      </c>
      <c r="C8583" s="1" t="n">
        <v>45797</v>
      </c>
      <c r="D8583" t="inlineStr">
        <is>
          <t>ÖREBRO LÄN</t>
        </is>
      </c>
      <c r="E8583" t="inlineStr">
        <is>
          <t>HALLSBERG</t>
        </is>
      </c>
      <c r="F8583" t="inlineStr">
        <is>
          <t>Sveaskog</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45797</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45797</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21050-2025</t>
        </is>
      </c>
      <c r="B8586" s="1" t="n">
        <v>45777</v>
      </c>
      <c r="C8586" s="1" t="n">
        <v>45797</v>
      </c>
      <c r="D8586" t="inlineStr">
        <is>
          <t>ÖREBRO LÄN</t>
        </is>
      </c>
      <c r="E8586" t="inlineStr">
        <is>
          <t>HÄLLEFORS</t>
        </is>
      </c>
      <c r="F8586" t="inlineStr">
        <is>
          <t>Kyrkan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20944-2025</t>
        </is>
      </c>
      <c r="B8587" s="1" t="n">
        <v>45777</v>
      </c>
      <c r="C8587" s="1" t="n">
        <v>45797</v>
      </c>
      <c r="D8587" t="inlineStr">
        <is>
          <t>ÖREBRO LÄN</t>
        </is>
      </c>
      <c r="E8587" t="inlineStr">
        <is>
          <t>LINDESBERG</t>
        </is>
      </c>
      <c r="F8587" t="inlineStr">
        <is>
          <t>Sveaskog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20950-2025</t>
        </is>
      </c>
      <c r="B8588" s="1" t="n">
        <v>45777</v>
      </c>
      <c r="C8588" s="1" t="n">
        <v>45797</v>
      </c>
      <c r="D8588" t="inlineStr">
        <is>
          <t>ÖREBRO LÄN</t>
        </is>
      </c>
      <c r="E8588" t="inlineStr">
        <is>
          <t>LINDESBERG</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21105-2025</t>
        </is>
      </c>
      <c r="B8589" s="1" t="n">
        <v>45777</v>
      </c>
      <c r="C8589" s="1" t="n">
        <v>45797</v>
      </c>
      <c r="D8589" t="inlineStr">
        <is>
          <t>ÖREBRO LÄN</t>
        </is>
      </c>
      <c r="E8589" t="inlineStr">
        <is>
          <t>KARLSKOGA</t>
        </is>
      </c>
      <c r="F8589" t="inlineStr">
        <is>
          <t>Sveaskog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45797</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45797</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45797</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45797</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45797</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21474-2025</t>
        </is>
      </c>
      <c r="B8595" s="1" t="n">
        <v>45782</v>
      </c>
      <c r="C8595" s="1" t="n">
        <v>45797</v>
      </c>
      <c r="D8595" t="inlineStr">
        <is>
          <t>ÖREBRO LÄN</t>
        </is>
      </c>
      <c r="E8595" t="inlineStr">
        <is>
          <t>LAXÅ</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21578-2025</t>
        </is>
      </c>
      <c r="B8596" s="1" t="n">
        <v>45782</v>
      </c>
      <c r="C8596" s="1" t="n">
        <v>45797</v>
      </c>
      <c r="D8596" t="inlineStr">
        <is>
          <t>ÖREBRO LÄN</t>
        </is>
      </c>
      <c r="E8596" t="inlineStr">
        <is>
          <t>ÖREBRO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21812-2025</t>
        </is>
      </c>
      <c r="B8597" s="1" t="n">
        <v>45783</v>
      </c>
      <c r="C8597" s="1" t="n">
        <v>45797</v>
      </c>
      <c r="D8597" t="inlineStr">
        <is>
          <t>ÖREBRO LÄN</t>
        </is>
      </c>
      <c r="E8597" t="inlineStr">
        <is>
          <t>LINDESBERG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21811-2025</t>
        </is>
      </c>
      <c r="B8598" s="1" t="n">
        <v>45783</v>
      </c>
      <c r="C8598" s="1" t="n">
        <v>45797</v>
      </c>
      <c r="D8598" t="inlineStr">
        <is>
          <t>ÖREBRO LÄN</t>
        </is>
      </c>
      <c r="E8598" t="inlineStr">
        <is>
          <t>LINDESBERG</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21845-2025</t>
        </is>
      </c>
      <c r="B8599" s="1" t="n">
        <v>45784</v>
      </c>
      <c r="C8599" s="1" t="n">
        <v>45797</v>
      </c>
      <c r="D8599" t="inlineStr">
        <is>
          <t>ÖREBRO LÄN</t>
        </is>
      </c>
      <c r="E8599" t="inlineStr">
        <is>
          <t>KARLSKOGA</t>
        </is>
      </c>
      <c r="F8599" t="inlineStr">
        <is>
          <t>Sveaskog</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21846-2025</t>
        </is>
      </c>
      <c r="B8600" s="1" t="n">
        <v>45784</v>
      </c>
      <c r="C8600" s="1" t="n">
        <v>45797</v>
      </c>
      <c r="D8600" t="inlineStr">
        <is>
          <t>ÖREBRO LÄN</t>
        </is>
      </c>
      <c r="E8600" t="inlineStr">
        <is>
          <t>NORA</t>
        </is>
      </c>
      <c r="G8600" t="n">
        <v>14.6</v>
      </c>
      <c r="H8600" t="n">
        <v>0</v>
      </c>
      <c r="I8600" t="n">
        <v>0</v>
      </c>
      <c r="J8600" t="n">
        <v>0</v>
      </c>
      <c r="K8600" t="n">
        <v>0</v>
      </c>
      <c r="L8600" t="n">
        <v>0</v>
      </c>
      <c r="M8600" t="n">
        <v>0</v>
      </c>
      <c r="N8600" t="n">
        <v>0</v>
      </c>
      <c r="O8600" t="n">
        <v>0</v>
      </c>
      <c r="P8600" t="n">
        <v>0</v>
      </c>
      <c r="Q8600" t="n">
        <v>0</v>
      </c>
      <c r="R8600" s="2" t="inlineStr"/>
    </row>
    <row r="8601" ht="15" customHeight="1">
      <c r="A8601" t="inlineStr">
        <is>
          <t>A 21853-2025</t>
        </is>
      </c>
      <c r="B8601" s="1" t="n">
        <v>45784</v>
      </c>
      <c r="C8601" s="1" t="n">
        <v>45797</v>
      </c>
      <c r="D8601" t="inlineStr">
        <is>
          <t>ÖREBRO LÄN</t>
        </is>
      </c>
      <c r="E8601" t="inlineStr">
        <is>
          <t>HÄLLEFORS</t>
        </is>
      </c>
      <c r="G8601" t="n">
        <v>23.4</v>
      </c>
      <c r="H8601" t="n">
        <v>0</v>
      </c>
      <c r="I8601" t="n">
        <v>0</v>
      </c>
      <c r="J8601" t="n">
        <v>0</v>
      </c>
      <c r="K8601" t="n">
        <v>0</v>
      </c>
      <c r="L8601" t="n">
        <v>0</v>
      </c>
      <c r="M8601" t="n">
        <v>0</v>
      </c>
      <c r="N8601" t="n">
        <v>0</v>
      </c>
      <c r="O8601" t="n">
        <v>0</v>
      </c>
      <c r="P8601" t="n">
        <v>0</v>
      </c>
      <c r="Q8601" t="n">
        <v>0</v>
      </c>
      <c r="R8601" s="2" t="inlineStr"/>
    </row>
    <row r="8602" ht="15" customHeight="1">
      <c r="A8602" t="inlineStr">
        <is>
          <t>A 21852-2025</t>
        </is>
      </c>
      <c r="B8602" s="1" t="n">
        <v>45784</v>
      </c>
      <c r="C8602" s="1" t="n">
        <v>45797</v>
      </c>
      <c r="D8602" t="inlineStr">
        <is>
          <t>ÖREBRO LÄN</t>
        </is>
      </c>
      <c r="E8602" t="inlineStr">
        <is>
          <t>HÄLLEFORS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45797</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22244-2025</t>
        </is>
      </c>
      <c r="B8604" s="1" t="n">
        <v>45785</v>
      </c>
      <c r="C8604" s="1" t="n">
        <v>45797</v>
      </c>
      <c r="D8604" t="inlineStr">
        <is>
          <t>ÖREBRO LÄN</t>
        </is>
      </c>
      <c r="E8604" t="inlineStr">
        <is>
          <t>KARLSKOGA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22078-2025</t>
        </is>
      </c>
      <c r="B8605" s="1" t="n">
        <v>45785</v>
      </c>
      <c r="C8605" s="1" t="n">
        <v>45797</v>
      </c>
      <c r="D8605" t="inlineStr">
        <is>
          <t>ÖREBRO LÄN</t>
        </is>
      </c>
      <c r="E8605" t="inlineStr">
        <is>
          <t>LINDESBERG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22104-2025</t>
        </is>
      </c>
      <c r="B8606" s="1" t="n">
        <v>45785</v>
      </c>
      <c r="C8606" s="1" t="n">
        <v>45797</v>
      </c>
      <c r="D8606" t="inlineStr">
        <is>
          <t>ÖREBRO LÄN</t>
        </is>
      </c>
      <c r="E8606" t="inlineStr">
        <is>
          <t>KARLSKOGA</t>
        </is>
      </c>
      <c r="F8606" t="inlineStr">
        <is>
          <t>Övriga Aktiebolag</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45797</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45797</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22382-2025</t>
        </is>
      </c>
      <c r="B8609" s="1" t="n">
        <v>45786</v>
      </c>
      <c r="C8609" s="1" t="n">
        <v>45797</v>
      </c>
      <c r="D8609" t="inlineStr">
        <is>
          <t>ÖREBRO LÄN</t>
        </is>
      </c>
      <c r="E8609" t="inlineStr">
        <is>
          <t>LAXÅ</t>
        </is>
      </c>
      <c r="F8609" t="inlineStr">
        <is>
          <t>Sveaskog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22381-2025</t>
        </is>
      </c>
      <c r="B8610" s="1" t="n">
        <v>45786</v>
      </c>
      <c r="C8610" s="1" t="n">
        <v>45797</v>
      </c>
      <c r="D8610" t="inlineStr">
        <is>
          <t>ÖREBRO LÄN</t>
        </is>
      </c>
      <c r="E8610" t="inlineStr">
        <is>
          <t>LAXÅ</t>
        </is>
      </c>
      <c r="F8610" t="inlineStr">
        <is>
          <t>Sveaskog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45797</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45797</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22805-2025</t>
        </is>
      </c>
      <c r="B8613" s="1" t="n">
        <v>45789</v>
      </c>
      <c r="C8613" s="1" t="n">
        <v>45797</v>
      </c>
      <c r="D8613" t="inlineStr">
        <is>
          <t>ÖREBRO LÄN</t>
        </is>
      </c>
      <c r="E8613" t="inlineStr">
        <is>
          <t>LEKEBERG</t>
        </is>
      </c>
      <c r="G8613" t="n">
        <v>7.7</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45797</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22755-2025</t>
        </is>
      </c>
      <c r="B8615" s="1" t="n">
        <v>45789</v>
      </c>
      <c r="C8615" s="1" t="n">
        <v>45797</v>
      </c>
      <c r="D8615" t="inlineStr">
        <is>
          <t>ÖREBRO LÄN</t>
        </is>
      </c>
      <c r="E8615" t="inlineStr">
        <is>
          <t>ÖREBRO</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22564-2025</t>
        </is>
      </c>
      <c r="B8616" s="1" t="n">
        <v>45789</v>
      </c>
      <c r="C8616" s="1" t="n">
        <v>45797</v>
      </c>
      <c r="D8616" t="inlineStr">
        <is>
          <t>ÖREBRO LÄN</t>
        </is>
      </c>
      <c r="E8616" t="inlineStr">
        <is>
          <t>LAXÅ</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45797</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45797</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22979-2025</t>
        </is>
      </c>
      <c r="B8619" s="1" t="n">
        <v>45790</v>
      </c>
      <c r="C8619" s="1" t="n">
        <v>45797</v>
      </c>
      <c r="D8619" t="inlineStr">
        <is>
          <t>ÖREBRO LÄN</t>
        </is>
      </c>
      <c r="E8619" t="inlineStr">
        <is>
          <t>ASKERSUND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23225-2025</t>
        </is>
      </c>
      <c r="B8620" s="1" t="n">
        <v>45791</v>
      </c>
      <c r="C8620" s="1" t="n">
        <v>45797</v>
      </c>
      <c r="D8620" t="inlineStr">
        <is>
          <t>ÖREBRO LÄN</t>
        </is>
      </c>
      <c r="E8620" t="inlineStr">
        <is>
          <t>KUMLA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23221-2025</t>
        </is>
      </c>
      <c r="B8621" s="1" t="n">
        <v>45791</v>
      </c>
      <c r="C8621" s="1" t="n">
        <v>45797</v>
      </c>
      <c r="D8621" t="inlineStr">
        <is>
          <t>ÖREBRO LÄN</t>
        </is>
      </c>
      <c r="E8621" t="inlineStr">
        <is>
          <t>KUMLA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23239-2025</t>
        </is>
      </c>
      <c r="B8622" s="1" t="n">
        <v>45791</v>
      </c>
      <c r="C8622" s="1" t="n">
        <v>45797</v>
      </c>
      <c r="D8622" t="inlineStr">
        <is>
          <t>ÖREBRO LÄN</t>
        </is>
      </c>
      <c r="E8622" t="inlineStr">
        <is>
          <t>LAXÅ</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23224-2025</t>
        </is>
      </c>
      <c r="B8623" s="1" t="n">
        <v>45791</v>
      </c>
      <c r="C8623" s="1" t="n">
        <v>45797</v>
      </c>
      <c r="D8623" t="inlineStr">
        <is>
          <t>ÖREBRO LÄN</t>
        </is>
      </c>
      <c r="E8623" t="inlineStr">
        <is>
          <t>LAXÅ</t>
        </is>
      </c>
      <c r="F8623" t="inlineStr">
        <is>
          <t>Sveaskog</t>
        </is>
      </c>
      <c r="G8623" t="n">
        <v>13.1</v>
      </c>
      <c r="H8623" t="n">
        <v>0</v>
      </c>
      <c r="I8623" t="n">
        <v>0</v>
      </c>
      <c r="J8623" t="n">
        <v>0</v>
      </c>
      <c r="K8623" t="n">
        <v>0</v>
      </c>
      <c r="L8623" t="n">
        <v>0</v>
      </c>
      <c r="M8623" t="n">
        <v>0</v>
      </c>
      <c r="N8623" t="n">
        <v>0</v>
      </c>
      <c r="O8623" t="n">
        <v>0</v>
      </c>
      <c r="P8623" t="n">
        <v>0</v>
      </c>
      <c r="Q8623" t="n">
        <v>0</v>
      </c>
      <c r="R8623" s="2" t="inlineStr"/>
    </row>
    <row r="8624" ht="15" customHeight="1">
      <c r="A8624" t="inlineStr">
        <is>
          <t>A 23245-2025</t>
        </is>
      </c>
      <c r="B8624" s="1" t="n">
        <v>45791</v>
      </c>
      <c r="C8624" s="1" t="n">
        <v>45797</v>
      </c>
      <c r="D8624" t="inlineStr">
        <is>
          <t>ÖREBRO LÄN</t>
        </is>
      </c>
      <c r="E8624" t="inlineStr">
        <is>
          <t>LINDESBERG</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23234-2025</t>
        </is>
      </c>
      <c r="B8625" s="1" t="n">
        <v>45791</v>
      </c>
      <c r="C8625" s="1" t="n">
        <v>45797</v>
      </c>
      <c r="D8625" t="inlineStr">
        <is>
          <t>ÖREBRO LÄN</t>
        </is>
      </c>
      <c r="E8625" t="inlineStr">
        <is>
          <t>LAXÅ</t>
        </is>
      </c>
      <c r="F8625" t="inlineStr">
        <is>
          <t>Sveaskog</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23233-2025</t>
        </is>
      </c>
      <c r="B8626" s="1" t="n">
        <v>45791</v>
      </c>
      <c r="C8626" s="1" t="n">
        <v>45797</v>
      </c>
      <c r="D8626" t="inlineStr">
        <is>
          <t>ÖREBRO LÄN</t>
        </is>
      </c>
      <c r="E8626" t="inlineStr">
        <is>
          <t>ASKERSUND</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45797</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45797</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45797</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23716-2025</t>
        </is>
      </c>
      <c r="B8630" s="1" t="n">
        <v>45793</v>
      </c>
      <c r="C8630" s="1" t="n">
        <v>45797</v>
      </c>
      <c r="D8630" t="inlineStr">
        <is>
          <t>ÖREBRO LÄN</t>
        </is>
      </c>
      <c r="E8630" t="inlineStr">
        <is>
          <t>KARLSKOGA</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23682-2025</t>
        </is>
      </c>
      <c r="B8631" s="1" t="n">
        <v>45793</v>
      </c>
      <c r="C8631" s="1" t="n">
        <v>45797</v>
      </c>
      <c r="D8631" t="inlineStr">
        <is>
          <t>ÖREBRO LÄN</t>
        </is>
      </c>
      <c r="E8631" t="inlineStr">
        <is>
          <t>DEGERFORS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23844-2025</t>
        </is>
      </c>
      <c r="B8632" s="1" t="n">
        <v>45793</v>
      </c>
      <c r="C8632" s="1" t="n">
        <v>45797</v>
      </c>
      <c r="D8632" t="inlineStr">
        <is>
          <t>ÖREBRO LÄN</t>
        </is>
      </c>
      <c r="E8632" t="inlineStr">
        <is>
          <t>LINDESBERG</t>
        </is>
      </c>
      <c r="F8632" t="inlineStr">
        <is>
          <t>Sveaskog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23683-2025</t>
        </is>
      </c>
      <c r="B8633" s="1" t="n">
        <v>45793</v>
      </c>
      <c r="C8633" s="1" t="n">
        <v>45797</v>
      </c>
      <c r="D8633" t="inlineStr">
        <is>
          <t>ÖREBRO LÄN</t>
        </is>
      </c>
      <c r="E8633" t="inlineStr">
        <is>
          <t>DEGERFORS</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23835-2025</t>
        </is>
      </c>
      <c r="B8634" s="1" t="n">
        <v>45793</v>
      </c>
      <c r="C8634" s="1" t="n">
        <v>45797</v>
      </c>
      <c r="D8634" t="inlineStr">
        <is>
          <t>ÖREBRO LÄN</t>
        </is>
      </c>
      <c r="E8634" t="inlineStr">
        <is>
          <t>LINDESBERG</t>
        </is>
      </c>
      <c r="F8634" t="inlineStr">
        <is>
          <t>Sveaskog</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23717-2025</t>
        </is>
      </c>
      <c r="B8635" s="1" t="n">
        <v>45793</v>
      </c>
      <c r="C8635" s="1" t="n">
        <v>45797</v>
      </c>
      <c r="D8635" t="inlineStr">
        <is>
          <t>ÖREBRO LÄN</t>
        </is>
      </c>
      <c r="E8635" t="inlineStr">
        <is>
          <t>KARLSKOGA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45797</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45797</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23934-2025</t>
        </is>
      </c>
      <c r="B8638" s="1" t="n">
        <v>45795</v>
      </c>
      <c r="C8638" s="1" t="n">
        <v>45797</v>
      </c>
      <c r="D8638" t="inlineStr">
        <is>
          <t>ÖREBRO LÄN</t>
        </is>
      </c>
      <c r="E8638" t="inlineStr">
        <is>
          <t>LINDESBERG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23932-2025</t>
        </is>
      </c>
      <c r="B8639" s="1" t="n">
        <v>45795</v>
      </c>
      <c r="C8639" s="1" t="n">
        <v>45797</v>
      </c>
      <c r="D8639" t="inlineStr">
        <is>
          <t>ÖREBRO LÄN</t>
        </is>
      </c>
      <c r="E8639" t="inlineStr">
        <is>
          <t>LINDESBERG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23933-2025</t>
        </is>
      </c>
      <c r="B8640" s="1" t="n">
        <v>45795</v>
      </c>
      <c r="C8640" s="1" t="n">
        <v>45797</v>
      </c>
      <c r="D8640" t="inlineStr">
        <is>
          <t>ÖREBRO LÄN</t>
        </is>
      </c>
      <c r="E8640" t="inlineStr">
        <is>
          <t>LINDESBERG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24017-2025</t>
        </is>
      </c>
      <c r="B8641" s="1" t="n">
        <v>45796</v>
      </c>
      <c r="C8641" s="1" t="n">
        <v>45797</v>
      </c>
      <c r="D8641" t="inlineStr">
        <is>
          <t>ÖREBRO LÄN</t>
        </is>
      </c>
      <c r="E8641" t="inlineStr">
        <is>
          <t>LINDESBERG</t>
        </is>
      </c>
      <c r="F8641" t="inlineStr">
        <is>
          <t>Sveaskog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24020-2025</t>
        </is>
      </c>
      <c r="B8642" s="1" t="n">
        <v>45796</v>
      </c>
      <c r="C8642" s="1" t="n">
        <v>45797</v>
      </c>
      <c r="D8642" t="inlineStr">
        <is>
          <t>ÖREBRO LÄN</t>
        </is>
      </c>
      <c r="E8642" t="inlineStr">
        <is>
          <t>LINDESBERG</t>
        </is>
      </c>
      <c r="F8642" t="inlineStr">
        <is>
          <t>Sveaskog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24099-2025</t>
        </is>
      </c>
      <c r="B8643" s="1" t="n">
        <v>45796</v>
      </c>
      <c r="C8643" s="1" t="n">
        <v>45797</v>
      </c>
      <c r="D8643" t="inlineStr">
        <is>
          <t>ÖREBRO LÄN</t>
        </is>
      </c>
      <c r="E8643" t="inlineStr">
        <is>
          <t>KARLSKOGA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24192-2025</t>
        </is>
      </c>
      <c r="B8644" s="1" t="n">
        <v>45796</v>
      </c>
      <c r="C8644" s="1" t="n">
        <v>45797</v>
      </c>
      <c r="D8644" t="inlineStr">
        <is>
          <t>ÖREBRO LÄN</t>
        </is>
      </c>
      <c r="E8644" t="inlineStr">
        <is>
          <t>ÖREBRO</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24011-2025</t>
        </is>
      </c>
      <c r="B8645" s="1" t="n">
        <v>45796</v>
      </c>
      <c r="C8645" s="1" t="n">
        <v>45797</v>
      </c>
      <c r="D8645" t="inlineStr">
        <is>
          <t>ÖREBRO LÄN</t>
        </is>
      </c>
      <c r="E8645" t="inlineStr">
        <is>
          <t>LINDESBERG</t>
        </is>
      </c>
      <c r="F8645" t="inlineStr">
        <is>
          <t>Sveaskog</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24055-2025</t>
        </is>
      </c>
      <c r="B8646" s="1" t="n">
        <v>45796</v>
      </c>
      <c r="C8646" s="1" t="n">
        <v>45797</v>
      </c>
      <c r="D8646" t="inlineStr">
        <is>
          <t>ÖREBRO LÄN</t>
        </is>
      </c>
      <c r="E8646" t="inlineStr">
        <is>
          <t>LEKEBERG</t>
        </is>
      </c>
      <c r="G8646" t="n">
        <v>4.2</v>
      </c>
      <c r="H8646" t="n">
        <v>0</v>
      </c>
      <c r="I8646" t="n">
        <v>0</v>
      </c>
      <c r="J8646" t="n">
        <v>0</v>
      </c>
      <c r="K8646" t="n">
        <v>0</v>
      </c>
      <c r="L8646" t="n">
        <v>0</v>
      </c>
      <c r="M8646" t="n">
        <v>0</v>
      </c>
      <c r="N8646" t="n">
        <v>0</v>
      </c>
      <c r="O8646" t="n">
        <v>0</v>
      </c>
      <c r="P8646" t="n">
        <v>0</v>
      </c>
      <c r="Q8646" t="n">
        <v>0</v>
      </c>
      <c r="R8646" s="2" t="inlineStr"/>
    </row>
    <row r="8647">
      <c r="A8647" t="inlineStr">
        <is>
          <t>A 24107-2025</t>
        </is>
      </c>
      <c r="B8647" s="1" t="n">
        <v>45796</v>
      </c>
      <c r="C8647" s="1" t="n">
        <v>45797</v>
      </c>
      <c r="D8647" t="inlineStr">
        <is>
          <t>ÖREBRO LÄN</t>
        </is>
      </c>
      <c r="E8647" t="inlineStr">
        <is>
          <t>LINDESBERG</t>
        </is>
      </c>
      <c r="F8647" t="inlineStr">
        <is>
          <t>Sveaskog</t>
        </is>
      </c>
      <c r="G8647" t="n">
        <v>1.3</v>
      </c>
      <c r="H8647" t="n">
        <v>0</v>
      </c>
      <c r="I8647" t="n">
        <v>0</v>
      </c>
      <c r="J8647" t="n">
        <v>0</v>
      </c>
      <c r="K8647" t="n">
        <v>0</v>
      </c>
      <c r="L8647" t="n">
        <v>0</v>
      </c>
      <c r="M8647" t="n">
        <v>0</v>
      </c>
      <c r="N8647" t="n">
        <v>0</v>
      </c>
      <c r="O8647" t="n">
        <v>0</v>
      </c>
      <c r="P8647" t="n">
        <v>0</v>
      </c>
      <c r="Q8647" t="n">
        <v>0</v>
      </c>
      <c r="R8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2025-05-20T18:17:05Z</dcterms:created>
  <dcterms:modified xmlns:dcterms="http://purl.org/dc/terms/" xmlns:xsi="http://www.w3.org/2001/XMLSchema-instance" xsi:type="dcterms:W3CDTF">2025-05-20T18:17:21Z</dcterms:modified>
</cp:coreProperties>
</file>