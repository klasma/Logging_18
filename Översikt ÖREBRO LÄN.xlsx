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45360</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45360</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45360</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45360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45360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45360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45360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45360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45360</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45360</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45360</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45360</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45360</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45360</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45360</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45360</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45360</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45360</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45360</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45360</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45360</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45360</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45360</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45360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45360</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45360</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45360</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45360</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45360</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45360</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45360</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45360</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45360</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45360</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45360</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45360</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45360</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45360</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45360</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45360</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45360</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45360</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45360</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45360</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45360</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45360</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45360</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45360</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45360</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45360</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45360</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45360</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45360</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45360</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45360</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45360</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45360</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45360</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45360</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45360</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45360</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45360</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45360</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45360</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45360</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45360</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45360</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45360</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45360</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45360</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45360</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45360</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45360</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45360</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45360</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45360</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45360</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45360</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45360</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45360</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45360</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45360</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45360</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45360</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45360</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45360</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45360</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45360</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45360</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45360</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45360</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45360</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45360</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45360</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45360</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45360</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45360</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c r="Z99">
        <f>HYPERLINK("https://klasma.github.io/Logging_1884/fåglar/A 60839-2021 prioriterade fågelarter.docx", "A 60839-2021")</f>
        <v/>
      </c>
    </row>
    <row r="100" ht="15" customHeight="1">
      <c r="A100" t="inlineStr">
        <is>
          <t>A 3945-2022</t>
        </is>
      </c>
      <c r="B100" s="1" t="n">
        <v>44587</v>
      </c>
      <c r="C100" s="1" t="n">
        <v>45360</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45360</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45360</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45360</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45360</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45360</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45360</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45360</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45360</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45360</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45360</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45360</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45360</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45360</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45360</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45360</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45360</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45360</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45360</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45360</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45360</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45360</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45360</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45360</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45360</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45360</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45360</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45360</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45360</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45360</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45360</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45360</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45360</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45360</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45360</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45360</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45360</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45360</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45360</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45360</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45360</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45360</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45360</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45360</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45360</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45360</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45360</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45360</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45360</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45360</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45360</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45360</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45360</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45360</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45360</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45360</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45360</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45360</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45360</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45360</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45360</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45360</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45360</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45360</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45360</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45360</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45360</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45360</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45360</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45360</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45360</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45360</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45360</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45360</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45360</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45360</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45360</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45360</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45360</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45360</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45360</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45360</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31234-2023</t>
        </is>
      </c>
      <c r="B182" s="1" t="n">
        <v>45114</v>
      </c>
      <c r="C182" s="1" t="n">
        <v>45360</v>
      </c>
      <c r="D182" t="inlineStr">
        <is>
          <t>ÖREBRO LÄN</t>
        </is>
      </c>
      <c r="E182" t="inlineStr">
        <is>
          <t>ÖREBRO</t>
        </is>
      </c>
      <c r="F182" t="inlineStr">
        <is>
          <t>Allmännings- och besparingsskogar</t>
        </is>
      </c>
      <c r="G182" t="n">
        <v>30.5</v>
      </c>
      <c r="H182" t="n">
        <v>2</v>
      </c>
      <c r="I182" t="n">
        <v>0</v>
      </c>
      <c r="J182" t="n">
        <v>2</v>
      </c>
      <c r="K182" t="n">
        <v>0</v>
      </c>
      <c r="L182" t="n">
        <v>0</v>
      </c>
      <c r="M182" t="n">
        <v>0</v>
      </c>
      <c r="N182" t="n">
        <v>0</v>
      </c>
      <c r="O182" t="n">
        <v>2</v>
      </c>
      <c r="P182" t="n">
        <v>0</v>
      </c>
      <c r="Q182" t="n">
        <v>2</v>
      </c>
      <c r="R182" s="2" t="inlineStr">
        <is>
          <t>Havsörn
Spillkråka</t>
        </is>
      </c>
      <c r="S182">
        <f>HYPERLINK("https://klasma.github.io/Logging_1880/artfynd/A 31234-2023 artfynd.xlsx", "A 31234-2023")</f>
        <v/>
      </c>
      <c r="T182">
        <f>HYPERLINK("https://klasma.github.io/Logging_1880/kartor/A 31234-2023 karta.png", "A 31234-2023")</f>
        <v/>
      </c>
      <c r="V182">
        <f>HYPERLINK("https://klasma.github.io/Logging_1880/klagomål/A 31234-2023 FSC-klagomål.docx", "A 31234-2023")</f>
        <v/>
      </c>
      <c r="W182">
        <f>HYPERLINK("https://klasma.github.io/Logging_1880/klagomålsmail/A 31234-2023 FSC-klagomål mail.docx", "A 31234-2023")</f>
        <v/>
      </c>
      <c r="X182">
        <f>HYPERLINK("https://klasma.github.io/Logging_1880/tillsyn/A 31234-2023 tillsynsbegäran.docx", "A 31234-2023")</f>
        <v/>
      </c>
      <c r="Y182">
        <f>HYPERLINK("https://klasma.github.io/Logging_1880/tillsynsmail/A 31234-2023 tillsynsbegäran mail.docx", "A 31234-2023")</f>
        <v/>
      </c>
      <c r="Z182">
        <f>HYPERLINK("https://klasma.github.io/Logging_1880/fåglar/A 31234-2023 prioriterade fågelarter.docx", "A 31234-2023")</f>
        <v/>
      </c>
    </row>
    <row r="183" ht="15" customHeight="1">
      <c r="A183" t="inlineStr">
        <is>
          <t>A 35946-2023</t>
        </is>
      </c>
      <c r="B183" s="1" t="n">
        <v>45148</v>
      </c>
      <c r="C183" s="1" t="n">
        <v>45360</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45117-2023</t>
        </is>
      </c>
      <c r="B184" s="1" t="n">
        <v>45191</v>
      </c>
      <c r="C184" s="1" t="n">
        <v>45360</v>
      </c>
      <c r="D184" t="inlineStr">
        <is>
          <t>ÖREBRO LÄN</t>
        </is>
      </c>
      <c r="E184" t="inlineStr">
        <is>
          <t>HALLSBERG</t>
        </is>
      </c>
      <c r="F184" t="inlineStr">
        <is>
          <t>Allmännings- och besparingsskogar</t>
        </is>
      </c>
      <c r="G184" t="n">
        <v>20.8</v>
      </c>
      <c r="H184" t="n">
        <v>0</v>
      </c>
      <c r="I184" t="n">
        <v>2</v>
      </c>
      <c r="J184" t="n">
        <v>0</v>
      </c>
      <c r="K184" t="n">
        <v>0</v>
      </c>
      <c r="L184" t="n">
        <v>0</v>
      </c>
      <c r="M184" t="n">
        <v>0</v>
      </c>
      <c r="N184" t="n">
        <v>0</v>
      </c>
      <c r="O184" t="n">
        <v>0</v>
      </c>
      <c r="P184" t="n">
        <v>0</v>
      </c>
      <c r="Q184" t="n">
        <v>2</v>
      </c>
      <c r="R184" s="2" t="inlineStr">
        <is>
          <t>Thomsons trägnagare
Vågbandad barkbock</t>
        </is>
      </c>
      <c r="S184">
        <f>HYPERLINK("https://klasma.github.io/Logging_1861/artfynd/A 45117-2023 artfynd.xlsx", "A 45117-2023")</f>
        <v/>
      </c>
      <c r="T184">
        <f>HYPERLINK("https://klasma.github.io/Logging_1861/kartor/A 45117-2023 karta.png", "A 45117-2023")</f>
        <v/>
      </c>
      <c r="V184">
        <f>HYPERLINK("https://klasma.github.io/Logging_1861/klagomål/A 45117-2023 FSC-klagomål.docx", "A 45117-2023")</f>
        <v/>
      </c>
      <c r="W184">
        <f>HYPERLINK("https://klasma.github.io/Logging_1861/klagomålsmail/A 45117-2023 FSC-klagomål mail.docx", "A 45117-2023")</f>
        <v/>
      </c>
      <c r="X184">
        <f>HYPERLINK("https://klasma.github.io/Logging_1861/tillsyn/A 45117-2023 tillsynsbegäran.docx", "A 45117-2023")</f>
        <v/>
      </c>
      <c r="Y184">
        <f>HYPERLINK("https://klasma.github.io/Logging_1861/tillsynsmail/A 45117-2023 tillsynsbegäran mail.docx", "A 45117-2023")</f>
        <v/>
      </c>
    </row>
    <row r="185" ht="15" customHeight="1">
      <c r="A185" t="inlineStr">
        <is>
          <t>A 49157-2023</t>
        </is>
      </c>
      <c r="B185" s="1" t="n">
        <v>45210</v>
      </c>
      <c r="C185" s="1" t="n">
        <v>45360</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50096-2023</t>
        </is>
      </c>
      <c r="B186" s="1" t="n">
        <v>45215</v>
      </c>
      <c r="C186" s="1" t="n">
        <v>45360</v>
      </c>
      <c r="D186" t="inlineStr">
        <is>
          <t>ÖREBRO LÄN</t>
        </is>
      </c>
      <c r="E186" t="inlineStr">
        <is>
          <t>ÖREBRO</t>
        </is>
      </c>
      <c r="F186" t="inlineStr">
        <is>
          <t>Övriga Aktiebolag</t>
        </is>
      </c>
      <c r="G186" t="n">
        <v>2.3</v>
      </c>
      <c r="H186" t="n">
        <v>2</v>
      </c>
      <c r="I186" t="n">
        <v>0</v>
      </c>
      <c r="J186" t="n">
        <v>2</v>
      </c>
      <c r="K186" t="n">
        <v>0</v>
      </c>
      <c r="L186" t="n">
        <v>0</v>
      </c>
      <c r="M186" t="n">
        <v>0</v>
      </c>
      <c r="N186" t="n">
        <v>0</v>
      </c>
      <c r="O186" t="n">
        <v>2</v>
      </c>
      <c r="P186" t="n">
        <v>0</v>
      </c>
      <c r="Q186" t="n">
        <v>2</v>
      </c>
      <c r="R186" s="2" t="inlineStr">
        <is>
          <t>Fiskmås
Skrattmås</t>
        </is>
      </c>
      <c r="S186">
        <f>HYPERLINK("https://klasma.github.io/Logging_1880/artfynd/A 50096-2023 artfynd.xlsx", "A 50096-2023")</f>
        <v/>
      </c>
      <c r="T186">
        <f>HYPERLINK("https://klasma.github.io/Logging_1880/kartor/A 50096-2023 karta.png", "A 50096-2023")</f>
        <v/>
      </c>
      <c r="V186">
        <f>HYPERLINK("https://klasma.github.io/Logging_1880/klagomål/A 50096-2023 FSC-klagomål.docx", "A 50096-2023")</f>
        <v/>
      </c>
      <c r="W186">
        <f>HYPERLINK("https://klasma.github.io/Logging_1880/klagomålsmail/A 50096-2023 FSC-klagomål mail.docx", "A 50096-2023")</f>
        <v/>
      </c>
      <c r="X186">
        <f>HYPERLINK("https://klasma.github.io/Logging_1880/tillsyn/A 50096-2023 tillsynsbegäran.docx", "A 50096-2023")</f>
        <v/>
      </c>
      <c r="Y186">
        <f>HYPERLINK("https://klasma.github.io/Logging_1880/tillsynsmail/A 50096-2023 tillsynsbegäran mail.docx", "A 50096-2023")</f>
        <v/>
      </c>
    </row>
    <row r="187" ht="15" customHeight="1">
      <c r="A187" t="inlineStr">
        <is>
          <t>A 52639-2023</t>
        </is>
      </c>
      <c r="B187" s="1" t="n">
        <v>45219</v>
      </c>
      <c r="C187" s="1" t="n">
        <v>45360</v>
      </c>
      <c r="D187" t="inlineStr">
        <is>
          <t>ÖREBRO LÄN</t>
        </is>
      </c>
      <c r="E187" t="inlineStr">
        <is>
          <t>NORA</t>
        </is>
      </c>
      <c r="F187" t="inlineStr">
        <is>
          <t>Kommuner</t>
        </is>
      </c>
      <c r="G187" t="n">
        <v>7.3</v>
      </c>
      <c r="H187" t="n">
        <v>2</v>
      </c>
      <c r="I187" t="n">
        <v>0</v>
      </c>
      <c r="J187" t="n">
        <v>1</v>
      </c>
      <c r="K187" t="n">
        <v>0</v>
      </c>
      <c r="L187" t="n">
        <v>0</v>
      </c>
      <c r="M187" t="n">
        <v>0</v>
      </c>
      <c r="N187" t="n">
        <v>0</v>
      </c>
      <c r="O187" t="n">
        <v>1</v>
      </c>
      <c r="P187" t="n">
        <v>0</v>
      </c>
      <c r="Q187" t="n">
        <v>2</v>
      </c>
      <c r="R187" s="2" t="inlineStr">
        <is>
          <t>Grönsångare
Brandkronad kungsfågel</t>
        </is>
      </c>
      <c r="S187">
        <f>HYPERLINK("https://klasma.github.io/Logging_1884/artfynd/A 52639-2023 artfynd.xlsx", "A 52639-2023")</f>
        <v/>
      </c>
      <c r="T187">
        <f>HYPERLINK("https://klasma.github.io/Logging_1884/kartor/A 52639-2023 karta.png", "A 52639-2023")</f>
        <v/>
      </c>
      <c r="V187">
        <f>HYPERLINK("https://klasma.github.io/Logging_1884/klagomål/A 52639-2023 FSC-klagomål.docx", "A 52639-2023")</f>
        <v/>
      </c>
      <c r="W187">
        <f>HYPERLINK("https://klasma.github.io/Logging_1884/klagomålsmail/A 52639-2023 FSC-klagomål mail.docx", "A 52639-2023")</f>
        <v/>
      </c>
      <c r="X187">
        <f>HYPERLINK("https://klasma.github.io/Logging_1884/tillsyn/A 52639-2023 tillsynsbegäran.docx", "A 52639-2023")</f>
        <v/>
      </c>
      <c r="Y187">
        <f>HYPERLINK("https://klasma.github.io/Logging_1884/tillsynsmail/A 52639-2023 tillsynsbegäran mail.docx", "A 52639-2023")</f>
        <v/>
      </c>
      <c r="Z187">
        <f>HYPERLINK("https://klasma.github.io/Logging_1884/fåglar/A 52639-2023 prioriterade fågelarter.docx", "A 52639-2023")</f>
        <v/>
      </c>
    </row>
    <row r="188" ht="15" customHeight="1">
      <c r="A188" t="inlineStr">
        <is>
          <t>A 4295-2024</t>
        </is>
      </c>
      <c r="B188" s="1" t="n">
        <v>45324</v>
      </c>
      <c r="C188" s="1" t="n">
        <v>45360</v>
      </c>
      <c r="D188" t="inlineStr">
        <is>
          <t>ÖREBRO LÄN</t>
        </is>
      </c>
      <c r="E188" t="inlineStr">
        <is>
          <t>ASKERSUND</t>
        </is>
      </c>
      <c r="F188" t="inlineStr">
        <is>
          <t>Kyrkan</t>
        </is>
      </c>
      <c r="G188" t="n">
        <v>11.9</v>
      </c>
      <c r="H188" t="n">
        <v>1</v>
      </c>
      <c r="I188" t="n">
        <v>0</v>
      </c>
      <c r="J188" t="n">
        <v>1</v>
      </c>
      <c r="K188" t="n">
        <v>0</v>
      </c>
      <c r="L188" t="n">
        <v>0</v>
      </c>
      <c r="M188" t="n">
        <v>0</v>
      </c>
      <c r="N188" t="n">
        <v>0</v>
      </c>
      <c r="O188" t="n">
        <v>1</v>
      </c>
      <c r="P188" t="n">
        <v>0</v>
      </c>
      <c r="Q188" t="n">
        <v>2</v>
      </c>
      <c r="R188" s="2" t="inlineStr">
        <is>
          <t>Svinrot
Blåsippa</t>
        </is>
      </c>
      <c r="S188">
        <f>HYPERLINK("https://klasma.github.io/Logging_1882/artfynd/A 4295-2024 artfynd.xlsx", "A 4295-2024")</f>
        <v/>
      </c>
      <c r="T188">
        <f>HYPERLINK("https://klasma.github.io/Logging_1882/kartor/A 4295-2024 karta.png", "A 4295-2024")</f>
        <v/>
      </c>
      <c r="V188">
        <f>HYPERLINK("https://klasma.github.io/Logging_1882/klagomål/A 4295-2024 FSC-klagomål.docx", "A 4295-2024")</f>
        <v/>
      </c>
      <c r="W188">
        <f>HYPERLINK("https://klasma.github.io/Logging_1882/klagomålsmail/A 4295-2024 FSC-klagomål mail.docx", "A 4295-2024")</f>
        <v/>
      </c>
      <c r="X188">
        <f>HYPERLINK("https://klasma.github.io/Logging_1882/tillsyn/A 4295-2024 tillsynsbegäran.docx", "A 4295-2024")</f>
        <v/>
      </c>
      <c r="Y188">
        <f>HYPERLINK("https://klasma.github.io/Logging_1882/tillsynsmail/A 4295-2024 tillsynsbegäran mail.docx", "A 4295-2024")</f>
        <v/>
      </c>
    </row>
    <row r="189" ht="15" customHeight="1">
      <c r="A189" t="inlineStr">
        <is>
          <t>A 7535-2024</t>
        </is>
      </c>
      <c r="B189" s="1" t="n">
        <v>45348</v>
      </c>
      <c r="C189" s="1" t="n">
        <v>45360</v>
      </c>
      <c r="D189" t="inlineStr">
        <is>
          <t>ÖREBRO LÄN</t>
        </is>
      </c>
      <c r="E189" t="inlineStr">
        <is>
          <t>ASKERSUND</t>
        </is>
      </c>
      <c r="G189" t="n">
        <v>2.2</v>
      </c>
      <c r="H189" t="n">
        <v>1</v>
      </c>
      <c r="I189" t="n">
        <v>1</v>
      </c>
      <c r="J189" t="n">
        <v>0</v>
      </c>
      <c r="K189" t="n">
        <v>0</v>
      </c>
      <c r="L189" t="n">
        <v>0</v>
      </c>
      <c r="M189" t="n">
        <v>0</v>
      </c>
      <c r="N189" t="n">
        <v>0</v>
      </c>
      <c r="O189" t="n">
        <v>0</v>
      </c>
      <c r="P189" t="n">
        <v>0</v>
      </c>
      <c r="Q189" t="n">
        <v>2</v>
      </c>
      <c r="R189" s="2" t="inlineStr">
        <is>
          <t>Blodvaxskivling
Blåsippa</t>
        </is>
      </c>
      <c r="S189">
        <f>HYPERLINK("https://klasma.github.io/Logging_1882/artfynd/A 7535-2024 artfynd.xlsx", "A 7535-2024")</f>
        <v/>
      </c>
      <c r="T189">
        <f>HYPERLINK("https://klasma.github.io/Logging_1882/kartor/A 7535-2024 karta.png", "A 7535-2024")</f>
        <v/>
      </c>
      <c r="V189">
        <f>HYPERLINK("https://klasma.github.io/Logging_1882/klagomål/A 7535-2024 FSC-klagomål.docx", "A 7535-2024")</f>
        <v/>
      </c>
      <c r="W189">
        <f>HYPERLINK("https://klasma.github.io/Logging_1882/klagomålsmail/A 7535-2024 FSC-klagomål mail.docx", "A 7535-2024")</f>
        <v/>
      </c>
      <c r="X189">
        <f>HYPERLINK("https://klasma.github.io/Logging_1882/tillsyn/A 7535-2024 tillsynsbegäran.docx", "A 7535-2024")</f>
        <v/>
      </c>
      <c r="Y189">
        <f>HYPERLINK("https://klasma.github.io/Logging_1882/tillsynsmail/A 7535-2024 tillsynsbegäran mail.docx", "A 7535-2024")</f>
        <v/>
      </c>
    </row>
    <row r="190" ht="15" customHeight="1">
      <c r="A190" t="inlineStr">
        <is>
          <t>A 44445-2018</t>
        </is>
      </c>
      <c r="B190" s="1" t="n">
        <v>43356</v>
      </c>
      <c r="C190" s="1" t="n">
        <v>45360</v>
      </c>
      <c r="D190" t="inlineStr">
        <is>
          <t>ÖREBRO LÄN</t>
        </is>
      </c>
      <c r="E190" t="inlineStr">
        <is>
          <t>ÖREBRO</t>
        </is>
      </c>
      <c r="G190" t="n">
        <v>2.4</v>
      </c>
      <c r="H190" t="n">
        <v>0</v>
      </c>
      <c r="I190" t="n">
        <v>0</v>
      </c>
      <c r="J190" t="n">
        <v>0</v>
      </c>
      <c r="K190" t="n">
        <v>0</v>
      </c>
      <c r="L190" t="n">
        <v>1</v>
      </c>
      <c r="M190" t="n">
        <v>0</v>
      </c>
      <c r="N190" t="n">
        <v>0</v>
      </c>
      <c r="O190" t="n">
        <v>1</v>
      </c>
      <c r="P190" t="n">
        <v>1</v>
      </c>
      <c r="Q190" t="n">
        <v>1</v>
      </c>
      <c r="R190" s="2" t="inlineStr">
        <is>
          <t>Ask</t>
        </is>
      </c>
      <c r="S190">
        <f>HYPERLINK("https://klasma.github.io/Logging_1880/artfynd/A 44445-2018 artfynd.xlsx", "A 44445-2018")</f>
        <v/>
      </c>
      <c r="T190">
        <f>HYPERLINK("https://klasma.github.io/Logging_1880/kartor/A 44445-2018 karta.png", "A 44445-2018")</f>
        <v/>
      </c>
      <c r="V190">
        <f>HYPERLINK("https://klasma.github.io/Logging_1880/klagomål/A 44445-2018 FSC-klagomål.docx", "A 44445-2018")</f>
        <v/>
      </c>
      <c r="W190">
        <f>HYPERLINK("https://klasma.github.io/Logging_1880/klagomålsmail/A 44445-2018 FSC-klagomål mail.docx", "A 44445-2018")</f>
        <v/>
      </c>
      <c r="X190">
        <f>HYPERLINK("https://klasma.github.io/Logging_1880/tillsyn/A 44445-2018 tillsynsbegäran.docx", "A 44445-2018")</f>
        <v/>
      </c>
      <c r="Y190">
        <f>HYPERLINK("https://klasma.github.io/Logging_1880/tillsynsmail/A 44445-2018 tillsynsbegäran mail.docx", "A 44445-2018")</f>
        <v/>
      </c>
    </row>
    <row r="191" ht="15" customHeight="1">
      <c r="A191" t="inlineStr">
        <is>
          <t>A 46523-2018</t>
        </is>
      </c>
      <c r="B191" s="1" t="n">
        <v>43368</v>
      </c>
      <c r="C191" s="1" t="n">
        <v>45360</v>
      </c>
      <c r="D191" t="inlineStr">
        <is>
          <t>ÖREBRO LÄN</t>
        </is>
      </c>
      <c r="E191" t="inlineStr">
        <is>
          <t>LEKEBERG</t>
        </is>
      </c>
      <c r="F191" t="inlineStr">
        <is>
          <t>Sveaskog</t>
        </is>
      </c>
      <c r="G191" t="n">
        <v>10.3</v>
      </c>
      <c r="H191" t="n">
        <v>1</v>
      </c>
      <c r="I191" t="n">
        <v>1</v>
      </c>
      <c r="J191" t="n">
        <v>0</v>
      </c>
      <c r="K191" t="n">
        <v>0</v>
      </c>
      <c r="L191" t="n">
        <v>0</v>
      </c>
      <c r="M191" t="n">
        <v>0</v>
      </c>
      <c r="N191" t="n">
        <v>0</v>
      </c>
      <c r="O191" t="n">
        <v>0</v>
      </c>
      <c r="P191" t="n">
        <v>0</v>
      </c>
      <c r="Q191" t="n">
        <v>1</v>
      </c>
      <c r="R191" s="2" t="inlineStr">
        <is>
          <t>Korallrot</t>
        </is>
      </c>
      <c r="S191">
        <f>HYPERLINK("https://klasma.github.io/Logging_1814/artfynd/A 46523-2018 artfynd.xlsx", "A 46523-2018")</f>
        <v/>
      </c>
      <c r="T191">
        <f>HYPERLINK("https://klasma.github.io/Logging_1814/kartor/A 46523-2018 karta.png", "A 46523-2018")</f>
        <v/>
      </c>
      <c r="V191">
        <f>HYPERLINK("https://klasma.github.io/Logging_1814/klagomål/A 46523-2018 FSC-klagomål.docx", "A 46523-2018")</f>
        <v/>
      </c>
      <c r="W191">
        <f>HYPERLINK("https://klasma.github.io/Logging_1814/klagomålsmail/A 46523-2018 FSC-klagomål mail.docx", "A 46523-2018")</f>
        <v/>
      </c>
      <c r="X191">
        <f>HYPERLINK("https://klasma.github.io/Logging_1814/tillsyn/A 46523-2018 tillsynsbegäran.docx", "A 46523-2018")</f>
        <v/>
      </c>
      <c r="Y191">
        <f>HYPERLINK("https://klasma.github.io/Logging_1814/tillsynsmail/A 46523-2018 tillsynsbegäran mail.docx", "A 46523-2018")</f>
        <v/>
      </c>
    </row>
    <row r="192" ht="15" customHeight="1">
      <c r="A192" t="inlineStr">
        <is>
          <t>A 52696-2018</t>
        </is>
      </c>
      <c r="B192" s="1" t="n">
        <v>43384</v>
      </c>
      <c r="C192" s="1" t="n">
        <v>45360</v>
      </c>
      <c r="D192" t="inlineStr">
        <is>
          <t>ÖREBRO LÄN</t>
        </is>
      </c>
      <c r="E192" t="inlineStr">
        <is>
          <t>HALLSBERG</t>
        </is>
      </c>
      <c r="F192" t="inlineStr">
        <is>
          <t>Sveaskog</t>
        </is>
      </c>
      <c r="G192" t="n">
        <v>1.8</v>
      </c>
      <c r="H192" t="n">
        <v>1</v>
      </c>
      <c r="I192" t="n">
        <v>0</v>
      </c>
      <c r="J192" t="n">
        <v>0</v>
      </c>
      <c r="K192" t="n">
        <v>0</v>
      </c>
      <c r="L192" t="n">
        <v>0</v>
      </c>
      <c r="M192" t="n">
        <v>0</v>
      </c>
      <c r="N192" t="n">
        <v>0</v>
      </c>
      <c r="O192" t="n">
        <v>0</v>
      </c>
      <c r="P192" t="n">
        <v>0</v>
      </c>
      <c r="Q192" t="n">
        <v>1</v>
      </c>
      <c r="R192" s="2" t="inlineStr">
        <is>
          <t>Grönvit nattviol</t>
        </is>
      </c>
      <c r="S192">
        <f>HYPERLINK("https://klasma.github.io/Logging_1861/artfynd/A 52696-2018 artfynd.xlsx", "A 52696-2018")</f>
        <v/>
      </c>
      <c r="T192">
        <f>HYPERLINK("https://klasma.github.io/Logging_1861/kartor/A 52696-2018 karta.png", "A 52696-2018")</f>
        <v/>
      </c>
      <c r="V192">
        <f>HYPERLINK("https://klasma.github.io/Logging_1861/klagomål/A 52696-2018 FSC-klagomål.docx", "A 52696-2018")</f>
        <v/>
      </c>
      <c r="W192">
        <f>HYPERLINK("https://klasma.github.io/Logging_1861/klagomålsmail/A 52696-2018 FSC-klagomål mail.docx", "A 52696-2018")</f>
        <v/>
      </c>
      <c r="X192">
        <f>HYPERLINK("https://klasma.github.io/Logging_1861/tillsyn/A 52696-2018 tillsynsbegäran.docx", "A 52696-2018")</f>
        <v/>
      </c>
      <c r="Y192">
        <f>HYPERLINK("https://klasma.github.io/Logging_1861/tillsynsmail/A 52696-2018 tillsynsbegäran mail.docx", "A 52696-2018")</f>
        <v/>
      </c>
    </row>
    <row r="193" ht="15" customHeight="1">
      <c r="A193" t="inlineStr">
        <is>
          <t>A 53502-2018</t>
        </is>
      </c>
      <c r="B193" s="1" t="n">
        <v>43385</v>
      </c>
      <c r="C193" s="1" t="n">
        <v>45360</v>
      </c>
      <c r="D193" t="inlineStr">
        <is>
          <t>ÖREBRO LÄN</t>
        </is>
      </c>
      <c r="E193" t="inlineStr">
        <is>
          <t>ASKERSUND</t>
        </is>
      </c>
      <c r="G193" t="n">
        <v>4.1</v>
      </c>
      <c r="H193" t="n">
        <v>0</v>
      </c>
      <c r="I193" t="n">
        <v>1</v>
      </c>
      <c r="J193" t="n">
        <v>0</v>
      </c>
      <c r="K193" t="n">
        <v>0</v>
      </c>
      <c r="L193" t="n">
        <v>0</v>
      </c>
      <c r="M193" t="n">
        <v>0</v>
      </c>
      <c r="N193" t="n">
        <v>0</v>
      </c>
      <c r="O193" t="n">
        <v>0</v>
      </c>
      <c r="P193" t="n">
        <v>0</v>
      </c>
      <c r="Q193" t="n">
        <v>1</v>
      </c>
      <c r="R193" s="2" t="inlineStr">
        <is>
          <t>Thomsons trägnagare</t>
        </is>
      </c>
      <c r="S193">
        <f>HYPERLINK("https://klasma.github.io/Logging_1882/artfynd/A 53502-2018 artfynd.xlsx", "A 53502-2018")</f>
        <v/>
      </c>
      <c r="T193">
        <f>HYPERLINK("https://klasma.github.io/Logging_1882/kartor/A 53502-2018 karta.png", "A 53502-2018")</f>
        <v/>
      </c>
      <c r="V193">
        <f>HYPERLINK("https://klasma.github.io/Logging_1882/klagomål/A 53502-2018 FSC-klagomål.docx", "A 53502-2018")</f>
        <v/>
      </c>
      <c r="W193">
        <f>HYPERLINK("https://klasma.github.io/Logging_1882/klagomålsmail/A 53502-2018 FSC-klagomål mail.docx", "A 53502-2018")</f>
        <v/>
      </c>
      <c r="X193">
        <f>HYPERLINK("https://klasma.github.io/Logging_1882/tillsyn/A 53502-2018 tillsynsbegäran.docx", "A 53502-2018")</f>
        <v/>
      </c>
      <c r="Y193">
        <f>HYPERLINK("https://klasma.github.io/Logging_1882/tillsynsmail/A 53502-2018 tillsynsbegäran mail.docx", "A 53502-2018")</f>
        <v/>
      </c>
    </row>
    <row r="194" ht="15" customHeight="1">
      <c r="A194" t="inlineStr">
        <is>
          <t>A 55545-2018</t>
        </is>
      </c>
      <c r="B194" s="1" t="n">
        <v>43397</v>
      </c>
      <c r="C194" s="1" t="n">
        <v>45360</v>
      </c>
      <c r="D194" t="inlineStr">
        <is>
          <t>ÖREBRO LÄN</t>
        </is>
      </c>
      <c r="E194" t="inlineStr">
        <is>
          <t>HALLSBERG</t>
        </is>
      </c>
      <c r="G194" t="n">
        <v>2</v>
      </c>
      <c r="H194" t="n">
        <v>0</v>
      </c>
      <c r="I194" t="n">
        <v>1</v>
      </c>
      <c r="J194" t="n">
        <v>0</v>
      </c>
      <c r="K194" t="n">
        <v>0</v>
      </c>
      <c r="L194" t="n">
        <v>0</v>
      </c>
      <c r="M194" t="n">
        <v>0</v>
      </c>
      <c r="N194" t="n">
        <v>0</v>
      </c>
      <c r="O194" t="n">
        <v>0</v>
      </c>
      <c r="P194" t="n">
        <v>0</v>
      </c>
      <c r="Q194" t="n">
        <v>1</v>
      </c>
      <c r="R194" s="2" t="inlineStr">
        <is>
          <t>Tibast</t>
        </is>
      </c>
      <c r="S194">
        <f>HYPERLINK("https://klasma.github.io/Logging_1861/artfynd/A 55545-2018 artfynd.xlsx", "A 55545-2018")</f>
        <v/>
      </c>
      <c r="T194">
        <f>HYPERLINK("https://klasma.github.io/Logging_1861/kartor/A 55545-2018 karta.png", "A 55545-2018")</f>
        <v/>
      </c>
      <c r="V194">
        <f>HYPERLINK("https://klasma.github.io/Logging_1861/klagomål/A 55545-2018 FSC-klagomål.docx", "A 55545-2018")</f>
        <v/>
      </c>
      <c r="W194">
        <f>HYPERLINK("https://klasma.github.io/Logging_1861/klagomålsmail/A 55545-2018 FSC-klagomål mail.docx", "A 55545-2018")</f>
        <v/>
      </c>
      <c r="X194">
        <f>HYPERLINK("https://klasma.github.io/Logging_1861/tillsyn/A 55545-2018 tillsynsbegäran.docx", "A 55545-2018")</f>
        <v/>
      </c>
      <c r="Y194">
        <f>HYPERLINK("https://klasma.github.io/Logging_1861/tillsynsmail/A 55545-2018 tillsynsbegäran mail.docx", "A 55545-2018")</f>
        <v/>
      </c>
    </row>
    <row r="195" ht="15" customHeight="1">
      <c r="A195" t="inlineStr">
        <is>
          <t>A 68147-2018</t>
        </is>
      </c>
      <c r="B195" s="1" t="n">
        <v>43441</v>
      </c>
      <c r="C195" s="1" t="n">
        <v>45360</v>
      </c>
      <c r="D195" t="inlineStr">
        <is>
          <t>ÖREBRO LÄN</t>
        </is>
      </c>
      <c r="E195" t="inlineStr">
        <is>
          <t>ASKERSUND</t>
        </is>
      </c>
      <c r="F195" t="inlineStr">
        <is>
          <t>Sveaskog</t>
        </is>
      </c>
      <c r="G195" t="n">
        <v>1.4</v>
      </c>
      <c r="H195" t="n">
        <v>0</v>
      </c>
      <c r="I195" t="n">
        <v>0</v>
      </c>
      <c r="J195" t="n">
        <v>1</v>
      </c>
      <c r="K195" t="n">
        <v>0</v>
      </c>
      <c r="L195" t="n">
        <v>0</v>
      </c>
      <c r="M195" t="n">
        <v>0</v>
      </c>
      <c r="N195" t="n">
        <v>0</v>
      </c>
      <c r="O195" t="n">
        <v>1</v>
      </c>
      <c r="P195" t="n">
        <v>0</v>
      </c>
      <c r="Q195" t="n">
        <v>1</v>
      </c>
      <c r="R195" s="2" t="inlineStr">
        <is>
          <t>Backstarr</t>
        </is>
      </c>
      <c r="S195">
        <f>HYPERLINK("https://klasma.github.io/Logging_1882/artfynd/A 68147-2018 artfynd.xlsx", "A 68147-2018")</f>
        <v/>
      </c>
      <c r="T195">
        <f>HYPERLINK("https://klasma.github.io/Logging_1882/kartor/A 68147-2018 karta.png", "A 68147-2018")</f>
        <v/>
      </c>
      <c r="V195">
        <f>HYPERLINK("https://klasma.github.io/Logging_1882/klagomål/A 68147-2018 FSC-klagomål.docx", "A 68147-2018")</f>
        <v/>
      </c>
      <c r="W195">
        <f>HYPERLINK("https://klasma.github.io/Logging_1882/klagomålsmail/A 68147-2018 FSC-klagomål mail.docx", "A 68147-2018")</f>
        <v/>
      </c>
      <c r="X195">
        <f>HYPERLINK("https://klasma.github.io/Logging_1882/tillsyn/A 68147-2018 tillsynsbegäran.docx", "A 68147-2018")</f>
        <v/>
      </c>
      <c r="Y195">
        <f>HYPERLINK("https://klasma.github.io/Logging_1882/tillsynsmail/A 68147-2018 tillsynsbegäran mail.docx", "A 68147-2018")</f>
        <v/>
      </c>
    </row>
    <row r="196" ht="15" customHeight="1">
      <c r="A196" t="inlineStr">
        <is>
          <t>A 71080-2018</t>
        </is>
      </c>
      <c r="B196" s="1" t="n">
        <v>43452</v>
      </c>
      <c r="C196" s="1" t="n">
        <v>45360</v>
      </c>
      <c r="D196" t="inlineStr">
        <is>
          <t>ÖREBRO LÄN</t>
        </is>
      </c>
      <c r="E196" t="inlineStr">
        <is>
          <t>ÖREBRO</t>
        </is>
      </c>
      <c r="F196" t="inlineStr">
        <is>
          <t>Övriga Aktiebolag</t>
        </is>
      </c>
      <c r="G196" t="n">
        <v>4.3</v>
      </c>
      <c r="H196" t="n">
        <v>1</v>
      </c>
      <c r="I196" t="n">
        <v>0</v>
      </c>
      <c r="J196" t="n">
        <v>0</v>
      </c>
      <c r="K196" t="n">
        <v>0</v>
      </c>
      <c r="L196" t="n">
        <v>0</v>
      </c>
      <c r="M196" t="n">
        <v>0</v>
      </c>
      <c r="N196" t="n">
        <v>1</v>
      </c>
      <c r="O196" t="n">
        <v>1</v>
      </c>
      <c r="P196" t="n">
        <v>0</v>
      </c>
      <c r="Q196" t="n">
        <v>1</v>
      </c>
      <c r="R196" s="2" t="inlineStr">
        <is>
          <t>Härfågel</t>
        </is>
      </c>
      <c r="S196">
        <f>HYPERLINK("https://klasma.github.io/Logging_1880/artfynd/A 71080-2018 artfynd.xlsx", "A 71080-2018")</f>
        <v/>
      </c>
      <c r="T196">
        <f>HYPERLINK("https://klasma.github.io/Logging_1880/kartor/A 71080-2018 karta.png", "A 71080-2018")</f>
        <v/>
      </c>
      <c r="V196">
        <f>HYPERLINK("https://klasma.github.io/Logging_1880/klagomål/A 71080-2018 FSC-klagomål.docx", "A 71080-2018")</f>
        <v/>
      </c>
      <c r="W196">
        <f>HYPERLINK("https://klasma.github.io/Logging_1880/klagomålsmail/A 71080-2018 FSC-klagomål mail.docx", "A 71080-2018")</f>
        <v/>
      </c>
      <c r="X196">
        <f>HYPERLINK("https://klasma.github.io/Logging_1880/tillsyn/A 71080-2018 tillsynsbegäran.docx", "A 71080-2018")</f>
        <v/>
      </c>
      <c r="Y196">
        <f>HYPERLINK("https://klasma.github.io/Logging_1880/tillsynsmail/A 71080-2018 tillsynsbegäran mail.docx", "A 71080-2018")</f>
        <v/>
      </c>
    </row>
    <row r="197" ht="15" customHeight="1">
      <c r="A197" t="inlineStr">
        <is>
          <t>A 71387-2018</t>
        </is>
      </c>
      <c r="B197" s="1" t="n">
        <v>43453</v>
      </c>
      <c r="C197" s="1" t="n">
        <v>45360</v>
      </c>
      <c r="D197" t="inlineStr">
        <is>
          <t>ÖREBRO LÄN</t>
        </is>
      </c>
      <c r="E197" t="inlineStr">
        <is>
          <t>LEKEBERG</t>
        </is>
      </c>
      <c r="F197" t="inlineStr">
        <is>
          <t>Allmännings- och besparingsskogar</t>
        </is>
      </c>
      <c r="G197" t="n">
        <v>49.7</v>
      </c>
      <c r="H197" t="n">
        <v>0</v>
      </c>
      <c r="I197" t="n">
        <v>0</v>
      </c>
      <c r="J197" t="n">
        <v>0</v>
      </c>
      <c r="K197" t="n">
        <v>1</v>
      </c>
      <c r="L197" t="n">
        <v>0</v>
      </c>
      <c r="M197" t="n">
        <v>0</v>
      </c>
      <c r="N197" t="n">
        <v>0</v>
      </c>
      <c r="O197" t="n">
        <v>1</v>
      </c>
      <c r="P197" t="n">
        <v>1</v>
      </c>
      <c r="Q197" t="n">
        <v>1</v>
      </c>
      <c r="R197" s="2" t="inlineStr">
        <is>
          <t>Violgubbe</t>
        </is>
      </c>
      <c r="S197">
        <f>HYPERLINK("https://klasma.github.io/Logging_1814/artfynd/A 71387-2018 artfynd.xlsx", "A 71387-2018")</f>
        <v/>
      </c>
      <c r="T197">
        <f>HYPERLINK("https://klasma.github.io/Logging_1814/kartor/A 71387-2018 karta.png", "A 71387-2018")</f>
        <v/>
      </c>
      <c r="V197">
        <f>HYPERLINK("https://klasma.github.io/Logging_1814/klagomål/A 71387-2018 FSC-klagomål.docx", "A 71387-2018")</f>
        <v/>
      </c>
      <c r="W197">
        <f>HYPERLINK("https://klasma.github.io/Logging_1814/klagomålsmail/A 71387-2018 FSC-klagomål mail.docx", "A 71387-2018")</f>
        <v/>
      </c>
      <c r="X197">
        <f>HYPERLINK("https://klasma.github.io/Logging_1814/tillsyn/A 71387-2018 tillsynsbegäran.docx", "A 71387-2018")</f>
        <v/>
      </c>
      <c r="Y197">
        <f>HYPERLINK("https://klasma.github.io/Logging_1814/tillsynsmail/A 71387-2018 tillsynsbegäran mail.docx", "A 71387-2018")</f>
        <v/>
      </c>
    </row>
    <row r="198" ht="15" customHeight="1">
      <c r="A198" t="inlineStr">
        <is>
          <t>A 51-2019</t>
        </is>
      </c>
      <c r="B198" s="1" t="n">
        <v>43467</v>
      </c>
      <c r="C198" s="1" t="n">
        <v>45360</v>
      </c>
      <c r="D198" t="inlineStr">
        <is>
          <t>ÖREBRO LÄN</t>
        </is>
      </c>
      <c r="E198" t="inlineStr">
        <is>
          <t>ASKERSUND</t>
        </is>
      </c>
      <c r="G198" t="n">
        <v>1.2</v>
      </c>
      <c r="H198" t="n">
        <v>0</v>
      </c>
      <c r="I198" t="n">
        <v>0</v>
      </c>
      <c r="J198" t="n">
        <v>1</v>
      </c>
      <c r="K198" t="n">
        <v>0</v>
      </c>
      <c r="L198" t="n">
        <v>0</v>
      </c>
      <c r="M198" t="n">
        <v>0</v>
      </c>
      <c r="N198" t="n">
        <v>0</v>
      </c>
      <c r="O198" t="n">
        <v>1</v>
      </c>
      <c r="P198" t="n">
        <v>0</v>
      </c>
      <c r="Q198" t="n">
        <v>1</v>
      </c>
      <c r="R198" s="2" t="inlineStr">
        <is>
          <t>Skogsklocka</t>
        </is>
      </c>
      <c r="S198">
        <f>HYPERLINK("https://klasma.github.io/Logging_1882/artfynd/A 51-2019 artfynd.xlsx", "A 51-2019")</f>
        <v/>
      </c>
      <c r="T198">
        <f>HYPERLINK("https://klasma.github.io/Logging_1882/kartor/A 51-2019 karta.png", "A 51-2019")</f>
        <v/>
      </c>
      <c r="V198">
        <f>HYPERLINK("https://klasma.github.io/Logging_1882/klagomål/A 51-2019 FSC-klagomål.docx", "A 51-2019")</f>
        <v/>
      </c>
      <c r="W198">
        <f>HYPERLINK("https://klasma.github.io/Logging_1882/klagomålsmail/A 51-2019 FSC-klagomål mail.docx", "A 51-2019")</f>
        <v/>
      </c>
      <c r="X198">
        <f>HYPERLINK("https://klasma.github.io/Logging_1882/tillsyn/A 51-2019 tillsynsbegäran.docx", "A 51-2019")</f>
        <v/>
      </c>
      <c r="Y198">
        <f>HYPERLINK("https://klasma.github.io/Logging_1882/tillsynsmail/A 51-2019 tillsynsbegäran mail.docx", "A 51-2019")</f>
        <v/>
      </c>
    </row>
    <row r="199" ht="15" customHeight="1">
      <c r="A199" t="inlineStr">
        <is>
          <t>A 5030-2019</t>
        </is>
      </c>
      <c r="B199" s="1" t="n">
        <v>43487</v>
      </c>
      <c r="C199" s="1" t="n">
        <v>45360</v>
      </c>
      <c r="D199" t="inlineStr">
        <is>
          <t>ÖREBRO LÄN</t>
        </is>
      </c>
      <c r="E199" t="inlineStr">
        <is>
          <t>HALLSBERG</t>
        </is>
      </c>
      <c r="F199" t="inlineStr">
        <is>
          <t>Allmännings- och besparingsskogar</t>
        </is>
      </c>
      <c r="G199" t="n">
        <v>9.699999999999999</v>
      </c>
      <c r="H199" t="n">
        <v>0</v>
      </c>
      <c r="I199" t="n">
        <v>0</v>
      </c>
      <c r="J199" t="n">
        <v>1</v>
      </c>
      <c r="K199" t="n">
        <v>0</v>
      </c>
      <c r="L199" t="n">
        <v>0</v>
      </c>
      <c r="M199" t="n">
        <v>0</v>
      </c>
      <c r="N199" t="n">
        <v>0</v>
      </c>
      <c r="O199" t="n">
        <v>1</v>
      </c>
      <c r="P199" t="n">
        <v>0</v>
      </c>
      <c r="Q199" t="n">
        <v>1</v>
      </c>
      <c r="R199" s="2" t="inlineStr">
        <is>
          <t>Skrovlig taggsvamp</t>
        </is>
      </c>
      <c r="S199">
        <f>HYPERLINK("https://klasma.github.io/Logging_1861/artfynd/A 5030-2019 artfynd.xlsx", "A 5030-2019")</f>
        <v/>
      </c>
      <c r="T199">
        <f>HYPERLINK("https://klasma.github.io/Logging_1861/kartor/A 5030-2019 karta.png", "A 5030-2019")</f>
        <v/>
      </c>
      <c r="V199">
        <f>HYPERLINK("https://klasma.github.io/Logging_1861/klagomål/A 5030-2019 FSC-klagomål.docx", "A 5030-2019")</f>
        <v/>
      </c>
      <c r="W199">
        <f>HYPERLINK("https://klasma.github.io/Logging_1861/klagomålsmail/A 5030-2019 FSC-klagomål mail.docx", "A 5030-2019")</f>
        <v/>
      </c>
      <c r="X199">
        <f>HYPERLINK("https://klasma.github.io/Logging_1861/tillsyn/A 5030-2019 tillsynsbegäran.docx", "A 5030-2019")</f>
        <v/>
      </c>
      <c r="Y199">
        <f>HYPERLINK("https://klasma.github.io/Logging_1861/tillsynsmail/A 5030-2019 tillsynsbegäran mail.docx", "A 5030-2019")</f>
        <v/>
      </c>
    </row>
    <row r="200" ht="15" customHeight="1">
      <c r="A200" t="inlineStr">
        <is>
          <t>A 6574-2019</t>
        </is>
      </c>
      <c r="B200" s="1" t="n">
        <v>43488</v>
      </c>
      <c r="C200" s="1" t="n">
        <v>45360</v>
      </c>
      <c r="D200" t="inlineStr">
        <is>
          <t>ÖREBRO LÄN</t>
        </is>
      </c>
      <c r="E200" t="inlineStr">
        <is>
          <t>KUMLA</t>
        </is>
      </c>
      <c r="F200" t="inlineStr">
        <is>
          <t>Kommuner</t>
        </is>
      </c>
      <c r="G200" t="n">
        <v>3</v>
      </c>
      <c r="H200" t="n">
        <v>1</v>
      </c>
      <c r="I200" t="n">
        <v>0</v>
      </c>
      <c r="J200" t="n">
        <v>1</v>
      </c>
      <c r="K200" t="n">
        <v>0</v>
      </c>
      <c r="L200" t="n">
        <v>0</v>
      </c>
      <c r="M200" t="n">
        <v>0</v>
      </c>
      <c r="N200" t="n">
        <v>0</v>
      </c>
      <c r="O200" t="n">
        <v>1</v>
      </c>
      <c r="P200" t="n">
        <v>0</v>
      </c>
      <c r="Q200" t="n">
        <v>1</v>
      </c>
      <c r="R200" s="2" t="inlineStr">
        <is>
          <t>Gulsparv</t>
        </is>
      </c>
      <c r="S200">
        <f>HYPERLINK("https://klasma.github.io/Logging_1881/artfynd/A 6574-2019 artfynd.xlsx", "A 6574-2019")</f>
        <v/>
      </c>
      <c r="T200">
        <f>HYPERLINK("https://klasma.github.io/Logging_1881/kartor/A 6574-2019 karta.png", "A 6574-2019")</f>
        <v/>
      </c>
      <c r="V200">
        <f>HYPERLINK("https://klasma.github.io/Logging_1881/klagomål/A 6574-2019 FSC-klagomål.docx", "A 6574-2019")</f>
        <v/>
      </c>
      <c r="W200">
        <f>HYPERLINK("https://klasma.github.io/Logging_1881/klagomålsmail/A 6574-2019 FSC-klagomål mail.docx", "A 6574-2019")</f>
        <v/>
      </c>
      <c r="X200">
        <f>HYPERLINK("https://klasma.github.io/Logging_1881/tillsyn/A 6574-2019 tillsynsbegäran.docx", "A 6574-2019")</f>
        <v/>
      </c>
      <c r="Y200">
        <f>HYPERLINK("https://klasma.github.io/Logging_1881/tillsynsmail/A 6574-2019 tillsynsbegäran mail.docx", "A 6574-2019")</f>
        <v/>
      </c>
    </row>
    <row r="201" ht="15" customHeight="1">
      <c r="A201" t="inlineStr">
        <is>
          <t>A 9579-2019</t>
        </is>
      </c>
      <c r="B201" s="1" t="n">
        <v>43508</v>
      </c>
      <c r="C201" s="1" t="n">
        <v>45360</v>
      </c>
      <c r="D201" t="inlineStr">
        <is>
          <t>ÖREBRO LÄN</t>
        </is>
      </c>
      <c r="E201" t="inlineStr">
        <is>
          <t>HALLSBERG</t>
        </is>
      </c>
      <c r="G201" t="n">
        <v>8.5</v>
      </c>
      <c r="H201" t="n">
        <v>0</v>
      </c>
      <c r="I201" t="n">
        <v>0</v>
      </c>
      <c r="J201" t="n">
        <v>1</v>
      </c>
      <c r="K201" t="n">
        <v>0</v>
      </c>
      <c r="L201" t="n">
        <v>0</v>
      </c>
      <c r="M201" t="n">
        <v>0</v>
      </c>
      <c r="N201" t="n">
        <v>0</v>
      </c>
      <c r="O201" t="n">
        <v>1</v>
      </c>
      <c r="P201" t="n">
        <v>0</v>
      </c>
      <c r="Q201" t="n">
        <v>1</v>
      </c>
      <c r="R201" s="2" t="inlineStr">
        <is>
          <t>Granspira</t>
        </is>
      </c>
      <c r="S201">
        <f>HYPERLINK("https://klasma.github.io/Logging_1861/artfynd/A 9579-2019 artfynd.xlsx", "A 9579-2019")</f>
        <v/>
      </c>
      <c r="T201">
        <f>HYPERLINK("https://klasma.github.io/Logging_1861/kartor/A 9579-2019 karta.png", "A 9579-2019")</f>
        <v/>
      </c>
      <c r="V201">
        <f>HYPERLINK("https://klasma.github.io/Logging_1861/klagomål/A 9579-2019 FSC-klagomål.docx", "A 9579-2019")</f>
        <v/>
      </c>
      <c r="W201">
        <f>HYPERLINK("https://klasma.github.io/Logging_1861/klagomålsmail/A 9579-2019 FSC-klagomål mail.docx", "A 9579-2019")</f>
        <v/>
      </c>
      <c r="X201">
        <f>HYPERLINK("https://klasma.github.io/Logging_1861/tillsyn/A 9579-2019 tillsynsbegäran.docx", "A 9579-2019")</f>
        <v/>
      </c>
      <c r="Y201">
        <f>HYPERLINK("https://klasma.github.io/Logging_1861/tillsynsmail/A 9579-2019 tillsynsbegäran mail.docx", "A 9579-2019")</f>
        <v/>
      </c>
    </row>
    <row r="202" ht="15" customHeight="1">
      <c r="A202" t="inlineStr">
        <is>
          <t>A 11950-2019</t>
        </is>
      </c>
      <c r="B202" s="1" t="n">
        <v>43521</v>
      </c>
      <c r="C202" s="1" t="n">
        <v>45360</v>
      </c>
      <c r="D202" t="inlineStr">
        <is>
          <t>ÖREBRO LÄN</t>
        </is>
      </c>
      <c r="E202" t="inlineStr">
        <is>
          <t>ASKERSUND</t>
        </is>
      </c>
      <c r="G202" t="n">
        <v>1.6</v>
      </c>
      <c r="H202" t="n">
        <v>0</v>
      </c>
      <c r="I202" t="n">
        <v>1</v>
      </c>
      <c r="J202" t="n">
        <v>0</v>
      </c>
      <c r="K202" t="n">
        <v>0</v>
      </c>
      <c r="L202" t="n">
        <v>0</v>
      </c>
      <c r="M202" t="n">
        <v>0</v>
      </c>
      <c r="N202" t="n">
        <v>0</v>
      </c>
      <c r="O202" t="n">
        <v>0</v>
      </c>
      <c r="P202" t="n">
        <v>0</v>
      </c>
      <c r="Q202" t="n">
        <v>1</v>
      </c>
      <c r="R202" s="2" t="inlineStr">
        <is>
          <t>Springkorn</t>
        </is>
      </c>
      <c r="S202">
        <f>HYPERLINK("https://klasma.github.io/Logging_1882/artfynd/A 11950-2019 artfynd.xlsx", "A 11950-2019")</f>
        <v/>
      </c>
      <c r="T202">
        <f>HYPERLINK("https://klasma.github.io/Logging_1882/kartor/A 11950-2019 karta.png", "A 11950-2019")</f>
        <v/>
      </c>
      <c r="V202">
        <f>HYPERLINK("https://klasma.github.io/Logging_1882/klagomål/A 11950-2019 FSC-klagomål.docx", "A 11950-2019")</f>
        <v/>
      </c>
      <c r="W202">
        <f>HYPERLINK("https://klasma.github.io/Logging_1882/klagomålsmail/A 11950-2019 FSC-klagomål mail.docx", "A 11950-2019")</f>
        <v/>
      </c>
      <c r="X202">
        <f>HYPERLINK("https://klasma.github.io/Logging_1882/tillsyn/A 11950-2019 tillsynsbegäran.docx", "A 11950-2019")</f>
        <v/>
      </c>
      <c r="Y202">
        <f>HYPERLINK("https://klasma.github.io/Logging_1882/tillsynsmail/A 11950-2019 tillsynsbegäran mail.docx", "A 11950-2019")</f>
        <v/>
      </c>
    </row>
    <row r="203" ht="15" customHeight="1">
      <c r="A203" t="inlineStr">
        <is>
          <t>A 12961-2019</t>
        </is>
      </c>
      <c r="B203" s="1" t="n">
        <v>43526</v>
      </c>
      <c r="C203" s="1" t="n">
        <v>45360</v>
      </c>
      <c r="D203" t="inlineStr">
        <is>
          <t>ÖREBRO LÄN</t>
        </is>
      </c>
      <c r="E203" t="inlineStr">
        <is>
          <t>LINDESBERG</t>
        </is>
      </c>
      <c r="G203" t="n">
        <v>1.7</v>
      </c>
      <c r="H203" t="n">
        <v>0</v>
      </c>
      <c r="I203" t="n">
        <v>1</v>
      </c>
      <c r="J203" t="n">
        <v>0</v>
      </c>
      <c r="K203" t="n">
        <v>0</v>
      </c>
      <c r="L203" t="n">
        <v>0</v>
      </c>
      <c r="M203" t="n">
        <v>0</v>
      </c>
      <c r="N203" t="n">
        <v>0</v>
      </c>
      <c r="O203" t="n">
        <v>0</v>
      </c>
      <c r="P203" t="n">
        <v>0</v>
      </c>
      <c r="Q203" t="n">
        <v>1</v>
      </c>
      <c r="R203" s="2" t="inlineStr">
        <is>
          <t>Stubbspretmossa</t>
        </is>
      </c>
      <c r="S203">
        <f>HYPERLINK("https://klasma.github.io/Logging_1885/artfynd/A 12961-2019 artfynd.xlsx", "A 12961-2019")</f>
        <v/>
      </c>
      <c r="T203">
        <f>HYPERLINK("https://klasma.github.io/Logging_1885/kartor/A 12961-2019 karta.png", "A 12961-2019")</f>
        <v/>
      </c>
      <c r="V203">
        <f>HYPERLINK("https://klasma.github.io/Logging_1885/klagomål/A 12961-2019 FSC-klagomål.docx", "A 12961-2019")</f>
        <v/>
      </c>
      <c r="W203">
        <f>HYPERLINK("https://klasma.github.io/Logging_1885/klagomålsmail/A 12961-2019 FSC-klagomål mail.docx", "A 12961-2019")</f>
        <v/>
      </c>
      <c r="X203">
        <f>HYPERLINK("https://klasma.github.io/Logging_1885/tillsyn/A 12961-2019 tillsynsbegäran.docx", "A 12961-2019")</f>
        <v/>
      </c>
      <c r="Y203">
        <f>HYPERLINK("https://klasma.github.io/Logging_1885/tillsynsmail/A 12961-2019 tillsynsbegäran mail.docx", "A 12961-2019")</f>
        <v/>
      </c>
    </row>
    <row r="204" ht="15" customHeight="1">
      <c r="A204" t="inlineStr">
        <is>
          <t>A 15569-2019</t>
        </is>
      </c>
      <c r="B204" s="1" t="n">
        <v>43539</v>
      </c>
      <c r="C204" s="1" t="n">
        <v>45360</v>
      </c>
      <c r="D204" t="inlineStr">
        <is>
          <t>ÖREBRO LÄN</t>
        </is>
      </c>
      <c r="E204" t="inlineStr">
        <is>
          <t>ASKERSUND</t>
        </is>
      </c>
      <c r="G204" t="n">
        <v>3.5</v>
      </c>
      <c r="H204" t="n">
        <v>0</v>
      </c>
      <c r="I204" t="n">
        <v>1</v>
      </c>
      <c r="J204" t="n">
        <v>0</v>
      </c>
      <c r="K204" t="n">
        <v>0</v>
      </c>
      <c r="L204" t="n">
        <v>0</v>
      </c>
      <c r="M204" t="n">
        <v>0</v>
      </c>
      <c r="N204" t="n">
        <v>0</v>
      </c>
      <c r="O204" t="n">
        <v>0</v>
      </c>
      <c r="P204" t="n">
        <v>0</v>
      </c>
      <c r="Q204" t="n">
        <v>1</v>
      </c>
      <c r="R204" s="2" t="inlineStr">
        <is>
          <t>Tibast</t>
        </is>
      </c>
      <c r="S204">
        <f>HYPERLINK("https://klasma.github.io/Logging_1882/artfynd/A 15569-2019 artfynd.xlsx", "A 15569-2019")</f>
        <v/>
      </c>
      <c r="T204">
        <f>HYPERLINK("https://klasma.github.io/Logging_1882/kartor/A 15569-2019 karta.png", "A 15569-2019")</f>
        <v/>
      </c>
      <c r="V204">
        <f>HYPERLINK("https://klasma.github.io/Logging_1882/klagomål/A 15569-2019 FSC-klagomål.docx", "A 15569-2019")</f>
        <v/>
      </c>
      <c r="W204">
        <f>HYPERLINK("https://klasma.github.io/Logging_1882/klagomålsmail/A 15569-2019 FSC-klagomål mail.docx", "A 15569-2019")</f>
        <v/>
      </c>
      <c r="X204">
        <f>HYPERLINK("https://klasma.github.io/Logging_1882/tillsyn/A 15569-2019 tillsynsbegäran.docx", "A 15569-2019")</f>
        <v/>
      </c>
      <c r="Y204">
        <f>HYPERLINK("https://klasma.github.io/Logging_1882/tillsynsmail/A 15569-2019 tillsynsbegäran mail.docx", "A 15569-2019")</f>
        <v/>
      </c>
    </row>
    <row r="205" ht="15" customHeight="1">
      <c r="A205" t="inlineStr">
        <is>
          <t>A 14964-2019</t>
        </is>
      </c>
      <c r="B205" s="1" t="n">
        <v>43539</v>
      </c>
      <c r="C205" s="1" t="n">
        <v>45360</v>
      </c>
      <c r="D205" t="inlineStr">
        <is>
          <t>ÖREBRO LÄN</t>
        </is>
      </c>
      <c r="E205" t="inlineStr">
        <is>
          <t>LINDESBERG</t>
        </is>
      </c>
      <c r="G205" t="n">
        <v>3.5</v>
      </c>
      <c r="H205" t="n">
        <v>0</v>
      </c>
      <c r="I205" t="n">
        <v>0</v>
      </c>
      <c r="J205" t="n">
        <v>0</v>
      </c>
      <c r="K205" t="n">
        <v>0</v>
      </c>
      <c r="L205" t="n">
        <v>1</v>
      </c>
      <c r="M205" t="n">
        <v>0</v>
      </c>
      <c r="N205" t="n">
        <v>0</v>
      </c>
      <c r="O205" t="n">
        <v>1</v>
      </c>
      <c r="P205" t="n">
        <v>1</v>
      </c>
      <c r="Q205" t="n">
        <v>1</v>
      </c>
      <c r="R205" s="2" t="inlineStr">
        <is>
          <t>Prakttagging</t>
        </is>
      </c>
      <c r="S205">
        <f>HYPERLINK("https://klasma.github.io/Logging_1885/artfynd/A 14964-2019 artfynd.xlsx", "A 14964-2019")</f>
        <v/>
      </c>
      <c r="T205">
        <f>HYPERLINK("https://klasma.github.io/Logging_1885/kartor/A 14964-2019 karta.png", "A 14964-2019")</f>
        <v/>
      </c>
      <c r="V205">
        <f>HYPERLINK("https://klasma.github.io/Logging_1885/klagomål/A 14964-2019 FSC-klagomål.docx", "A 14964-2019")</f>
        <v/>
      </c>
      <c r="W205">
        <f>HYPERLINK("https://klasma.github.io/Logging_1885/klagomålsmail/A 14964-2019 FSC-klagomål mail.docx", "A 14964-2019")</f>
        <v/>
      </c>
      <c r="X205">
        <f>HYPERLINK("https://klasma.github.io/Logging_1885/tillsyn/A 14964-2019 tillsynsbegäran.docx", "A 14964-2019")</f>
        <v/>
      </c>
      <c r="Y205">
        <f>HYPERLINK("https://klasma.github.io/Logging_1885/tillsynsmail/A 14964-2019 tillsynsbegäran mail.docx", "A 14964-2019")</f>
        <v/>
      </c>
    </row>
    <row r="206" ht="15" customHeight="1">
      <c r="A206" t="inlineStr">
        <is>
          <t>A 15351-2019</t>
        </is>
      </c>
      <c r="B206" s="1" t="n">
        <v>43541</v>
      </c>
      <c r="C206" s="1" t="n">
        <v>45360</v>
      </c>
      <c r="D206" t="inlineStr">
        <is>
          <t>ÖREBRO LÄN</t>
        </is>
      </c>
      <c r="E206" t="inlineStr">
        <is>
          <t>ÖREBRO</t>
        </is>
      </c>
      <c r="G206" t="n">
        <v>3.3</v>
      </c>
      <c r="H206" t="n">
        <v>1</v>
      </c>
      <c r="I206" t="n">
        <v>0</v>
      </c>
      <c r="J206" t="n">
        <v>0</v>
      </c>
      <c r="K206" t="n">
        <v>1</v>
      </c>
      <c r="L206" t="n">
        <v>0</v>
      </c>
      <c r="M206" t="n">
        <v>0</v>
      </c>
      <c r="N206" t="n">
        <v>0</v>
      </c>
      <c r="O206" t="n">
        <v>1</v>
      </c>
      <c r="P206" t="n">
        <v>1</v>
      </c>
      <c r="Q206" t="n">
        <v>1</v>
      </c>
      <c r="R206" s="2" t="inlineStr">
        <is>
          <t>Hällebräcka</t>
        </is>
      </c>
      <c r="S206">
        <f>HYPERLINK("https://klasma.github.io/Logging_1880/artfynd/A 15351-2019 artfynd.xlsx", "A 15351-2019")</f>
        <v/>
      </c>
      <c r="T206">
        <f>HYPERLINK("https://klasma.github.io/Logging_1880/kartor/A 15351-2019 karta.png", "A 15351-2019")</f>
        <v/>
      </c>
      <c r="V206">
        <f>HYPERLINK("https://klasma.github.io/Logging_1880/klagomål/A 15351-2019 FSC-klagomål.docx", "A 15351-2019")</f>
        <v/>
      </c>
      <c r="W206">
        <f>HYPERLINK("https://klasma.github.io/Logging_1880/klagomålsmail/A 15351-2019 FSC-klagomål mail.docx", "A 15351-2019")</f>
        <v/>
      </c>
      <c r="X206">
        <f>HYPERLINK("https://klasma.github.io/Logging_1880/tillsyn/A 15351-2019 tillsynsbegäran.docx", "A 15351-2019")</f>
        <v/>
      </c>
      <c r="Y206">
        <f>HYPERLINK("https://klasma.github.io/Logging_1880/tillsynsmail/A 15351-2019 tillsynsbegäran mail.docx", "A 15351-2019")</f>
        <v/>
      </c>
    </row>
    <row r="207" ht="15" customHeight="1">
      <c r="A207" t="inlineStr">
        <is>
          <t>A 18741-2019</t>
        </is>
      </c>
      <c r="B207" s="1" t="n">
        <v>43560</v>
      </c>
      <c r="C207" s="1" t="n">
        <v>45360</v>
      </c>
      <c r="D207" t="inlineStr">
        <is>
          <t>ÖREBRO LÄN</t>
        </is>
      </c>
      <c r="E207" t="inlineStr">
        <is>
          <t>LINDESBERG</t>
        </is>
      </c>
      <c r="G207" t="n">
        <v>6.7</v>
      </c>
      <c r="H207" t="n">
        <v>0</v>
      </c>
      <c r="I207" t="n">
        <v>1</v>
      </c>
      <c r="J207" t="n">
        <v>0</v>
      </c>
      <c r="K207" t="n">
        <v>0</v>
      </c>
      <c r="L207" t="n">
        <v>0</v>
      </c>
      <c r="M207" t="n">
        <v>0</v>
      </c>
      <c r="N207" t="n">
        <v>0</v>
      </c>
      <c r="O207" t="n">
        <v>0</v>
      </c>
      <c r="P207" t="n">
        <v>0</v>
      </c>
      <c r="Q207" t="n">
        <v>1</v>
      </c>
      <c r="R207" s="2" t="inlineStr">
        <is>
          <t>Dropptaggsvamp</t>
        </is>
      </c>
      <c r="S207">
        <f>HYPERLINK("https://klasma.github.io/Logging_1885/artfynd/A 18741-2019 artfynd.xlsx", "A 18741-2019")</f>
        <v/>
      </c>
      <c r="T207">
        <f>HYPERLINK("https://klasma.github.io/Logging_1885/kartor/A 18741-2019 karta.png", "A 18741-2019")</f>
        <v/>
      </c>
      <c r="V207">
        <f>HYPERLINK("https://klasma.github.io/Logging_1885/klagomål/A 18741-2019 FSC-klagomål.docx", "A 18741-2019")</f>
        <v/>
      </c>
      <c r="W207">
        <f>HYPERLINK("https://klasma.github.io/Logging_1885/klagomålsmail/A 18741-2019 FSC-klagomål mail.docx", "A 18741-2019")</f>
        <v/>
      </c>
      <c r="X207">
        <f>HYPERLINK("https://klasma.github.io/Logging_1885/tillsyn/A 18741-2019 tillsynsbegäran.docx", "A 18741-2019")</f>
        <v/>
      </c>
      <c r="Y207">
        <f>HYPERLINK("https://klasma.github.io/Logging_1885/tillsynsmail/A 18741-2019 tillsynsbegäran mail.docx", "A 18741-2019")</f>
        <v/>
      </c>
    </row>
    <row r="208" ht="15" customHeight="1">
      <c r="A208" t="inlineStr">
        <is>
          <t>A 22674-2019</t>
        </is>
      </c>
      <c r="B208" s="1" t="n">
        <v>43588</v>
      </c>
      <c r="C208" s="1" t="n">
        <v>45360</v>
      </c>
      <c r="D208" t="inlineStr">
        <is>
          <t>ÖREBRO LÄN</t>
        </is>
      </c>
      <c r="E208" t="inlineStr">
        <is>
          <t>LINDESBERG</t>
        </is>
      </c>
      <c r="F208" t="inlineStr">
        <is>
          <t>Sveaskog</t>
        </is>
      </c>
      <c r="G208" t="n">
        <v>1.6</v>
      </c>
      <c r="H208" t="n">
        <v>1</v>
      </c>
      <c r="I208" t="n">
        <v>0</v>
      </c>
      <c r="J208" t="n">
        <v>1</v>
      </c>
      <c r="K208" t="n">
        <v>0</v>
      </c>
      <c r="L208" t="n">
        <v>0</v>
      </c>
      <c r="M208" t="n">
        <v>0</v>
      </c>
      <c r="N208" t="n">
        <v>0</v>
      </c>
      <c r="O208" t="n">
        <v>1</v>
      </c>
      <c r="P208" t="n">
        <v>0</v>
      </c>
      <c r="Q208" t="n">
        <v>1</v>
      </c>
      <c r="R208" s="2" t="inlineStr">
        <is>
          <t>Nordfladdermus</t>
        </is>
      </c>
      <c r="S208">
        <f>HYPERLINK("https://klasma.github.io/Logging_1885/artfynd/A 22674-2019 artfynd.xlsx", "A 22674-2019")</f>
        <v/>
      </c>
      <c r="T208">
        <f>HYPERLINK("https://klasma.github.io/Logging_1885/kartor/A 22674-2019 karta.png", "A 22674-2019")</f>
        <v/>
      </c>
      <c r="V208">
        <f>HYPERLINK("https://klasma.github.io/Logging_1885/klagomål/A 22674-2019 FSC-klagomål.docx", "A 22674-2019")</f>
        <v/>
      </c>
      <c r="W208">
        <f>HYPERLINK("https://klasma.github.io/Logging_1885/klagomålsmail/A 22674-2019 FSC-klagomål mail.docx", "A 22674-2019")</f>
        <v/>
      </c>
      <c r="X208">
        <f>HYPERLINK("https://klasma.github.io/Logging_1885/tillsyn/A 22674-2019 tillsynsbegäran.docx", "A 22674-2019")</f>
        <v/>
      </c>
      <c r="Y208">
        <f>HYPERLINK("https://klasma.github.io/Logging_1885/tillsynsmail/A 22674-2019 tillsynsbegäran mail.docx", "A 22674-2019")</f>
        <v/>
      </c>
    </row>
    <row r="209" ht="15" customHeight="1">
      <c r="A209" t="inlineStr">
        <is>
          <t>A 24746-2019</t>
        </is>
      </c>
      <c r="B209" s="1" t="n">
        <v>43601</v>
      </c>
      <c r="C209" s="1" t="n">
        <v>45360</v>
      </c>
      <c r="D209" t="inlineStr">
        <is>
          <t>ÖREBRO LÄN</t>
        </is>
      </c>
      <c r="E209" t="inlineStr">
        <is>
          <t>LINDESBERG</t>
        </is>
      </c>
      <c r="G209" t="n">
        <v>2.3</v>
      </c>
      <c r="H209" t="n">
        <v>1</v>
      </c>
      <c r="I209" t="n">
        <v>0</v>
      </c>
      <c r="J209" t="n">
        <v>0</v>
      </c>
      <c r="K209" t="n">
        <v>0</v>
      </c>
      <c r="L209" t="n">
        <v>0</v>
      </c>
      <c r="M209" t="n">
        <v>0</v>
      </c>
      <c r="N209" t="n">
        <v>0</v>
      </c>
      <c r="O209" t="n">
        <v>0</v>
      </c>
      <c r="P209" t="n">
        <v>0</v>
      </c>
      <c r="Q209" t="n">
        <v>1</v>
      </c>
      <c r="R209" s="2" t="inlineStr">
        <is>
          <t>Revlummer</t>
        </is>
      </c>
      <c r="S209">
        <f>HYPERLINK("https://klasma.github.io/Logging_1885/artfynd/A 24746-2019 artfynd.xlsx", "A 24746-2019")</f>
        <v/>
      </c>
      <c r="T209">
        <f>HYPERLINK("https://klasma.github.io/Logging_1885/kartor/A 24746-2019 karta.png", "A 24746-2019")</f>
        <v/>
      </c>
      <c r="V209">
        <f>HYPERLINK("https://klasma.github.io/Logging_1885/klagomål/A 24746-2019 FSC-klagomål.docx", "A 24746-2019")</f>
        <v/>
      </c>
      <c r="W209">
        <f>HYPERLINK("https://klasma.github.io/Logging_1885/klagomålsmail/A 24746-2019 FSC-klagomål mail.docx", "A 24746-2019")</f>
        <v/>
      </c>
      <c r="X209">
        <f>HYPERLINK("https://klasma.github.io/Logging_1885/tillsyn/A 24746-2019 tillsynsbegäran.docx", "A 24746-2019")</f>
        <v/>
      </c>
      <c r="Y209">
        <f>HYPERLINK("https://klasma.github.io/Logging_1885/tillsynsmail/A 24746-2019 tillsynsbegäran mail.docx", "A 24746-2019")</f>
        <v/>
      </c>
    </row>
    <row r="210" ht="15" customHeight="1">
      <c r="A210" t="inlineStr">
        <is>
          <t>A 25813-2019</t>
        </is>
      </c>
      <c r="B210" s="1" t="n">
        <v>43608</v>
      </c>
      <c r="C210" s="1" t="n">
        <v>45360</v>
      </c>
      <c r="D210" t="inlineStr">
        <is>
          <t>ÖREBRO LÄN</t>
        </is>
      </c>
      <c r="E210" t="inlineStr">
        <is>
          <t>ASKERSUND</t>
        </is>
      </c>
      <c r="G210" t="n">
        <v>2.4</v>
      </c>
      <c r="H210" t="n">
        <v>0</v>
      </c>
      <c r="I210" t="n">
        <v>0</v>
      </c>
      <c r="J210" t="n">
        <v>1</v>
      </c>
      <c r="K210" t="n">
        <v>0</v>
      </c>
      <c r="L210" t="n">
        <v>0</v>
      </c>
      <c r="M210" t="n">
        <v>0</v>
      </c>
      <c r="N210" t="n">
        <v>0</v>
      </c>
      <c r="O210" t="n">
        <v>1</v>
      </c>
      <c r="P210" t="n">
        <v>0</v>
      </c>
      <c r="Q210" t="n">
        <v>1</v>
      </c>
      <c r="R210" s="2" t="inlineStr">
        <is>
          <t>Ängsstarr</t>
        </is>
      </c>
      <c r="S210">
        <f>HYPERLINK("https://klasma.github.io/Logging_1882/artfynd/A 25813-2019 artfynd.xlsx", "A 25813-2019")</f>
        <v/>
      </c>
      <c r="T210">
        <f>HYPERLINK("https://klasma.github.io/Logging_1882/kartor/A 25813-2019 karta.png", "A 25813-2019")</f>
        <v/>
      </c>
      <c r="V210">
        <f>HYPERLINK("https://klasma.github.io/Logging_1882/klagomål/A 25813-2019 FSC-klagomål.docx", "A 25813-2019")</f>
        <v/>
      </c>
      <c r="W210">
        <f>HYPERLINK("https://klasma.github.io/Logging_1882/klagomålsmail/A 25813-2019 FSC-klagomål mail.docx", "A 25813-2019")</f>
        <v/>
      </c>
      <c r="X210">
        <f>HYPERLINK("https://klasma.github.io/Logging_1882/tillsyn/A 25813-2019 tillsynsbegäran.docx", "A 25813-2019")</f>
        <v/>
      </c>
      <c r="Y210">
        <f>HYPERLINK("https://klasma.github.io/Logging_1882/tillsynsmail/A 25813-2019 tillsynsbegäran mail.docx", "A 25813-2019")</f>
        <v/>
      </c>
    </row>
    <row r="211" ht="15" customHeight="1">
      <c r="A211" t="inlineStr">
        <is>
          <t>A 33605-2019</t>
        </is>
      </c>
      <c r="B211" s="1" t="n">
        <v>43644</v>
      </c>
      <c r="C211" s="1" t="n">
        <v>45360</v>
      </c>
      <c r="D211" t="inlineStr">
        <is>
          <t>ÖREBRO LÄN</t>
        </is>
      </c>
      <c r="E211" t="inlineStr">
        <is>
          <t>ÖREBRO</t>
        </is>
      </c>
      <c r="F211" t="inlineStr">
        <is>
          <t>Kommuner</t>
        </is>
      </c>
      <c r="G211" t="n">
        <v>1.5</v>
      </c>
      <c r="H211" t="n">
        <v>0</v>
      </c>
      <c r="I211" t="n">
        <v>0</v>
      </c>
      <c r="J211" t="n">
        <v>1</v>
      </c>
      <c r="K211" t="n">
        <v>0</v>
      </c>
      <c r="L211" t="n">
        <v>0</v>
      </c>
      <c r="M211" t="n">
        <v>0</v>
      </c>
      <c r="N211" t="n">
        <v>0</v>
      </c>
      <c r="O211" t="n">
        <v>1</v>
      </c>
      <c r="P211" t="n">
        <v>0</v>
      </c>
      <c r="Q211" t="n">
        <v>1</v>
      </c>
      <c r="R211" s="2" t="inlineStr">
        <is>
          <t>Tallticka</t>
        </is>
      </c>
      <c r="S211">
        <f>HYPERLINK("https://klasma.github.io/Logging_1880/artfynd/A 33605-2019 artfynd.xlsx", "A 33605-2019")</f>
        <v/>
      </c>
      <c r="T211">
        <f>HYPERLINK("https://klasma.github.io/Logging_1880/kartor/A 33605-2019 karta.png", "A 33605-2019")</f>
        <v/>
      </c>
      <c r="V211">
        <f>HYPERLINK("https://klasma.github.io/Logging_1880/klagomål/A 33605-2019 FSC-klagomål.docx", "A 33605-2019")</f>
        <v/>
      </c>
      <c r="W211">
        <f>HYPERLINK("https://klasma.github.io/Logging_1880/klagomålsmail/A 33605-2019 FSC-klagomål mail.docx", "A 33605-2019")</f>
        <v/>
      </c>
      <c r="X211">
        <f>HYPERLINK("https://klasma.github.io/Logging_1880/tillsyn/A 33605-2019 tillsynsbegäran.docx", "A 33605-2019")</f>
        <v/>
      </c>
      <c r="Y211">
        <f>HYPERLINK("https://klasma.github.io/Logging_1880/tillsynsmail/A 33605-2019 tillsynsbegäran mail.docx", "A 33605-2019")</f>
        <v/>
      </c>
    </row>
    <row r="212" ht="15" customHeight="1">
      <c r="A212" t="inlineStr">
        <is>
          <t>A 35654-2019</t>
        </is>
      </c>
      <c r="B212" s="1" t="n">
        <v>43655</v>
      </c>
      <c r="C212" s="1" t="n">
        <v>45360</v>
      </c>
      <c r="D212" t="inlineStr">
        <is>
          <t>ÖREBRO LÄN</t>
        </is>
      </c>
      <c r="E212" t="inlineStr">
        <is>
          <t>HALLSBERG</t>
        </is>
      </c>
      <c r="F212" t="inlineStr">
        <is>
          <t>Allmännings- och besparingsskogar</t>
        </is>
      </c>
      <c r="G212" t="n">
        <v>0.6</v>
      </c>
      <c r="H212" t="n">
        <v>1</v>
      </c>
      <c r="I212" t="n">
        <v>0</v>
      </c>
      <c r="J212" t="n">
        <v>0</v>
      </c>
      <c r="K212" t="n">
        <v>0</v>
      </c>
      <c r="L212" t="n">
        <v>0</v>
      </c>
      <c r="M212" t="n">
        <v>0</v>
      </c>
      <c r="N212" t="n">
        <v>0</v>
      </c>
      <c r="O212" t="n">
        <v>0</v>
      </c>
      <c r="P212" t="n">
        <v>0</v>
      </c>
      <c r="Q212" t="n">
        <v>1</v>
      </c>
      <c r="R212" s="2" t="inlineStr">
        <is>
          <t>Revlummer</t>
        </is>
      </c>
      <c r="S212">
        <f>HYPERLINK("https://klasma.github.io/Logging_1861/artfynd/A 35654-2019 artfynd.xlsx", "A 35654-2019")</f>
        <v/>
      </c>
      <c r="T212">
        <f>HYPERLINK("https://klasma.github.io/Logging_1861/kartor/A 35654-2019 karta.png", "A 35654-2019")</f>
        <v/>
      </c>
      <c r="V212">
        <f>HYPERLINK("https://klasma.github.io/Logging_1861/klagomål/A 35654-2019 FSC-klagomål.docx", "A 35654-2019")</f>
        <v/>
      </c>
      <c r="W212">
        <f>HYPERLINK("https://klasma.github.io/Logging_1861/klagomålsmail/A 35654-2019 FSC-klagomål mail.docx", "A 35654-2019")</f>
        <v/>
      </c>
      <c r="X212">
        <f>HYPERLINK("https://klasma.github.io/Logging_1861/tillsyn/A 35654-2019 tillsynsbegäran.docx", "A 35654-2019")</f>
        <v/>
      </c>
      <c r="Y212">
        <f>HYPERLINK("https://klasma.github.io/Logging_1861/tillsynsmail/A 35654-2019 tillsynsbegäran mail.docx", "A 35654-2019")</f>
        <v/>
      </c>
    </row>
    <row r="213" ht="15" customHeight="1">
      <c r="A213" t="inlineStr">
        <is>
          <t>A 37961-2019</t>
        </is>
      </c>
      <c r="B213" s="1" t="n">
        <v>43683</v>
      </c>
      <c r="C213" s="1" t="n">
        <v>45360</v>
      </c>
      <c r="D213" t="inlineStr">
        <is>
          <t>ÖREBRO LÄN</t>
        </is>
      </c>
      <c r="E213" t="inlineStr">
        <is>
          <t>LEKEBERG</t>
        </is>
      </c>
      <c r="G213" t="n">
        <v>6.2</v>
      </c>
      <c r="H213" t="n">
        <v>1</v>
      </c>
      <c r="I213" t="n">
        <v>0</v>
      </c>
      <c r="J213" t="n">
        <v>0</v>
      </c>
      <c r="K213" t="n">
        <v>0</v>
      </c>
      <c r="L213" t="n">
        <v>0</v>
      </c>
      <c r="M213" t="n">
        <v>0</v>
      </c>
      <c r="N213" t="n">
        <v>0</v>
      </c>
      <c r="O213" t="n">
        <v>0</v>
      </c>
      <c r="P213" t="n">
        <v>0</v>
      </c>
      <c r="Q213" t="n">
        <v>1</v>
      </c>
      <c r="R213" s="2" t="inlineStr">
        <is>
          <t>Nattviol</t>
        </is>
      </c>
      <c r="S213">
        <f>HYPERLINK("https://klasma.github.io/Logging_1814/artfynd/A 37961-2019 artfynd.xlsx", "A 37961-2019")</f>
        <v/>
      </c>
      <c r="T213">
        <f>HYPERLINK("https://klasma.github.io/Logging_1814/kartor/A 37961-2019 karta.png", "A 37961-2019")</f>
        <v/>
      </c>
      <c r="V213">
        <f>HYPERLINK("https://klasma.github.io/Logging_1814/klagomål/A 37961-2019 FSC-klagomål.docx", "A 37961-2019")</f>
        <v/>
      </c>
      <c r="W213">
        <f>HYPERLINK("https://klasma.github.io/Logging_1814/klagomålsmail/A 37961-2019 FSC-klagomål mail.docx", "A 37961-2019")</f>
        <v/>
      </c>
      <c r="X213">
        <f>HYPERLINK("https://klasma.github.io/Logging_1814/tillsyn/A 37961-2019 tillsynsbegäran.docx", "A 37961-2019")</f>
        <v/>
      </c>
      <c r="Y213">
        <f>HYPERLINK("https://klasma.github.io/Logging_1814/tillsynsmail/A 37961-2019 tillsynsbegäran mail.docx", "A 37961-2019")</f>
        <v/>
      </c>
    </row>
    <row r="214" ht="15" customHeight="1">
      <c r="A214" t="inlineStr">
        <is>
          <t>A 38446-2019</t>
        </is>
      </c>
      <c r="B214" s="1" t="n">
        <v>43685</v>
      </c>
      <c r="C214" s="1" t="n">
        <v>45360</v>
      </c>
      <c r="D214" t="inlineStr">
        <is>
          <t>ÖREBRO LÄN</t>
        </is>
      </c>
      <c r="E214" t="inlineStr">
        <is>
          <t>HALLSBERG</t>
        </is>
      </c>
      <c r="G214" t="n">
        <v>1.4</v>
      </c>
      <c r="H214" t="n">
        <v>1</v>
      </c>
      <c r="I214" t="n">
        <v>0</v>
      </c>
      <c r="J214" t="n">
        <v>0</v>
      </c>
      <c r="K214" t="n">
        <v>0</v>
      </c>
      <c r="L214" t="n">
        <v>0</v>
      </c>
      <c r="M214" t="n">
        <v>0</v>
      </c>
      <c r="N214" t="n">
        <v>0</v>
      </c>
      <c r="O214" t="n">
        <v>0</v>
      </c>
      <c r="P214" t="n">
        <v>0</v>
      </c>
      <c r="Q214" t="n">
        <v>1</v>
      </c>
      <c r="R214" s="2" t="inlineStr">
        <is>
          <t>Grönvit nattviol</t>
        </is>
      </c>
      <c r="S214">
        <f>HYPERLINK("https://klasma.github.io/Logging_1861/artfynd/A 38446-2019 artfynd.xlsx", "A 38446-2019")</f>
        <v/>
      </c>
      <c r="T214">
        <f>HYPERLINK("https://klasma.github.io/Logging_1861/kartor/A 38446-2019 karta.png", "A 38446-2019")</f>
        <v/>
      </c>
      <c r="V214">
        <f>HYPERLINK("https://klasma.github.io/Logging_1861/klagomål/A 38446-2019 FSC-klagomål.docx", "A 38446-2019")</f>
        <v/>
      </c>
      <c r="W214">
        <f>HYPERLINK("https://klasma.github.io/Logging_1861/klagomålsmail/A 38446-2019 FSC-klagomål mail.docx", "A 38446-2019")</f>
        <v/>
      </c>
      <c r="X214">
        <f>HYPERLINK("https://klasma.github.io/Logging_1861/tillsyn/A 38446-2019 tillsynsbegäran.docx", "A 38446-2019")</f>
        <v/>
      </c>
      <c r="Y214">
        <f>HYPERLINK("https://klasma.github.io/Logging_1861/tillsynsmail/A 38446-2019 tillsynsbegäran mail.docx", "A 38446-2019")</f>
        <v/>
      </c>
    </row>
    <row r="215" ht="15" customHeight="1">
      <c r="A215" t="inlineStr">
        <is>
          <t>A 39515-2019</t>
        </is>
      </c>
      <c r="B215" s="1" t="n">
        <v>43691</v>
      </c>
      <c r="C215" s="1" t="n">
        <v>45360</v>
      </c>
      <c r="D215" t="inlineStr">
        <is>
          <t>ÖREBRO LÄN</t>
        </is>
      </c>
      <c r="E215" t="inlineStr">
        <is>
          <t>ASKERSUND</t>
        </is>
      </c>
      <c r="F215" t="inlineStr">
        <is>
          <t>Sveaskog</t>
        </is>
      </c>
      <c r="G215" t="n">
        <v>2.4</v>
      </c>
      <c r="H215" t="n">
        <v>0</v>
      </c>
      <c r="I215" t="n">
        <v>0</v>
      </c>
      <c r="J215" t="n">
        <v>1</v>
      </c>
      <c r="K215" t="n">
        <v>0</v>
      </c>
      <c r="L215" t="n">
        <v>0</v>
      </c>
      <c r="M215" t="n">
        <v>0</v>
      </c>
      <c r="N215" t="n">
        <v>0</v>
      </c>
      <c r="O215" t="n">
        <v>1</v>
      </c>
      <c r="P215" t="n">
        <v>0</v>
      </c>
      <c r="Q215" t="n">
        <v>1</v>
      </c>
      <c r="R215" s="2" t="inlineStr">
        <is>
          <t>Svinrot</t>
        </is>
      </c>
      <c r="S215">
        <f>HYPERLINK("https://klasma.github.io/Logging_1882/artfynd/A 39515-2019 artfynd.xlsx", "A 39515-2019")</f>
        <v/>
      </c>
      <c r="T215">
        <f>HYPERLINK("https://klasma.github.io/Logging_1882/kartor/A 39515-2019 karta.png", "A 39515-2019")</f>
        <v/>
      </c>
      <c r="V215">
        <f>HYPERLINK("https://klasma.github.io/Logging_1882/klagomål/A 39515-2019 FSC-klagomål.docx", "A 39515-2019")</f>
        <v/>
      </c>
      <c r="W215">
        <f>HYPERLINK("https://klasma.github.io/Logging_1882/klagomålsmail/A 39515-2019 FSC-klagomål mail.docx", "A 39515-2019")</f>
        <v/>
      </c>
      <c r="X215">
        <f>HYPERLINK("https://klasma.github.io/Logging_1882/tillsyn/A 39515-2019 tillsynsbegäran.docx", "A 39515-2019")</f>
        <v/>
      </c>
      <c r="Y215">
        <f>HYPERLINK("https://klasma.github.io/Logging_1882/tillsynsmail/A 39515-2019 tillsynsbegäran mail.docx", "A 39515-2019")</f>
        <v/>
      </c>
    </row>
    <row r="216" ht="15" customHeight="1">
      <c r="A216" t="inlineStr">
        <is>
          <t>A 39511-2019</t>
        </is>
      </c>
      <c r="B216" s="1" t="n">
        <v>43691</v>
      </c>
      <c r="C216" s="1" t="n">
        <v>45360</v>
      </c>
      <c r="D216" t="inlineStr">
        <is>
          <t>ÖREBRO LÄN</t>
        </is>
      </c>
      <c r="E216" t="inlineStr">
        <is>
          <t>ASKERSUND</t>
        </is>
      </c>
      <c r="F216" t="inlineStr">
        <is>
          <t>Sveaskog</t>
        </is>
      </c>
      <c r="G216" t="n">
        <v>0.9</v>
      </c>
      <c r="H216" t="n">
        <v>0</v>
      </c>
      <c r="I216" t="n">
        <v>0</v>
      </c>
      <c r="J216" t="n">
        <v>1</v>
      </c>
      <c r="K216" t="n">
        <v>0</v>
      </c>
      <c r="L216" t="n">
        <v>0</v>
      </c>
      <c r="M216" t="n">
        <v>0</v>
      </c>
      <c r="N216" t="n">
        <v>0</v>
      </c>
      <c r="O216" t="n">
        <v>1</v>
      </c>
      <c r="P216" t="n">
        <v>0</v>
      </c>
      <c r="Q216" t="n">
        <v>1</v>
      </c>
      <c r="R216" s="2" t="inlineStr">
        <is>
          <t>Svinrot</t>
        </is>
      </c>
      <c r="S216">
        <f>HYPERLINK("https://klasma.github.io/Logging_1882/artfynd/A 39511-2019 artfynd.xlsx", "A 39511-2019")</f>
        <v/>
      </c>
      <c r="T216">
        <f>HYPERLINK("https://klasma.github.io/Logging_1882/kartor/A 39511-2019 karta.png", "A 39511-2019")</f>
        <v/>
      </c>
      <c r="V216">
        <f>HYPERLINK("https://klasma.github.io/Logging_1882/klagomål/A 39511-2019 FSC-klagomål.docx", "A 39511-2019")</f>
        <v/>
      </c>
      <c r="W216">
        <f>HYPERLINK("https://klasma.github.io/Logging_1882/klagomålsmail/A 39511-2019 FSC-klagomål mail.docx", "A 39511-2019")</f>
        <v/>
      </c>
      <c r="X216">
        <f>HYPERLINK("https://klasma.github.io/Logging_1882/tillsyn/A 39511-2019 tillsynsbegäran.docx", "A 39511-2019")</f>
        <v/>
      </c>
      <c r="Y216">
        <f>HYPERLINK("https://klasma.github.io/Logging_1882/tillsynsmail/A 39511-2019 tillsynsbegäran mail.docx", "A 39511-2019")</f>
        <v/>
      </c>
    </row>
    <row r="217" ht="15" customHeight="1">
      <c r="A217" t="inlineStr">
        <is>
          <t>A 41505-2019</t>
        </is>
      </c>
      <c r="B217" s="1" t="n">
        <v>43696</v>
      </c>
      <c r="C217" s="1" t="n">
        <v>45360</v>
      </c>
      <c r="D217" t="inlineStr">
        <is>
          <t>ÖREBRO LÄN</t>
        </is>
      </c>
      <c r="E217" t="inlineStr">
        <is>
          <t>ÖREBRO</t>
        </is>
      </c>
      <c r="F217" t="inlineStr">
        <is>
          <t>Kommuner</t>
        </is>
      </c>
      <c r="G217" t="n">
        <v>2.9</v>
      </c>
      <c r="H217" t="n">
        <v>0</v>
      </c>
      <c r="I217" t="n">
        <v>0</v>
      </c>
      <c r="J217" t="n">
        <v>1</v>
      </c>
      <c r="K217" t="n">
        <v>0</v>
      </c>
      <c r="L217" t="n">
        <v>0</v>
      </c>
      <c r="M217" t="n">
        <v>0</v>
      </c>
      <c r="N217" t="n">
        <v>0</v>
      </c>
      <c r="O217" t="n">
        <v>1</v>
      </c>
      <c r="P217" t="n">
        <v>0</v>
      </c>
      <c r="Q217" t="n">
        <v>1</v>
      </c>
      <c r="R217" s="2" t="inlineStr">
        <is>
          <t>Tallticka</t>
        </is>
      </c>
      <c r="S217">
        <f>HYPERLINK("https://klasma.github.io/Logging_1880/artfynd/A 41505-2019 artfynd.xlsx", "A 41505-2019")</f>
        <v/>
      </c>
      <c r="T217">
        <f>HYPERLINK("https://klasma.github.io/Logging_1880/kartor/A 41505-2019 karta.png", "A 41505-2019")</f>
        <v/>
      </c>
      <c r="V217">
        <f>HYPERLINK("https://klasma.github.io/Logging_1880/klagomål/A 41505-2019 FSC-klagomål.docx", "A 41505-2019")</f>
        <v/>
      </c>
      <c r="W217">
        <f>HYPERLINK("https://klasma.github.io/Logging_1880/klagomålsmail/A 41505-2019 FSC-klagomål mail.docx", "A 41505-2019")</f>
        <v/>
      </c>
      <c r="X217">
        <f>HYPERLINK("https://klasma.github.io/Logging_1880/tillsyn/A 41505-2019 tillsynsbegäran.docx", "A 41505-2019")</f>
        <v/>
      </c>
      <c r="Y217">
        <f>HYPERLINK("https://klasma.github.io/Logging_1880/tillsynsmail/A 41505-2019 tillsynsbegäran mail.docx", "A 41505-2019")</f>
        <v/>
      </c>
    </row>
    <row r="218" ht="15" customHeight="1">
      <c r="A218" t="inlineStr">
        <is>
          <t>A 48244-2019</t>
        </is>
      </c>
      <c r="B218" s="1" t="n">
        <v>43726</v>
      </c>
      <c r="C218" s="1" t="n">
        <v>45360</v>
      </c>
      <c r="D218" t="inlineStr">
        <is>
          <t>ÖREBRO LÄN</t>
        </is>
      </c>
      <c r="E218" t="inlineStr">
        <is>
          <t>LAXÅ</t>
        </is>
      </c>
      <c r="G218" t="n">
        <v>6.2</v>
      </c>
      <c r="H218" t="n">
        <v>0</v>
      </c>
      <c r="I218" t="n">
        <v>1</v>
      </c>
      <c r="J218" t="n">
        <v>0</v>
      </c>
      <c r="K218" t="n">
        <v>0</v>
      </c>
      <c r="L218" t="n">
        <v>0</v>
      </c>
      <c r="M218" t="n">
        <v>0</v>
      </c>
      <c r="N218" t="n">
        <v>0</v>
      </c>
      <c r="O218" t="n">
        <v>0</v>
      </c>
      <c r="P218" t="n">
        <v>0</v>
      </c>
      <c r="Q218" t="n">
        <v>1</v>
      </c>
      <c r="R218" s="2" t="inlineStr">
        <is>
          <t>Dropptaggsvamp</t>
        </is>
      </c>
      <c r="S218">
        <f>HYPERLINK("https://klasma.github.io/Logging_1860/artfynd/A 48244-2019 artfynd.xlsx", "A 48244-2019")</f>
        <v/>
      </c>
      <c r="T218">
        <f>HYPERLINK("https://klasma.github.io/Logging_1860/kartor/A 48244-2019 karta.png", "A 48244-2019")</f>
        <v/>
      </c>
      <c r="V218">
        <f>HYPERLINK("https://klasma.github.io/Logging_1860/klagomål/A 48244-2019 FSC-klagomål.docx", "A 48244-2019")</f>
        <v/>
      </c>
      <c r="W218">
        <f>HYPERLINK("https://klasma.github.io/Logging_1860/klagomålsmail/A 48244-2019 FSC-klagomål mail.docx", "A 48244-2019")</f>
        <v/>
      </c>
      <c r="X218">
        <f>HYPERLINK("https://klasma.github.io/Logging_1860/tillsyn/A 48244-2019 tillsynsbegäran.docx", "A 48244-2019")</f>
        <v/>
      </c>
      <c r="Y218">
        <f>HYPERLINK("https://klasma.github.io/Logging_1860/tillsynsmail/A 48244-2019 tillsynsbegäran mail.docx", "A 48244-2019")</f>
        <v/>
      </c>
    </row>
    <row r="219" ht="15" customHeight="1">
      <c r="A219" t="inlineStr">
        <is>
          <t>A 48989-2019</t>
        </is>
      </c>
      <c r="B219" s="1" t="n">
        <v>43729</v>
      </c>
      <c r="C219" s="1" t="n">
        <v>45360</v>
      </c>
      <c r="D219" t="inlineStr">
        <is>
          <t>ÖREBRO LÄN</t>
        </is>
      </c>
      <c r="E219" t="inlineStr">
        <is>
          <t>ÖREBRO</t>
        </is>
      </c>
      <c r="G219" t="n">
        <v>3.8</v>
      </c>
      <c r="H219" t="n">
        <v>1</v>
      </c>
      <c r="I219" t="n">
        <v>0</v>
      </c>
      <c r="J219" t="n">
        <v>1</v>
      </c>
      <c r="K219" t="n">
        <v>0</v>
      </c>
      <c r="L219" t="n">
        <v>0</v>
      </c>
      <c r="M219" t="n">
        <v>0</v>
      </c>
      <c r="N219" t="n">
        <v>0</v>
      </c>
      <c r="O219" t="n">
        <v>1</v>
      </c>
      <c r="P219" t="n">
        <v>0</v>
      </c>
      <c r="Q219" t="n">
        <v>1</v>
      </c>
      <c r="R219" s="2" t="inlineStr">
        <is>
          <t>Havsörn</t>
        </is>
      </c>
      <c r="S219">
        <f>HYPERLINK("https://klasma.github.io/Logging_1880/artfynd/A 48989-2019 artfynd.xlsx", "A 48989-2019")</f>
        <v/>
      </c>
      <c r="T219">
        <f>HYPERLINK("https://klasma.github.io/Logging_1880/kartor/A 48989-2019 karta.png", "A 48989-2019")</f>
        <v/>
      </c>
      <c r="V219">
        <f>HYPERLINK("https://klasma.github.io/Logging_1880/klagomål/A 48989-2019 FSC-klagomål.docx", "A 48989-2019")</f>
        <v/>
      </c>
      <c r="W219">
        <f>HYPERLINK("https://klasma.github.io/Logging_1880/klagomålsmail/A 48989-2019 FSC-klagomål mail.docx", "A 48989-2019")</f>
        <v/>
      </c>
      <c r="X219">
        <f>HYPERLINK("https://klasma.github.io/Logging_1880/tillsyn/A 48989-2019 tillsynsbegäran.docx", "A 48989-2019")</f>
        <v/>
      </c>
      <c r="Y219">
        <f>HYPERLINK("https://klasma.github.io/Logging_1880/tillsynsmail/A 48989-2019 tillsynsbegäran mail.docx", "A 48989-2019")</f>
        <v/>
      </c>
      <c r="Z219">
        <f>HYPERLINK("https://klasma.github.io/Logging_1880/fåglar/A 48989-2019 prioriterade fågelarter.docx", "A 48989-2019")</f>
        <v/>
      </c>
    </row>
    <row r="220" ht="15" customHeight="1">
      <c r="A220" t="inlineStr">
        <is>
          <t>A 52363-2019</t>
        </is>
      </c>
      <c r="B220" s="1" t="n">
        <v>43737</v>
      </c>
      <c r="C220" s="1" t="n">
        <v>45360</v>
      </c>
      <c r="D220" t="inlineStr">
        <is>
          <t>ÖREBRO LÄN</t>
        </is>
      </c>
      <c r="E220" t="inlineStr">
        <is>
          <t>LINDESBERG</t>
        </is>
      </c>
      <c r="G220" t="n">
        <v>5.3</v>
      </c>
      <c r="H220" t="n">
        <v>0</v>
      </c>
      <c r="I220" t="n">
        <v>0</v>
      </c>
      <c r="J220" t="n">
        <v>1</v>
      </c>
      <c r="K220" t="n">
        <v>0</v>
      </c>
      <c r="L220" t="n">
        <v>0</v>
      </c>
      <c r="M220" t="n">
        <v>0</v>
      </c>
      <c r="N220" t="n">
        <v>0</v>
      </c>
      <c r="O220" t="n">
        <v>1</v>
      </c>
      <c r="P220" t="n">
        <v>0</v>
      </c>
      <c r="Q220" t="n">
        <v>1</v>
      </c>
      <c r="R220" s="2" t="inlineStr">
        <is>
          <t>Ullticka</t>
        </is>
      </c>
      <c r="S220">
        <f>HYPERLINK("https://klasma.github.io/Logging_1885/artfynd/A 52363-2019 artfynd.xlsx", "A 52363-2019")</f>
        <v/>
      </c>
      <c r="T220">
        <f>HYPERLINK("https://klasma.github.io/Logging_1885/kartor/A 52363-2019 karta.png", "A 52363-2019")</f>
        <v/>
      </c>
      <c r="V220">
        <f>HYPERLINK("https://klasma.github.io/Logging_1885/klagomål/A 52363-2019 FSC-klagomål.docx", "A 52363-2019")</f>
        <v/>
      </c>
      <c r="W220">
        <f>HYPERLINK("https://klasma.github.io/Logging_1885/klagomålsmail/A 52363-2019 FSC-klagomål mail.docx", "A 52363-2019")</f>
        <v/>
      </c>
      <c r="X220">
        <f>HYPERLINK("https://klasma.github.io/Logging_1885/tillsyn/A 52363-2019 tillsynsbegäran.docx", "A 52363-2019")</f>
        <v/>
      </c>
      <c r="Y220">
        <f>HYPERLINK("https://klasma.github.io/Logging_1885/tillsynsmail/A 52363-2019 tillsynsbegäran mail.docx", "A 52363-2019")</f>
        <v/>
      </c>
    </row>
    <row r="221" ht="15" customHeight="1">
      <c r="A221" t="inlineStr">
        <is>
          <t>A 52662-2019</t>
        </is>
      </c>
      <c r="B221" s="1" t="n">
        <v>43746</v>
      </c>
      <c r="C221" s="1" t="n">
        <v>45360</v>
      </c>
      <c r="D221" t="inlineStr">
        <is>
          <t>ÖREBRO LÄN</t>
        </is>
      </c>
      <c r="E221" t="inlineStr">
        <is>
          <t>LINDESBERG</t>
        </is>
      </c>
      <c r="G221" t="n">
        <v>2</v>
      </c>
      <c r="H221" t="n">
        <v>1</v>
      </c>
      <c r="I221" t="n">
        <v>0</v>
      </c>
      <c r="J221" t="n">
        <v>0</v>
      </c>
      <c r="K221" t="n">
        <v>0</v>
      </c>
      <c r="L221" t="n">
        <v>0</v>
      </c>
      <c r="M221" t="n">
        <v>0</v>
      </c>
      <c r="N221" t="n">
        <v>0</v>
      </c>
      <c r="O221" t="n">
        <v>0</v>
      </c>
      <c r="P221" t="n">
        <v>0</v>
      </c>
      <c r="Q221" t="n">
        <v>1</v>
      </c>
      <c r="R221" s="2" t="inlineStr">
        <is>
          <t>Gullviva</t>
        </is>
      </c>
      <c r="S221">
        <f>HYPERLINK("https://klasma.github.io/Logging_1885/artfynd/A 52662-2019 artfynd.xlsx", "A 52662-2019")</f>
        <v/>
      </c>
      <c r="T221">
        <f>HYPERLINK("https://klasma.github.io/Logging_1885/kartor/A 52662-2019 karta.png", "A 52662-2019")</f>
        <v/>
      </c>
      <c r="V221">
        <f>HYPERLINK("https://klasma.github.io/Logging_1885/klagomål/A 52662-2019 FSC-klagomål.docx", "A 52662-2019")</f>
        <v/>
      </c>
      <c r="W221">
        <f>HYPERLINK("https://klasma.github.io/Logging_1885/klagomålsmail/A 52662-2019 FSC-klagomål mail.docx", "A 52662-2019")</f>
        <v/>
      </c>
      <c r="X221">
        <f>HYPERLINK("https://klasma.github.io/Logging_1885/tillsyn/A 52662-2019 tillsynsbegäran.docx", "A 52662-2019")</f>
        <v/>
      </c>
      <c r="Y221">
        <f>HYPERLINK("https://klasma.github.io/Logging_1885/tillsynsmail/A 52662-2019 tillsynsbegäran mail.docx", "A 52662-2019")</f>
        <v/>
      </c>
    </row>
    <row r="222" ht="15" customHeight="1">
      <c r="A222" t="inlineStr">
        <is>
          <t>A 52821-2019</t>
        </is>
      </c>
      <c r="B222" s="1" t="n">
        <v>43746</v>
      </c>
      <c r="C222" s="1" t="n">
        <v>45360</v>
      </c>
      <c r="D222" t="inlineStr">
        <is>
          <t>ÖREBRO LÄN</t>
        </is>
      </c>
      <c r="E222" t="inlineStr">
        <is>
          <t>LINDESBERG</t>
        </is>
      </c>
      <c r="F222" t="inlineStr">
        <is>
          <t>Sveaskog</t>
        </is>
      </c>
      <c r="G222" t="n">
        <v>2.8</v>
      </c>
      <c r="H222" t="n">
        <v>0</v>
      </c>
      <c r="I222" t="n">
        <v>1</v>
      </c>
      <c r="J222" t="n">
        <v>0</v>
      </c>
      <c r="K222" t="n">
        <v>0</v>
      </c>
      <c r="L222" t="n">
        <v>0</v>
      </c>
      <c r="M222" t="n">
        <v>0</v>
      </c>
      <c r="N222" t="n">
        <v>0</v>
      </c>
      <c r="O222" t="n">
        <v>0</v>
      </c>
      <c r="P222" t="n">
        <v>0</v>
      </c>
      <c r="Q222" t="n">
        <v>1</v>
      </c>
      <c r="R222" s="2" t="inlineStr">
        <is>
          <t>Skogshakmossa</t>
        </is>
      </c>
      <c r="S222">
        <f>HYPERLINK("https://klasma.github.io/Logging_1885/artfynd/A 52821-2019 artfynd.xlsx", "A 52821-2019")</f>
        <v/>
      </c>
      <c r="T222">
        <f>HYPERLINK("https://klasma.github.io/Logging_1885/kartor/A 52821-2019 karta.png", "A 52821-2019")</f>
        <v/>
      </c>
      <c r="V222">
        <f>HYPERLINK("https://klasma.github.io/Logging_1885/klagomål/A 52821-2019 FSC-klagomål.docx", "A 52821-2019")</f>
        <v/>
      </c>
      <c r="W222">
        <f>HYPERLINK("https://klasma.github.io/Logging_1885/klagomålsmail/A 52821-2019 FSC-klagomål mail.docx", "A 52821-2019")</f>
        <v/>
      </c>
      <c r="X222">
        <f>HYPERLINK("https://klasma.github.io/Logging_1885/tillsyn/A 52821-2019 tillsynsbegäran.docx", "A 52821-2019")</f>
        <v/>
      </c>
      <c r="Y222">
        <f>HYPERLINK("https://klasma.github.io/Logging_1885/tillsynsmail/A 52821-2019 tillsynsbegäran mail.docx", "A 52821-2019")</f>
        <v/>
      </c>
    </row>
    <row r="223" ht="15" customHeight="1">
      <c r="A223" t="inlineStr">
        <is>
          <t>A 56905-2019</t>
        </is>
      </c>
      <c r="B223" s="1" t="n">
        <v>43766</v>
      </c>
      <c r="C223" s="1" t="n">
        <v>45360</v>
      </c>
      <c r="D223" t="inlineStr">
        <is>
          <t>ÖREBRO LÄN</t>
        </is>
      </c>
      <c r="E223" t="inlineStr">
        <is>
          <t>LINDESBERG</t>
        </is>
      </c>
      <c r="F223" t="inlineStr">
        <is>
          <t>Sveaskog</t>
        </is>
      </c>
      <c r="G223" t="n">
        <v>3.4</v>
      </c>
      <c r="H223" t="n">
        <v>0</v>
      </c>
      <c r="I223" t="n">
        <v>0</v>
      </c>
      <c r="J223" t="n">
        <v>1</v>
      </c>
      <c r="K223" t="n">
        <v>0</v>
      </c>
      <c r="L223" t="n">
        <v>0</v>
      </c>
      <c r="M223" t="n">
        <v>0</v>
      </c>
      <c r="N223" t="n">
        <v>0</v>
      </c>
      <c r="O223" t="n">
        <v>1</v>
      </c>
      <c r="P223" t="n">
        <v>0</v>
      </c>
      <c r="Q223" t="n">
        <v>1</v>
      </c>
      <c r="R223" s="2" t="inlineStr">
        <is>
          <t>Motaggsvamp</t>
        </is>
      </c>
      <c r="S223">
        <f>HYPERLINK("https://klasma.github.io/Logging_1885/artfynd/A 56905-2019 artfynd.xlsx", "A 56905-2019")</f>
        <v/>
      </c>
      <c r="T223">
        <f>HYPERLINK("https://klasma.github.io/Logging_1885/kartor/A 56905-2019 karta.png", "A 56905-2019")</f>
        <v/>
      </c>
      <c r="V223">
        <f>HYPERLINK("https://klasma.github.io/Logging_1885/klagomål/A 56905-2019 FSC-klagomål.docx", "A 56905-2019")</f>
        <v/>
      </c>
      <c r="W223">
        <f>HYPERLINK("https://klasma.github.io/Logging_1885/klagomålsmail/A 56905-2019 FSC-klagomål mail.docx", "A 56905-2019")</f>
        <v/>
      </c>
      <c r="X223">
        <f>HYPERLINK("https://klasma.github.io/Logging_1885/tillsyn/A 56905-2019 tillsynsbegäran.docx", "A 56905-2019")</f>
        <v/>
      </c>
      <c r="Y223">
        <f>HYPERLINK("https://klasma.github.io/Logging_1885/tillsynsmail/A 56905-2019 tillsynsbegäran mail.docx", "A 56905-2019")</f>
        <v/>
      </c>
    </row>
    <row r="224" ht="15" customHeight="1">
      <c r="A224" t="inlineStr">
        <is>
          <t>A 58472-2019</t>
        </is>
      </c>
      <c r="B224" s="1" t="n">
        <v>43773</v>
      </c>
      <c r="C224" s="1" t="n">
        <v>45360</v>
      </c>
      <c r="D224" t="inlineStr">
        <is>
          <t>ÖREBRO LÄN</t>
        </is>
      </c>
      <c r="E224" t="inlineStr">
        <is>
          <t>LINDESBERG</t>
        </is>
      </c>
      <c r="F224" t="inlineStr">
        <is>
          <t>Sveaskog</t>
        </is>
      </c>
      <c r="G224" t="n">
        <v>2.1</v>
      </c>
      <c r="H224" t="n">
        <v>1</v>
      </c>
      <c r="I224" t="n">
        <v>0</v>
      </c>
      <c r="J224" t="n">
        <v>0</v>
      </c>
      <c r="K224" t="n">
        <v>0</v>
      </c>
      <c r="L224" t="n">
        <v>0</v>
      </c>
      <c r="M224" t="n">
        <v>0</v>
      </c>
      <c r="N224" t="n">
        <v>0</v>
      </c>
      <c r="O224" t="n">
        <v>0</v>
      </c>
      <c r="P224" t="n">
        <v>0</v>
      </c>
      <c r="Q224" t="n">
        <v>1</v>
      </c>
      <c r="R224" s="2" t="inlineStr">
        <is>
          <t>Vanlig snok</t>
        </is>
      </c>
      <c r="S224">
        <f>HYPERLINK("https://klasma.github.io/Logging_1885/artfynd/A 58472-2019 artfynd.xlsx", "A 58472-2019")</f>
        <v/>
      </c>
      <c r="T224">
        <f>HYPERLINK("https://klasma.github.io/Logging_1885/kartor/A 58472-2019 karta.png", "A 58472-2019")</f>
        <v/>
      </c>
      <c r="V224">
        <f>HYPERLINK("https://klasma.github.io/Logging_1885/klagomål/A 58472-2019 FSC-klagomål.docx", "A 58472-2019")</f>
        <v/>
      </c>
      <c r="W224">
        <f>HYPERLINK("https://klasma.github.io/Logging_1885/klagomålsmail/A 58472-2019 FSC-klagomål mail.docx", "A 58472-2019")</f>
        <v/>
      </c>
      <c r="X224">
        <f>HYPERLINK("https://klasma.github.io/Logging_1885/tillsyn/A 58472-2019 tillsynsbegäran.docx", "A 58472-2019")</f>
        <v/>
      </c>
      <c r="Y224">
        <f>HYPERLINK("https://klasma.github.io/Logging_1885/tillsynsmail/A 58472-2019 tillsynsbegäran mail.docx", "A 58472-2019")</f>
        <v/>
      </c>
    </row>
    <row r="225" ht="15" customHeight="1">
      <c r="A225" t="inlineStr">
        <is>
          <t>A 60270-2019</t>
        </is>
      </c>
      <c r="B225" s="1" t="n">
        <v>43780</v>
      </c>
      <c r="C225" s="1" t="n">
        <v>45360</v>
      </c>
      <c r="D225" t="inlineStr">
        <is>
          <t>ÖREBRO LÄN</t>
        </is>
      </c>
      <c r="E225" t="inlineStr">
        <is>
          <t>HÄLLEFORS</t>
        </is>
      </c>
      <c r="F225" t="inlineStr">
        <is>
          <t>Bergvik skog väst AB</t>
        </is>
      </c>
      <c r="G225" t="n">
        <v>3.1</v>
      </c>
      <c r="H225" t="n">
        <v>0</v>
      </c>
      <c r="I225" t="n">
        <v>0</v>
      </c>
      <c r="J225" t="n">
        <v>1</v>
      </c>
      <c r="K225" t="n">
        <v>0</v>
      </c>
      <c r="L225" t="n">
        <v>0</v>
      </c>
      <c r="M225" t="n">
        <v>0</v>
      </c>
      <c r="N225" t="n">
        <v>0</v>
      </c>
      <c r="O225" t="n">
        <v>1</v>
      </c>
      <c r="P225" t="n">
        <v>0</v>
      </c>
      <c r="Q225" t="n">
        <v>1</v>
      </c>
      <c r="R225" s="2" t="inlineStr">
        <is>
          <t>Brunklöver</t>
        </is>
      </c>
      <c r="S225">
        <f>HYPERLINK("https://klasma.github.io/Logging_1863/artfynd/A 60270-2019 artfynd.xlsx", "A 60270-2019")</f>
        <v/>
      </c>
      <c r="T225">
        <f>HYPERLINK("https://klasma.github.io/Logging_1863/kartor/A 60270-2019 karta.png", "A 60270-2019")</f>
        <v/>
      </c>
      <c r="V225">
        <f>HYPERLINK("https://klasma.github.io/Logging_1863/klagomål/A 60270-2019 FSC-klagomål.docx", "A 60270-2019")</f>
        <v/>
      </c>
      <c r="W225">
        <f>HYPERLINK("https://klasma.github.io/Logging_1863/klagomålsmail/A 60270-2019 FSC-klagomål mail.docx", "A 60270-2019")</f>
        <v/>
      </c>
      <c r="X225">
        <f>HYPERLINK("https://klasma.github.io/Logging_1863/tillsyn/A 60270-2019 tillsynsbegäran.docx", "A 60270-2019")</f>
        <v/>
      </c>
      <c r="Y225">
        <f>HYPERLINK("https://klasma.github.io/Logging_1863/tillsynsmail/A 60270-2019 tillsynsbegäran mail.docx", "A 60270-2019")</f>
        <v/>
      </c>
    </row>
    <row r="226" ht="15" customHeight="1">
      <c r="A226" t="inlineStr">
        <is>
          <t>A 1512-2020</t>
        </is>
      </c>
      <c r="B226" s="1" t="n">
        <v>43826</v>
      </c>
      <c r="C226" s="1" t="n">
        <v>45360</v>
      </c>
      <c r="D226" t="inlineStr">
        <is>
          <t>ÖREBRO LÄN</t>
        </is>
      </c>
      <c r="E226" t="inlineStr">
        <is>
          <t>ÖREBRO</t>
        </is>
      </c>
      <c r="G226" t="n">
        <v>6</v>
      </c>
      <c r="H226" t="n">
        <v>1</v>
      </c>
      <c r="I226" t="n">
        <v>0</v>
      </c>
      <c r="J226" t="n">
        <v>0</v>
      </c>
      <c r="K226" t="n">
        <v>0</v>
      </c>
      <c r="L226" t="n">
        <v>0</v>
      </c>
      <c r="M226" t="n">
        <v>0</v>
      </c>
      <c r="N226" t="n">
        <v>0</v>
      </c>
      <c r="O226" t="n">
        <v>0</v>
      </c>
      <c r="P226" t="n">
        <v>0</v>
      </c>
      <c r="Q226" t="n">
        <v>1</v>
      </c>
      <c r="R226" s="2" t="inlineStr">
        <is>
          <t>Revlummer</t>
        </is>
      </c>
      <c r="S226">
        <f>HYPERLINK("https://klasma.github.io/Logging_1880/artfynd/A 1512-2020 artfynd.xlsx", "A 1512-2020")</f>
        <v/>
      </c>
      <c r="T226">
        <f>HYPERLINK("https://klasma.github.io/Logging_1880/kartor/A 1512-2020 karta.png", "A 1512-2020")</f>
        <v/>
      </c>
      <c r="V226">
        <f>HYPERLINK("https://klasma.github.io/Logging_1880/klagomål/A 1512-2020 FSC-klagomål.docx", "A 1512-2020")</f>
        <v/>
      </c>
      <c r="W226">
        <f>HYPERLINK("https://klasma.github.io/Logging_1880/klagomålsmail/A 1512-2020 FSC-klagomål mail.docx", "A 1512-2020")</f>
        <v/>
      </c>
      <c r="X226">
        <f>HYPERLINK("https://klasma.github.io/Logging_1880/tillsyn/A 1512-2020 tillsynsbegäran.docx", "A 1512-2020")</f>
        <v/>
      </c>
      <c r="Y226">
        <f>HYPERLINK("https://klasma.github.io/Logging_1880/tillsynsmail/A 1512-2020 tillsynsbegäran mail.docx", "A 1512-2020")</f>
        <v/>
      </c>
    </row>
    <row r="227" ht="15" customHeight="1">
      <c r="A227" t="inlineStr">
        <is>
          <t>A 2697-2020</t>
        </is>
      </c>
      <c r="B227" s="1" t="n">
        <v>43843</v>
      </c>
      <c r="C227" s="1" t="n">
        <v>45360</v>
      </c>
      <c r="D227" t="inlineStr">
        <is>
          <t>ÖREBRO LÄN</t>
        </is>
      </c>
      <c r="E227" t="inlineStr">
        <is>
          <t>ÖREBRO</t>
        </is>
      </c>
      <c r="G227" t="n">
        <v>5</v>
      </c>
      <c r="H227" t="n">
        <v>0</v>
      </c>
      <c r="I227" t="n">
        <v>1</v>
      </c>
      <c r="J227" t="n">
        <v>0</v>
      </c>
      <c r="K227" t="n">
        <v>0</v>
      </c>
      <c r="L227" t="n">
        <v>0</v>
      </c>
      <c r="M227" t="n">
        <v>0</v>
      </c>
      <c r="N227" t="n">
        <v>0</v>
      </c>
      <c r="O227" t="n">
        <v>0</v>
      </c>
      <c r="P227" t="n">
        <v>0</v>
      </c>
      <c r="Q227" t="n">
        <v>1</v>
      </c>
      <c r="R227" s="2" t="inlineStr">
        <is>
          <t>Springkorn</t>
        </is>
      </c>
      <c r="S227">
        <f>HYPERLINK("https://klasma.github.io/Logging_1880/artfynd/A 2697-2020 artfynd.xlsx", "A 2697-2020")</f>
        <v/>
      </c>
      <c r="T227">
        <f>HYPERLINK("https://klasma.github.io/Logging_1880/kartor/A 2697-2020 karta.png", "A 2697-2020")</f>
        <v/>
      </c>
      <c r="V227">
        <f>HYPERLINK("https://klasma.github.io/Logging_1880/klagomål/A 2697-2020 FSC-klagomål.docx", "A 2697-2020")</f>
        <v/>
      </c>
      <c r="W227">
        <f>HYPERLINK("https://klasma.github.io/Logging_1880/klagomålsmail/A 2697-2020 FSC-klagomål mail.docx", "A 2697-2020")</f>
        <v/>
      </c>
      <c r="X227">
        <f>HYPERLINK("https://klasma.github.io/Logging_1880/tillsyn/A 2697-2020 tillsynsbegäran.docx", "A 2697-2020")</f>
        <v/>
      </c>
      <c r="Y227">
        <f>HYPERLINK("https://klasma.github.io/Logging_1880/tillsynsmail/A 2697-2020 tillsynsbegäran mail.docx", "A 2697-2020")</f>
        <v/>
      </c>
    </row>
    <row r="228" ht="15" customHeight="1">
      <c r="A228" t="inlineStr">
        <is>
          <t>A 1571-2020</t>
        </is>
      </c>
      <c r="B228" s="1" t="n">
        <v>43844</v>
      </c>
      <c r="C228" s="1" t="n">
        <v>45360</v>
      </c>
      <c r="D228" t="inlineStr">
        <is>
          <t>ÖREBRO LÄN</t>
        </is>
      </c>
      <c r="E228" t="inlineStr">
        <is>
          <t>ÖREBRO</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HYPERLINK("https://klasma.github.io/Logging_1880/artfynd/A 1571-2020 artfynd.xlsx", "A 1571-2020")</f>
        <v/>
      </c>
      <c r="T228">
        <f>HYPERLINK("https://klasma.github.io/Logging_1880/kartor/A 1571-2020 karta.png", "A 1571-2020")</f>
        <v/>
      </c>
      <c r="V228">
        <f>HYPERLINK("https://klasma.github.io/Logging_1880/klagomål/A 1571-2020 FSC-klagomål.docx", "A 1571-2020")</f>
        <v/>
      </c>
      <c r="W228">
        <f>HYPERLINK("https://klasma.github.io/Logging_1880/klagomålsmail/A 1571-2020 FSC-klagomål mail.docx", "A 1571-2020")</f>
        <v/>
      </c>
      <c r="X228">
        <f>HYPERLINK("https://klasma.github.io/Logging_1880/tillsyn/A 1571-2020 tillsynsbegäran.docx", "A 1571-2020")</f>
        <v/>
      </c>
      <c r="Y228">
        <f>HYPERLINK("https://klasma.github.io/Logging_1880/tillsynsmail/A 1571-2020 tillsynsbegäran mail.docx", "A 1571-2020")</f>
        <v/>
      </c>
    </row>
    <row r="229" ht="15" customHeight="1">
      <c r="A229" t="inlineStr">
        <is>
          <t>A 4761-2020</t>
        </is>
      </c>
      <c r="B229" s="1" t="n">
        <v>43858</v>
      </c>
      <c r="C229" s="1" t="n">
        <v>45360</v>
      </c>
      <c r="D229" t="inlineStr">
        <is>
          <t>ÖREBRO LÄN</t>
        </is>
      </c>
      <c r="E229" t="inlineStr">
        <is>
          <t>ÖREBRO</t>
        </is>
      </c>
      <c r="F229" t="inlineStr">
        <is>
          <t>Kommuner</t>
        </is>
      </c>
      <c r="G229" t="n">
        <v>2.3</v>
      </c>
      <c r="H229" t="n">
        <v>0</v>
      </c>
      <c r="I229" t="n">
        <v>1</v>
      </c>
      <c r="J229" t="n">
        <v>0</v>
      </c>
      <c r="K229" t="n">
        <v>0</v>
      </c>
      <c r="L229" t="n">
        <v>0</v>
      </c>
      <c r="M229" t="n">
        <v>0</v>
      </c>
      <c r="N229" t="n">
        <v>0</v>
      </c>
      <c r="O229" t="n">
        <v>0</v>
      </c>
      <c r="P229" t="n">
        <v>0</v>
      </c>
      <c r="Q229" t="n">
        <v>1</v>
      </c>
      <c r="R229" s="2" t="inlineStr">
        <is>
          <t>Zontaggsvamp</t>
        </is>
      </c>
      <c r="S229">
        <f>HYPERLINK("https://klasma.github.io/Logging_1880/artfynd/A 4761-2020 artfynd.xlsx", "A 4761-2020")</f>
        <v/>
      </c>
      <c r="T229">
        <f>HYPERLINK("https://klasma.github.io/Logging_1880/kartor/A 4761-2020 karta.png", "A 4761-2020")</f>
        <v/>
      </c>
      <c r="V229">
        <f>HYPERLINK("https://klasma.github.io/Logging_1880/klagomål/A 4761-2020 FSC-klagomål.docx", "A 4761-2020")</f>
        <v/>
      </c>
      <c r="W229">
        <f>HYPERLINK("https://klasma.github.io/Logging_1880/klagomålsmail/A 4761-2020 FSC-klagomål mail.docx", "A 4761-2020")</f>
        <v/>
      </c>
      <c r="X229">
        <f>HYPERLINK("https://klasma.github.io/Logging_1880/tillsyn/A 4761-2020 tillsynsbegäran.docx", "A 4761-2020")</f>
        <v/>
      </c>
      <c r="Y229">
        <f>HYPERLINK("https://klasma.github.io/Logging_1880/tillsynsmail/A 4761-2020 tillsynsbegäran mail.docx", "A 4761-2020")</f>
        <v/>
      </c>
    </row>
    <row r="230" ht="15" customHeight="1">
      <c r="A230" t="inlineStr">
        <is>
          <t>A 10540-2020</t>
        </is>
      </c>
      <c r="B230" s="1" t="n">
        <v>43886</v>
      </c>
      <c r="C230" s="1" t="n">
        <v>45360</v>
      </c>
      <c r="D230" t="inlineStr">
        <is>
          <t>ÖREBRO LÄN</t>
        </is>
      </c>
      <c r="E230" t="inlineStr">
        <is>
          <t>ASKERSUND</t>
        </is>
      </c>
      <c r="G230" t="n">
        <v>0.8</v>
      </c>
      <c r="H230" t="n">
        <v>0</v>
      </c>
      <c r="I230" t="n">
        <v>0</v>
      </c>
      <c r="J230" t="n">
        <v>1</v>
      </c>
      <c r="K230" t="n">
        <v>0</v>
      </c>
      <c r="L230" t="n">
        <v>0</v>
      </c>
      <c r="M230" t="n">
        <v>0</v>
      </c>
      <c r="N230" t="n">
        <v>0</v>
      </c>
      <c r="O230" t="n">
        <v>1</v>
      </c>
      <c r="P230" t="n">
        <v>0</v>
      </c>
      <c r="Q230" t="n">
        <v>1</v>
      </c>
      <c r="R230" s="2" t="inlineStr">
        <is>
          <t>Slåtterfibbla</t>
        </is>
      </c>
      <c r="S230">
        <f>HYPERLINK("https://klasma.github.io/Logging_1882/artfynd/A 10540-2020 artfynd.xlsx", "A 10540-2020")</f>
        <v/>
      </c>
      <c r="T230">
        <f>HYPERLINK("https://klasma.github.io/Logging_1882/kartor/A 10540-2020 karta.png", "A 10540-2020")</f>
        <v/>
      </c>
      <c r="V230">
        <f>HYPERLINK("https://klasma.github.io/Logging_1882/klagomål/A 10540-2020 FSC-klagomål.docx", "A 10540-2020")</f>
        <v/>
      </c>
      <c r="W230">
        <f>HYPERLINK("https://klasma.github.io/Logging_1882/klagomålsmail/A 10540-2020 FSC-klagomål mail.docx", "A 10540-2020")</f>
        <v/>
      </c>
      <c r="X230">
        <f>HYPERLINK("https://klasma.github.io/Logging_1882/tillsyn/A 10540-2020 tillsynsbegäran.docx", "A 10540-2020")</f>
        <v/>
      </c>
      <c r="Y230">
        <f>HYPERLINK("https://klasma.github.io/Logging_1882/tillsynsmail/A 10540-2020 tillsynsbegäran mail.docx", "A 10540-2020")</f>
        <v/>
      </c>
    </row>
    <row r="231" ht="15" customHeight="1">
      <c r="A231" t="inlineStr">
        <is>
          <t>A 12383-2020</t>
        </is>
      </c>
      <c r="B231" s="1" t="n">
        <v>43896</v>
      </c>
      <c r="C231" s="1" t="n">
        <v>45360</v>
      </c>
      <c r="D231" t="inlineStr">
        <is>
          <t>ÖREBRO LÄN</t>
        </is>
      </c>
      <c r="E231" t="inlineStr">
        <is>
          <t>LJUSNARSBERG</t>
        </is>
      </c>
      <c r="G231" t="n">
        <v>3.2</v>
      </c>
      <c r="H231" t="n">
        <v>0</v>
      </c>
      <c r="I231" t="n">
        <v>0</v>
      </c>
      <c r="J231" t="n">
        <v>1</v>
      </c>
      <c r="K231" t="n">
        <v>0</v>
      </c>
      <c r="L231" t="n">
        <v>0</v>
      </c>
      <c r="M231" t="n">
        <v>0</v>
      </c>
      <c r="N231" t="n">
        <v>0</v>
      </c>
      <c r="O231" t="n">
        <v>1</v>
      </c>
      <c r="P231" t="n">
        <v>0</v>
      </c>
      <c r="Q231" t="n">
        <v>1</v>
      </c>
      <c r="R231" s="2" t="inlineStr">
        <is>
          <t>Vedtrappmossa</t>
        </is>
      </c>
      <c r="S231">
        <f>HYPERLINK("https://klasma.github.io/Logging_1864/artfynd/A 12383-2020 artfynd.xlsx", "A 12383-2020")</f>
        <v/>
      </c>
      <c r="T231">
        <f>HYPERLINK("https://klasma.github.io/Logging_1864/kartor/A 12383-2020 karta.png", "A 12383-2020")</f>
        <v/>
      </c>
      <c r="V231">
        <f>HYPERLINK("https://klasma.github.io/Logging_1864/klagomål/A 12383-2020 FSC-klagomål.docx", "A 12383-2020")</f>
        <v/>
      </c>
      <c r="W231">
        <f>HYPERLINK("https://klasma.github.io/Logging_1864/klagomålsmail/A 12383-2020 FSC-klagomål mail.docx", "A 12383-2020")</f>
        <v/>
      </c>
      <c r="X231">
        <f>HYPERLINK("https://klasma.github.io/Logging_1864/tillsyn/A 12383-2020 tillsynsbegäran.docx", "A 12383-2020")</f>
        <v/>
      </c>
      <c r="Y231">
        <f>HYPERLINK("https://klasma.github.io/Logging_1864/tillsynsmail/A 12383-2020 tillsynsbegäran mail.docx", "A 12383-2020")</f>
        <v/>
      </c>
    </row>
    <row r="232" ht="15" customHeight="1">
      <c r="A232" t="inlineStr">
        <is>
          <t>A 13831-2020</t>
        </is>
      </c>
      <c r="B232" s="1" t="n">
        <v>43905</v>
      </c>
      <c r="C232" s="1" t="n">
        <v>45360</v>
      </c>
      <c r="D232" t="inlineStr">
        <is>
          <t>ÖREBRO LÄN</t>
        </is>
      </c>
      <c r="E232" t="inlineStr">
        <is>
          <t>ÖREBRO</t>
        </is>
      </c>
      <c r="G232" t="n">
        <v>7.5</v>
      </c>
      <c r="H232" t="n">
        <v>0</v>
      </c>
      <c r="I232" t="n">
        <v>1</v>
      </c>
      <c r="J232" t="n">
        <v>0</v>
      </c>
      <c r="K232" t="n">
        <v>0</v>
      </c>
      <c r="L232" t="n">
        <v>0</v>
      </c>
      <c r="M232" t="n">
        <v>0</v>
      </c>
      <c r="N232" t="n">
        <v>0</v>
      </c>
      <c r="O232" t="n">
        <v>0</v>
      </c>
      <c r="P232" t="n">
        <v>0</v>
      </c>
      <c r="Q232" t="n">
        <v>1</v>
      </c>
      <c r="R232" s="2" t="inlineStr">
        <is>
          <t>Vätteros</t>
        </is>
      </c>
      <c r="S232">
        <f>HYPERLINK("https://klasma.github.io/Logging_1880/artfynd/A 13831-2020 artfynd.xlsx", "A 13831-2020")</f>
        <v/>
      </c>
      <c r="T232">
        <f>HYPERLINK("https://klasma.github.io/Logging_1880/kartor/A 13831-2020 karta.png", "A 13831-2020")</f>
        <v/>
      </c>
      <c r="V232">
        <f>HYPERLINK("https://klasma.github.io/Logging_1880/klagomål/A 13831-2020 FSC-klagomål.docx", "A 13831-2020")</f>
        <v/>
      </c>
      <c r="W232">
        <f>HYPERLINK("https://klasma.github.io/Logging_1880/klagomålsmail/A 13831-2020 FSC-klagomål mail.docx", "A 13831-2020")</f>
        <v/>
      </c>
      <c r="X232">
        <f>HYPERLINK("https://klasma.github.io/Logging_1880/tillsyn/A 13831-2020 tillsynsbegäran.docx", "A 13831-2020")</f>
        <v/>
      </c>
      <c r="Y232">
        <f>HYPERLINK("https://klasma.github.io/Logging_1880/tillsynsmail/A 13831-2020 tillsynsbegäran mail.docx", "A 13831-2020")</f>
        <v/>
      </c>
    </row>
    <row r="233" ht="15" customHeight="1">
      <c r="A233" t="inlineStr">
        <is>
          <t>A 18289-2020</t>
        </is>
      </c>
      <c r="B233" s="1" t="n">
        <v>43928</v>
      </c>
      <c r="C233" s="1" t="n">
        <v>45360</v>
      </c>
      <c r="D233" t="inlineStr">
        <is>
          <t>ÖREBRO LÄN</t>
        </is>
      </c>
      <c r="E233" t="inlineStr">
        <is>
          <t>ASKERSUND</t>
        </is>
      </c>
      <c r="F233" t="inlineStr">
        <is>
          <t>Sveaskog</t>
        </is>
      </c>
      <c r="G233" t="n">
        <v>3</v>
      </c>
      <c r="H233" t="n">
        <v>0</v>
      </c>
      <c r="I233" t="n">
        <v>0</v>
      </c>
      <c r="J233" t="n">
        <v>1</v>
      </c>
      <c r="K233" t="n">
        <v>0</v>
      </c>
      <c r="L233" t="n">
        <v>0</v>
      </c>
      <c r="M233" t="n">
        <v>0</v>
      </c>
      <c r="N233" t="n">
        <v>0</v>
      </c>
      <c r="O233" t="n">
        <v>1</v>
      </c>
      <c r="P233" t="n">
        <v>0</v>
      </c>
      <c r="Q233" t="n">
        <v>1</v>
      </c>
      <c r="R233" s="2" t="inlineStr">
        <is>
          <t>Motaggsvamp</t>
        </is>
      </c>
      <c r="S233">
        <f>HYPERLINK("https://klasma.github.io/Logging_1882/artfynd/A 18289-2020 artfynd.xlsx", "A 18289-2020")</f>
        <v/>
      </c>
      <c r="T233">
        <f>HYPERLINK("https://klasma.github.io/Logging_1882/kartor/A 18289-2020 karta.png", "A 18289-2020")</f>
        <v/>
      </c>
      <c r="V233">
        <f>HYPERLINK("https://klasma.github.io/Logging_1882/klagomål/A 18289-2020 FSC-klagomål.docx", "A 18289-2020")</f>
        <v/>
      </c>
      <c r="W233">
        <f>HYPERLINK("https://klasma.github.io/Logging_1882/klagomålsmail/A 18289-2020 FSC-klagomål mail.docx", "A 18289-2020")</f>
        <v/>
      </c>
      <c r="X233">
        <f>HYPERLINK("https://klasma.github.io/Logging_1882/tillsyn/A 18289-2020 tillsynsbegäran.docx", "A 18289-2020")</f>
        <v/>
      </c>
      <c r="Y233">
        <f>HYPERLINK("https://klasma.github.io/Logging_1882/tillsynsmail/A 18289-2020 tillsynsbegäran mail.docx", "A 18289-2020")</f>
        <v/>
      </c>
    </row>
    <row r="234" ht="15" customHeight="1">
      <c r="A234" t="inlineStr">
        <is>
          <t>A 18287-2020</t>
        </is>
      </c>
      <c r="B234" s="1" t="n">
        <v>43928</v>
      </c>
      <c r="C234" s="1" t="n">
        <v>45360</v>
      </c>
      <c r="D234" t="inlineStr">
        <is>
          <t>ÖREBRO LÄN</t>
        </is>
      </c>
      <c r="E234" t="inlineStr">
        <is>
          <t>ASKERSUND</t>
        </is>
      </c>
      <c r="F234" t="inlineStr">
        <is>
          <t>Sveaskog</t>
        </is>
      </c>
      <c r="G234" t="n">
        <v>1.9</v>
      </c>
      <c r="H234" t="n">
        <v>0</v>
      </c>
      <c r="I234" t="n">
        <v>0</v>
      </c>
      <c r="J234" t="n">
        <v>0</v>
      </c>
      <c r="K234" t="n">
        <v>0</v>
      </c>
      <c r="L234" t="n">
        <v>0</v>
      </c>
      <c r="M234" t="n">
        <v>1</v>
      </c>
      <c r="N234" t="n">
        <v>0</v>
      </c>
      <c r="O234" t="n">
        <v>1</v>
      </c>
      <c r="P234" t="n">
        <v>1</v>
      </c>
      <c r="Q234" t="n">
        <v>1</v>
      </c>
      <c r="R234" s="2" t="inlineStr">
        <is>
          <t>Skogsalm</t>
        </is>
      </c>
      <c r="S234">
        <f>HYPERLINK("https://klasma.github.io/Logging_1882/artfynd/A 18287-2020 artfynd.xlsx", "A 18287-2020")</f>
        <v/>
      </c>
      <c r="T234">
        <f>HYPERLINK("https://klasma.github.io/Logging_1882/kartor/A 18287-2020 karta.png", "A 18287-2020")</f>
        <v/>
      </c>
      <c r="V234">
        <f>HYPERLINK("https://klasma.github.io/Logging_1882/klagomål/A 18287-2020 FSC-klagomål.docx", "A 18287-2020")</f>
        <v/>
      </c>
      <c r="W234">
        <f>HYPERLINK("https://klasma.github.io/Logging_1882/klagomålsmail/A 18287-2020 FSC-klagomål mail.docx", "A 18287-2020")</f>
        <v/>
      </c>
      <c r="X234">
        <f>HYPERLINK("https://klasma.github.io/Logging_1882/tillsyn/A 18287-2020 tillsynsbegäran.docx", "A 18287-2020")</f>
        <v/>
      </c>
      <c r="Y234">
        <f>HYPERLINK("https://klasma.github.io/Logging_1882/tillsynsmail/A 18287-2020 tillsynsbegäran mail.docx", "A 18287-2020")</f>
        <v/>
      </c>
    </row>
    <row r="235" ht="15" customHeight="1">
      <c r="A235" t="inlineStr">
        <is>
          <t>A 19090-2020</t>
        </is>
      </c>
      <c r="B235" s="1" t="n">
        <v>43936</v>
      </c>
      <c r="C235" s="1" t="n">
        <v>45360</v>
      </c>
      <c r="D235" t="inlineStr">
        <is>
          <t>ÖREBRO LÄN</t>
        </is>
      </c>
      <c r="E235" t="inlineStr">
        <is>
          <t>LINDESBERG</t>
        </is>
      </c>
      <c r="F235" t="inlineStr">
        <is>
          <t>Sveaskog</t>
        </is>
      </c>
      <c r="G235" t="n">
        <v>12.2</v>
      </c>
      <c r="H235" t="n">
        <v>0</v>
      </c>
      <c r="I235" t="n">
        <v>0</v>
      </c>
      <c r="J235" t="n">
        <v>0</v>
      </c>
      <c r="K235" t="n">
        <v>1</v>
      </c>
      <c r="L235" t="n">
        <v>0</v>
      </c>
      <c r="M235" t="n">
        <v>0</v>
      </c>
      <c r="N235" t="n">
        <v>0</v>
      </c>
      <c r="O235" t="n">
        <v>1</v>
      </c>
      <c r="P235" t="n">
        <v>1</v>
      </c>
      <c r="Q235" t="n">
        <v>1</v>
      </c>
      <c r="R235" s="2" t="inlineStr">
        <is>
          <t>Smal skuggbagge</t>
        </is>
      </c>
      <c r="S235">
        <f>HYPERLINK("https://klasma.github.io/Logging_1885/artfynd/A 19090-2020 artfynd.xlsx", "A 19090-2020")</f>
        <v/>
      </c>
      <c r="T235">
        <f>HYPERLINK("https://klasma.github.io/Logging_1885/kartor/A 19090-2020 karta.png", "A 19090-2020")</f>
        <v/>
      </c>
      <c r="V235">
        <f>HYPERLINK("https://klasma.github.io/Logging_1885/klagomål/A 19090-2020 FSC-klagomål.docx", "A 19090-2020")</f>
        <v/>
      </c>
      <c r="W235">
        <f>HYPERLINK("https://klasma.github.io/Logging_1885/klagomålsmail/A 19090-2020 FSC-klagomål mail.docx", "A 19090-2020")</f>
        <v/>
      </c>
      <c r="X235">
        <f>HYPERLINK("https://klasma.github.io/Logging_1885/tillsyn/A 19090-2020 tillsynsbegäran.docx", "A 19090-2020")</f>
        <v/>
      </c>
      <c r="Y235">
        <f>HYPERLINK("https://klasma.github.io/Logging_1885/tillsynsmail/A 19090-2020 tillsynsbegäran mail.docx", "A 19090-2020")</f>
        <v/>
      </c>
    </row>
    <row r="236" ht="15" customHeight="1">
      <c r="A236" t="inlineStr">
        <is>
          <t>A 20974-2020</t>
        </is>
      </c>
      <c r="B236" s="1" t="n">
        <v>43950</v>
      </c>
      <c r="C236" s="1" t="n">
        <v>45360</v>
      </c>
      <c r="D236" t="inlineStr">
        <is>
          <t>ÖREBRO LÄN</t>
        </is>
      </c>
      <c r="E236" t="inlineStr">
        <is>
          <t>HALLSBERG</t>
        </is>
      </c>
      <c r="F236" t="inlineStr">
        <is>
          <t>Sveaskog</t>
        </is>
      </c>
      <c r="G236" t="n">
        <v>1</v>
      </c>
      <c r="H236" t="n">
        <v>0</v>
      </c>
      <c r="I236" t="n">
        <v>0</v>
      </c>
      <c r="J236" t="n">
        <v>0</v>
      </c>
      <c r="K236" t="n">
        <v>0</v>
      </c>
      <c r="L236" t="n">
        <v>1</v>
      </c>
      <c r="M236" t="n">
        <v>0</v>
      </c>
      <c r="N236" t="n">
        <v>0</v>
      </c>
      <c r="O236" t="n">
        <v>1</v>
      </c>
      <c r="P236" t="n">
        <v>1</v>
      </c>
      <c r="Q236" t="n">
        <v>1</v>
      </c>
      <c r="R236" s="2" t="inlineStr">
        <is>
          <t>Ask</t>
        </is>
      </c>
      <c r="S236">
        <f>HYPERLINK("https://klasma.github.io/Logging_1861/artfynd/A 20974-2020 artfynd.xlsx", "A 20974-2020")</f>
        <v/>
      </c>
      <c r="T236">
        <f>HYPERLINK("https://klasma.github.io/Logging_1861/kartor/A 20974-2020 karta.png", "A 20974-2020")</f>
        <v/>
      </c>
      <c r="V236">
        <f>HYPERLINK("https://klasma.github.io/Logging_1861/klagomål/A 20974-2020 FSC-klagomål.docx", "A 20974-2020")</f>
        <v/>
      </c>
      <c r="W236">
        <f>HYPERLINK("https://klasma.github.io/Logging_1861/klagomålsmail/A 20974-2020 FSC-klagomål mail.docx", "A 20974-2020")</f>
        <v/>
      </c>
      <c r="X236">
        <f>HYPERLINK("https://klasma.github.io/Logging_1861/tillsyn/A 20974-2020 tillsynsbegäran.docx", "A 20974-2020")</f>
        <v/>
      </c>
      <c r="Y236">
        <f>HYPERLINK("https://klasma.github.io/Logging_1861/tillsynsmail/A 20974-2020 tillsynsbegäran mail.docx", "A 20974-2020")</f>
        <v/>
      </c>
    </row>
    <row r="237" ht="15" customHeight="1">
      <c r="A237" t="inlineStr">
        <is>
          <t>A 21746-2020</t>
        </is>
      </c>
      <c r="B237" s="1" t="n">
        <v>43957</v>
      </c>
      <c r="C237" s="1" t="n">
        <v>45360</v>
      </c>
      <c r="D237" t="inlineStr">
        <is>
          <t>ÖREBRO LÄN</t>
        </is>
      </c>
      <c r="E237" t="inlineStr">
        <is>
          <t>LAXÅ</t>
        </is>
      </c>
      <c r="G237" t="n">
        <v>3.7</v>
      </c>
      <c r="H237" t="n">
        <v>1</v>
      </c>
      <c r="I237" t="n">
        <v>0</v>
      </c>
      <c r="J237" t="n">
        <v>0</v>
      </c>
      <c r="K237" t="n">
        <v>0</v>
      </c>
      <c r="L237" t="n">
        <v>0</v>
      </c>
      <c r="M237" t="n">
        <v>0</v>
      </c>
      <c r="N237" t="n">
        <v>0</v>
      </c>
      <c r="O237" t="n">
        <v>0</v>
      </c>
      <c r="P237" t="n">
        <v>0</v>
      </c>
      <c r="Q237" t="n">
        <v>1</v>
      </c>
      <c r="R237" s="2" t="inlineStr">
        <is>
          <t>Nattviol</t>
        </is>
      </c>
      <c r="S237">
        <f>HYPERLINK("https://klasma.github.io/Logging_1860/artfynd/A 21746-2020 artfynd.xlsx", "A 21746-2020")</f>
        <v/>
      </c>
      <c r="T237">
        <f>HYPERLINK("https://klasma.github.io/Logging_1860/kartor/A 21746-2020 karta.png", "A 21746-2020")</f>
        <v/>
      </c>
      <c r="V237">
        <f>HYPERLINK("https://klasma.github.io/Logging_1860/klagomål/A 21746-2020 FSC-klagomål.docx", "A 21746-2020")</f>
        <v/>
      </c>
      <c r="W237">
        <f>HYPERLINK("https://klasma.github.io/Logging_1860/klagomålsmail/A 21746-2020 FSC-klagomål mail.docx", "A 21746-2020")</f>
        <v/>
      </c>
      <c r="X237">
        <f>HYPERLINK("https://klasma.github.io/Logging_1860/tillsyn/A 21746-2020 tillsynsbegäran.docx", "A 21746-2020")</f>
        <v/>
      </c>
      <c r="Y237">
        <f>HYPERLINK("https://klasma.github.io/Logging_1860/tillsynsmail/A 21746-2020 tillsynsbegäran mail.docx", "A 21746-2020")</f>
        <v/>
      </c>
    </row>
    <row r="238" ht="15" customHeight="1">
      <c r="A238" t="inlineStr">
        <is>
          <t>A 21860-2020</t>
        </is>
      </c>
      <c r="B238" s="1" t="n">
        <v>43958</v>
      </c>
      <c r="C238" s="1" t="n">
        <v>45360</v>
      </c>
      <c r="D238" t="inlineStr">
        <is>
          <t>ÖREBRO LÄN</t>
        </is>
      </c>
      <c r="E238" t="inlineStr">
        <is>
          <t>HÄLLEFORS</t>
        </is>
      </c>
      <c r="F238" t="inlineStr">
        <is>
          <t>Bergvik skog väst AB</t>
        </is>
      </c>
      <c r="G238" t="n">
        <v>2.6</v>
      </c>
      <c r="H238" t="n">
        <v>0</v>
      </c>
      <c r="I238" t="n">
        <v>0</v>
      </c>
      <c r="J238" t="n">
        <v>1</v>
      </c>
      <c r="K238" t="n">
        <v>0</v>
      </c>
      <c r="L238" t="n">
        <v>0</v>
      </c>
      <c r="M238" t="n">
        <v>0</v>
      </c>
      <c r="N238" t="n">
        <v>0</v>
      </c>
      <c r="O238" t="n">
        <v>1</v>
      </c>
      <c r="P238" t="n">
        <v>0</v>
      </c>
      <c r="Q238" t="n">
        <v>1</v>
      </c>
      <c r="R238" s="2" t="inlineStr">
        <is>
          <t>Vickerglasvinge</t>
        </is>
      </c>
      <c r="S238">
        <f>HYPERLINK("https://klasma.github.io/Logging_1863/artfynd/A 21860-2020 artfynd.xlsx", "A 21860-2020")</f>
        <v/>
      </c>
      <c r="T238">
        <f>HYPERLINK("https://klasma.github.io/Logging_1863/kartor/A 21860-2020 karta.png", "A 21860-2020")</f>
        <v/>
      </c>
      <c r="U238">
        <f>HYPERLINK("https://klasma.github.io/Logging_1863/knärot/A 21860-2020 karta knärot.png", "A 21860-2020")</f>
        <v/>
      </c>
      <c r="V238">
        <f>HYPERLINK("https://klasma.github.io/Logging_1863/klagomål/A 21860-2020 FSC-klagomål.docx", "A 21860-2020")</f>
        <v/>
      </c>
      <c r="W238">
        <f>HYPERLINK("https://klasma.github.io/Logging_1863/klagomålsmail/A 21860-2020 FSC-klagomål mail.docx", "A 21860-2020")</f>
        <v/>
      </c>
      <c r="X238">
        <f>HYPERLINK("https://klasma.github.io/Logging_1863/tillsyn/A 21860-2020 tillsynsbegäran.docx", "A 21860-2020")</f>
        <v/>
      </c>
      <c r="Y238">
        <f>HYPERLINK("https://klasma.github.io/Logging_1863/tillsynsmail/A 21860-2020 tillsynsbegäran mail.docx", "A 21860-2020")</f>
        <v/>
      </c>
    </row>
    <row r="239" ht="15" customHeight="1">
      <c r="A239" t="inlineStr">
        <is>
          <t>A 25192-2020</t>
        </is>
      </c>
      <c r="B239" s="1" t="n">
        <v>43980</v>
      </c>
      <c r="C239" s="1" t="n">
        <v>45360</v>
      </c>
      <c r="D239" t="inlineStr">
        <is>
          <t>ÖREBRO LÄN</t>
        </is>
      </c>
      <c r="E239" t="inlineStr">
        <is>
          <t>ÖREBRO</t>
        </is>
      </c>
      <c r="F239" t="inlineStr">
        <is>
          <t>Övriga Aktiebolag</t>
        </is>
      </c>
      <c r="G239" t="n">
        <v>1.5</v>
      </c>
      <c r="H239" t="n">
        <v>1</v>
      </c>
      <c r="I239" t="n">
        <v>1</v>
      </c>
      <c r="J239" t="n">
        <v>0</v>
      </c>
      <c r="K239" t="n">
        <v>0</v>
      </c>
      <c r="L239" t="n">
        <v>0</v>
      </c>
      <c r="M239" t="n">
        <v>0</v>
      </c>
      <c r="N239" t="n">
        <v>0</v>
      </c>
      <c r="O239" t="n">
        <v>0</v>
      </c>
      <c r="P239" t="n">
        <v>0</v>
      </c>
      <c r="Q239" t="n">
        <v>1</v>
      </c>
      <c r="R239" s="2" t="inlineStr">
        <is>
          <t>Spindelblomster</t>
        </is>
      </c>
      <c r="S239">
        <f>HYPERLINK("https://klasma.github.io/Logging_1880/artfynd/A 25192-2020 artfynd.xlsx", "A 25192-2020")</f>
        <v/>
      </c>
      <c r="T239">
        <f>HYPERLINK("https://klasma.github.io/Logging_1880/kartor/A 25192-2020 karta.png", "A 25192-2020")</f>
        <v/>
      </c>
      <c r="V239">
        <f>HYPERLINK("https://klasma.github.io/Logging_1880/klagomål/A 25192-2020 FSC-klagomål.docx", "A 25192-2020")</f>
        <v/>
      </c>
      <c r="W239">
        <f>HYPERLINK("https://klasma.github.io/Logging_1880/klagomålsmail/A 25192-2020 FSC-klagomål mail.docx", "A 25192-2020")</f>
        <v/>
      </c>
      <c r="X239">
        <f>HYPERLINK("https://klasma.github.io/Logging_1880/tillsyn/A 25192-2020 tillsynsbegäran.docx", "A 25192-2020")</f>
        <v/>
      </c>
      <c r="Y239">
        <f>HYPERLINK("https://klasma.github.io/Logging_1880/tillsynsmail/A 25192-2020 tillsynsbegäran mail.docx", "A 25192-2020")</f>
        <v/>
      </c>
    </row>
    <row r="240" ht="15" customHeight="1">
      <c r="A240" t="inlineStr">
        <is>
          <t>A 26426-2020</t>
        </is>
      </c>
      <c r="B240" s="1" t="n">
        <v>43986</v>
      </c>
      <c r="C240" s="1" t="n">
        <v>45360</v>
      </c>
      <c r="D240" t="inlineStr">
        <is>
          <t>ÖREBRO LÄN</t>
        </is>
      </c>
      <c r="E240" t="inlineStr">
        <is>
          <t>ÖREBRO</t>
        </is>
      </c>
      <c r="G240" t="n">
        <v>1</v>
      </c>
      <c r="H240" t="n">
        <v>0</v>
      </c>
      <c r="I240" t="n">
        <v>0</v>
      </c>
      <c r="J240" t="n">
        <v>0</v>
      </c>
      <c r="K240" t="n">
        <v>1</v>
      </c>
      <c r="L240" t="n">
        <v>0</v>
      </c>
      <c r="M240" t="n">
        <v>0</v>
      </c>
      <c r="N240" t="n">
        <v>0</v>
      </c>
      <c r="O240" t="n">
        <v>1</v>
      </c>
      <c r="P240" t="n">
        <v>1</v>
      </c>
      <c r="Q240" t="n">
        <v>1</v>
      </c>
      <c r="R240" s="2" t="inlineStr">
        <is>
          <t>Slöjröksvamp</t>
        </is>
      </c>
      <c r="S240">
        <f>HYPERLINK("https://klasma.github.io/Logging_1880/artfynd/A 26426-2020 artfynd.xlsx", "A 26426-2020")</f>
        <v/>
      </c>
      <c r="T240">
        <f>HYPERLINK("https://klasma.github.io/Logging_1880/kartor/A 26426-2020 karta.png", "A 26426-2020")</f>
        <v/>
      </c>
      <c r="V240">
        <f>HYPERLINK("https://klasma.github.io/Logging_1880/klagomål/A 26426-2020 FSC-klagomål.docx", "A 26426-2020")</f>
        <v/>
      </c>
      <c r="W240">
        <f>HYPERLINK("https://klasma.github.io/Logging_1880/klagomålsmail/A 26426-2020 FSC-klagomål mail.docx", "A 26426-2020")</f>
        <v/>
      </c>
      <c r="X240">
        <f>HYPERLINK("https://klasma.github.io/Logging_1880/tillsyn/A 26426-2020 tillsynsbegäran.docx", "A 26426-2020")</f>
        <v/>
      </c>
      <c r="Y240">
        <f>HYPERLINK("https://klasma.github.io/Logging_1880/tillsynsmail/A 26426-2020 tillsynsbegäran mail.docx", "A 26426-2020")</f>
        <v/>
      </c>
    </row>
    <row r="241" ht="15" customHeight="1">
      <c r="A241" t="inlineStr">
        <is>
          <t>A 28103-2020</t>
        </is>
      </c>
      <c r="B241" s="1" t="n">
        <v>43997</v>
      </c>
      <c r="C241" s="1" t="n">
        <v>45360</v>
      </c>
      <c r="D241" t="inlineStr">
        <is>
          <t>ÖREBRO LÄN</t>
        </is>
      </c>
      <c r="E241" t="inlineStr">
        <is>
          <t>ÖREBRO</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HYPERLINK("https://klasma.github.io/Logging_1880/artfynd/A 28103-2020 artfynd.xlsx", "A 28103-2020")</f>
        <v/>
      </c>
      <c r="T241">
        <f>HYPERLINK("https://klasma.github.io/Logging_1880/kartor/A 28103-2020 karta.png", "A 28103-2020")</f>
        <v/>
      </c>
      <c r="U241">
        <f>HYPERLINK("https://klasma.github.io/Logging_1880/knärot/A 28103-2020 karta knärot.png", "A 28103-2020")</f>
        <v/>
      </c>
      <c r="V241">
        <f>HYPERLINK("https://klasma.github.io/Logging_1880/klagomål/A 28103-2020 FSC-klagomål.docx", "A 28103-2020")</f>
        <v/>
      </c>
      <c r="W241">
        <f>HYPERLINK("https://klasma.github.io/Logging_1880/klagomålsmail/A 28103-2020 FSC-klagomål mail.docx", "A 28103-2020")</f>
        <v/>
      </c>
      <c r="X241">
        <f>HYPERLINK("https://klasma.github.io/Logging_1880/tillsyn/A 28103-2020 tillsynsbegäran.docx", "A 28103-2020")</f>
        <v/>
      </c>
      <c r="Y241">
        <f>HYPERLINK("https://klasma.github.io/Logging_1880/tillsynsmail/A 28103-2020 tillsynsbegäran mail.docx", "A 28103-2020")</f>
        <v/>
      </c>
    </row>
    <row r="242" ht="15" customHeight="1">
      <c r="A242" t="inlineStr">
        <is>
          <t>A 28710-2020</t>
        </is>
      </c>
      <c r="B242" s="1" t="n">
        <v>43998</v>
      </c>
      <c r="C242" s="1" t="n">
        <v>45360</v>
      </c>
      <c r="D242" t="inlineStr">
        <is>
          <t>ÖREBRO LÄN</t>
        </is>
      </c>
      <c r="E242" t="inlineStr">
        <is>
          <t>ÖREBRO</t>
        </is>
      </c>
      <c r="F242" t="inlineStr">
        <is>
          <t>Kommuner</t>
        </is>
      </c>
      <c r="G242" t="n">
        <v>1</v>
      </c>
      <c r="H242" t="n">
        <v>0</v>
      </c>
      <c r="I242" t="n">
        <v>0</v>
      </c>
      <c r="J242" t="n">
        <v>1</v>
      </c>
      <c r="K242" t="n">
        <v>0</v>
      </c>
      <c r="L242" t="n">
        <v>0</v>
      </c>
      <c r="M242" t="n">
        <v>0</v>
      </c>
      <c r="N242" t="n">
        <v>0</v>
      </c>
      <c r="O242" t="n">
        <v>1</v>
      </c>
      <c r="P242" t="n">
        <v>0</v>
      </c>
      <c r="Q242" t="n">
        <v>1</v>
      </c>
      <c r="R242" s="2" t="inlineStr">
        <is>
          <t>Ullticka</t>
        </is>
      </c>
      <c r="S242">
        <f>HYPERLINK("https://klasma.github.io/Logging_1880/artfynd/A 28710-2020 artfynd.xlsx", "A 28710-2020")</f>
        <v/>
      </c>
      <c r="T242">
        <f>HYPERLINK("https://klasma.github.io/Logging_1880/kartor/A 28710-2020 karta.png", "A 28710-2020")</f>
        <v/>
      </c>
      <c r="V242">
        <f>HYPERLINK("https://klasma.github.io/Logging_1880/klagomål/A 28710-2020 FSC-klagomål.docx", "A 28710-2020")</f>
        <v/>
      </c>
      <c r="W242">
        <f>HYPERLINK("https://klasma.github.io/Logging_1880/klagomålsmail/A 28710-2020 FSC-klagomål mail.docx", "A 28710-2020")</f>
        <v/>
      </c>
      <c r="X242">
        <f>HYPERLINK("https://klasma.github.io/Logging_1880/tillsyn/A 28710-2020 tillsynsbegäran.docx", "A 28710-2020")</f>
        <v/>
      </c>
      <c r="Y242">
        <f>HYPERLINK("https://klasma.github.io/Logging_1880/tillsynsmail/A 28710-2020 tillsynsbegäran mail.docx", "A 28710-2020")</f>
        <v/>
      </c>
    </row>
    <row r="243" ht="15" customHeight="1">
      <c r="A243" t="inlineStr">
        <is>
          <t>A 29454-2020</t>
        </is>
      </c>
      <c r="B243" s="1" t="n">
        <v>44004</v>
      </c>
      <c r="C243" s="1" t="n">
        <v>45360</v>
      </c>
      <c r="D243" t="inlineStr">
        <is>
          <t>ÖREBRO LÄN</t>
        </is>
      </c>
      <c r="E243" t="inlineStr">
        <is>
          <t>ÖREBRO</t>
        </is>
      </c>
      <c r="G243" t="n">
        <v>5</v>
      </c>
      <c r="H243" t="n">
        <v>0</v>
      </c>
      <c r="I243" t="n">
        <v>0</v>
      </c>
      <c r="J243" t="n">
        <v>1</v>
      </c>
      <c r="K243" t="n">
        <v>0</v>
      </c>
      <c r="L243" t="n">
        <v>0</v>
      </c>
      <c r="M243" t="n">
        <v>0</v>
      </c>
      <c r="N243" t="n">
        <v>0</v>
      </c>
      <c r="O243" t="n">
        <v>1</v>
      </c>
      <c r="P243" t="n">
        <v>0</v>
      </c>
      <c r="Q243" t="n">
        <v>1</v>
      </c>
      <c r="R243" s="2" t="inlineStr">
        <is>
          <t>Stornopping</t>
        </is>
      </c>
      <c r="S243">
        <f>HYPERLINK("https://klasma.github.io/Logging_1880/artfynd/A 29454-2020 artfynd.xlsx", "A 29454-2020")</f>
        <v/>
      </c>
      <c r="T243">
        <f>HYPERLINK("https://klasma.github.io/Logging_1880/kartor/A 29454-2020 karta.png", "A 29454-2020")</f>
        <v/>
      </c>
      <c r="V243">
        <f>HYPERLINK("https://klasma.github.io/Logging_1880/klagomål/A 29454-2020 FSC-klagomål.docx", "A 29454-2020")</f>
        <v/>
      </c>
      <c r="W243">
        <f>HYPERLINK("https://klasma.github.io/Logging_1880/klagomålsmail/A 29454-2020 FSC-klagomål mail.docx", "A 29454-2020")</f>
        <v/>
      </c>
      <c r="X243">
        <f>HYPERLINK("https://klasma.github.io/Logging_1880/tillsyn/A 29454-2020 tillsynsbegäran.docx", "A 29454-2020")</f>
        <v/>
      </c>
      <c r="Y243">
        <f>HYPERLINK("https://klasma.github.io/Logging_1880/tillsynsmail/A 29454-2020 tillsynsbegäran mail.docx", "A 29454-2020")</f>
        <v/>
      </c>
    </row>
    <row r="244" ht="15" customHeight="1">
      <c r="A244" t="inlineStr">
        <is>
          <t>A 32030-2020</t>
        </is>
      </c>
      <c r="B244" s="1" t="n">
        <v>44015</v>
      </c>
      <c r="C244" s="1" t="n">
        <v>45360</v>
      </c>
      <c r="D244" t="inlineStr">
        <is>
          <t>ÖREBRO LÄN</t>
        </is>
      </c>
      <c r="E244" t="inlineStr">
        <is>
          <t>LAXÅ</t>
        </is>
      </c>
      <c r="F244" t="inlineStr">
        <is>
          <t>Sveaskog</t>
        </is>
      </c>
      <c r="G244" t="n">
        <v>1.9</v>
      </c>
      <c r="H244" t="n">
        <v>1</v>
      </c>
      <c r="I244" t="n">
        <v>0</v>
      </c>
      <c r="J244" t="n">
        <v>0</v>
      </c>
      <c r="K244" t="n">
        <v>0</v>
      </c>
      <c r="L244" t="n">
        <v>0</v>
      </c>
      <c r="M244" t="n">
        <v>0</v>
      </c>
      <c r="N244" t="n">
        <v>0</v>
      </c>
      <c r="O244" t="n">
        <v>0</v>
      </c>
      <c r="P244" t="n">
        <v>0</v>
      </c>
      <c r="Q244" t="n">
        <v>1</v>
      </c>
      <c r="R244" s="2" t="inlineStr">
        <is>
          <t>Revlummer</t>
        </is>
      </c>
      <c r="S244">
        <f>HYPERLINK("https://klasma.github.io/Logging_1860/artfynd/A 32030-2020 artfynd.xlsx", "A 32030-2020")</f>
        <v/>
      </c>
      <c r="T244">
        <f>HYPERLINK("https://klasma.github.io/Logging_1860/kartor/A 32030-2020 karta.png", "A 32030-2020")</f>
        <v/>
      </c>
      <c r="V244">
        <f>HYPERLINK("https://klasma.github.io/Logging_1860/klagomål/A 32030-2020 FSC-klagomål.docx", "A 32030-2020")</f>
        <v/>
      </c>
      <c r="W244">
        <f>HYPERLINK("https://klasma.github.io/Logging_1860/klagomålsmail/A 32030-2020 FSC-klagomål mail.docx", "A 32030-2020")</f>
        <v/>
      </c>
      <c r="X244">
        <f>HYPERLINK("https://klasma.github.io/Logging_1860/tillsyn/A 32030-2020 tillsynsbegäran.docx", "A 32030-2020")</f>
        <v/>
      </c>
      <c r="Y244">
        <f>HYPERLINK("https://klasma.github.io/Logging_1860/tillsynsmail/A 32030-2020 tillsynsbegäran mail.docx", "A 32030-2020")</f>
        <v/>
      </c>
    </row>
    <row r="245" ht="15" customHeight="1">
      <c r="A245" t="inlineStr">
        <is>
          <t>A 32905-2020</t>
        </is>
      </c>
      <c r="B245" s="1" t="n">
        <v>44020</v>
      </c>
      <c r="C245" s="1" t="n">
        <v>45360</v>
      </c>
      <c r="D245" t="inlineStr">
        <is>
          <t>ÖREBRO LÄN</t>
        </is>
      </c>
      <c r="E245" t="inlineStr">
        <is>
          <t>ASKERSUND</t>
        </is>
      </c>
      <c r="F245" t="inlineStr">
        <is>
          <t>Sveaskog</t>
        </is>
      </c>
      <c r="G245" t="n">
        <v>0.8</v>
      </c>
      <c r="H245" t="n">
        <v>1</v>
      </c>
      <c r="I245" t="n">
        <v>0</v>
      </c>
      <c r="J245" t="n">
        <v>0</v>
      </c>
      <c r="K245" t="n">
        <v>0</v>
      </c>
      <c r="L245" t="n">
        <v>0</v>
      </c>
      <c r="M245" t="n">
        <v>0</v>
      </c>
      <c r="N245" t="n">
        <v>0</v>
      </c>
      <c r="O245" t="n">
        <v>0</v>
      </c>
      <c r="P245" t="n">
        <v>0</v>
      </c>
      <c r="Q245" t="n">
        <v>1</v>
      </c>
      <c r="R245" s="2" t="inlineStr">
        <is>
          <t>Nattviol</t>
        </is>
      </c>
      <c r="S245">
        <f>HYPERLINK("https://klasma.github.io/Logging_1882/artfynd/A 32905-2020 artfynd.xlsx", "A 32905-2020")</f>
        <v/>
      </c>
      <c r="T245">
        <f>HYPERLINK("https://klasma.github.io/Logging_1882/kartor/A 32905-2020 karta.png", "A 32905-2020")</f>
        <v/>
      </c>
      <c r="V245">
        <f>HYPERLINK("https://klasma.github.io/Logging_1882/klagomål/A 32905-2020 FSC-klagomål.docx", "A 32905-2020")</f>
        <v/>
      </c>
      <c r="W245">
        <f>HYPERLINK("https://klasma.github.io/Logging_1882/klagomålsmail/A 32905-2020 FSC-klagomål mail.docx", "A 32905-2020")</f>
        <v/>
      </c>
      <c r="X245">
        <f>HYPERLINK("https://klasma.github.io/Logging_1882/tillsyn/A 32905-2020 tillsynsbegäran.docx", "A 32905-2020")</f>
        <v/>
      </c>
      <c r="Y245">
        <f>HYPERLINK("https://klasma.github.io/Logging_1882/tillsynsmail/A 32905-2020 tillsynsbegäran mail.docx", "A 32905-2020")</f>
        <v/>
      </c>
    </row>
    <row r="246" ht="15" customHeight="1">
      <c r="A246" t="inlineStr">
        <is>
          <t>A 34760-2020</t>
        </is>
      </c>
      <c r="B246" s="1" t="n">
        <v>44035</v>
      </c>
      <c r="C246" s="1" t="n">
        <v>45360</v>
      </c>
      <c r="D246" t="inlineStr">
        <is>
          <t>ÖREBRO LÄN</t>
        </is>
      </c>
      <c r="E246" t="inlineStr">
        <is>
          <t>ASKERSUND</t>
        </is>
      </c>
      <c r="F246" t="inlineStr">
        <is>
          <t>Sveaskog</t>
        </is>
      </c>
      <c r="G246" t="n">
        <v>2.2</v>
      </c>
      <c r="H246" t="n">
        <v>0</v>
      </c>
      <c r="I246" t="n">
        <v>0</v>
      </c>
      <c r="J246" t="n">
        <v>1</v>
      </c>
      <c r="K246" t="n">
        <v>0</v>
      </c>
      <c r="L246" t="n">
        <v>0</v>
      </c>
      <c r="M246" t="n">
        <v>0</v>
      </c>
      <c r="N246" t="n">
        <v>0</v>
      </c>
      <c r="O246" t="n">
        <v>1</v>
      </c>
      <c r="P246" t="n">
        <v>0</v>
      </c>
      <c r="Q246" t="n">
        <v>1</v>
      </c>
      <c r="R246" s="2" t="inlineStr">
        <is>
          <t>Svinrot</t>
        </is>
      </c>
      <c r="S246">
        <f>HYPERLINK("https://klasma.github.io/Logging_1882/artfynd/A 34760-2020 artfynd.xlsx", "A 34760-2020")</f>
        <v/>
      </c>
      <c r="T246">
        <f>HYPERLINK("https://klasma.github.io/Logging_1882/kartor/A 34760-2020 karta.png", "A 34760-2020")</f>
        <v/>
      </c>
      <c r="V246">
        <f>HYPERLINK("https://klasma.github.io/Logging_1882/klagomål/A 34760-2020 FSC-klagomål.docx", "A 34760-2020")</f>
        <v/>
      </c>
      <c r="W246">
        <f>HYPERLINK("https://klasma.github.io/Logging_1882/klagomålsmail/A 34760-2020 FSC-klagomål mail.docx", "A 34760-2020")</f>
        <v/>
      </c>
      <c r="X246">
        <f>HYPERLINK("https://klasma.github.io/Logging_1882/tillsyn/A 34760-2020 tillsynsbegäran.docx", "A 34760-2020")</f>
        <v/>
      </c>
      <c r="Y246">
        <f>HYPERLINK("https://klasma.github.io/Logging_1882/tillsynsmail/A 34760-2020 tillsynsbegäran mail.docx", "A 34760-2020")</f>
        <v/>
      </c>
    </row>
    <row r="247" ht="15" customHeight="1">
      <c r="A247" t="inlineStr">
        <is>
          <t>A 39904-2020</t>
        </is>
      </c>
      <c r="B247" s="1" t="n">
        <v>44067</v>
      </c>
      <c r="C247" s="1" t="n">
        <v>45360</v>
      </c>
      <c r="D247" t="inlineStr">
        <is>
          <t>ÖREBRO LÄN</t>
        </is>
      </c>
      <c r="E247" t="inlineStr">
        <is>
          <t>ASKERSUND</t>
        </is>
      </c>
      <c r="G247" t="n">
        <v>8.800000000000001</v>
      </c>
      <c r="H247" t="n">
        <v>1</v>
      </c>
      <c r="I247" t="n">
        <v>0</v>
      </c>
      <c r="J247" t="n">
        <v>1</v>
      </c>
      <c r="K247" t="n">
        <v>0</v>
      </c>
      <c r="L247" t="n">
        <v>0</v>
      </c>
      <c r="M247" t="n">
        <v>0</v>
      </c>
      <c r="N247" t="n">
        <v>0</v>
      </c>
      <c r="O247" t="n">
        <v>1</v>
      </c>
      <c r="P247" t="n">
        <v>0</v>
      </c>
      <c r="Q247" t="n">
        <v>1</v>
      </c>
      <c r="R247" s="2" t="inlineStr">
        <is>
          <t>Nordfladdermus</t>
        </is>
      </c>
      <c r="S247">
        <f>HYPERLINK("https://klasma.github.io/Logging_1882/artfynd/A 39904-2020 artfynd.xlsx", "A 39904-2020")</f>
        <v/>
      </c>
      <c r="T247">
        <f>HYPERLINK("https://klasma.github.io/Logging_1882/kartor/A 39904-2020 karta.png", "A 39904-2020")</f>
        <v/>
      </c>
      <c r="V247">
        <f>HYPERLINK("https://klasma.github.io/Logging_1882/klagomål/A 39904-2020 FSC-klagomål.docx", "A 39904-2020")</f>
        <v/>
      </c>
      <c r="W247">
        <f>HYPERLINK("https://klasma.github.io/Logging_1882/klagomålsmail/A 39904-2020 FSC-klagomål mail.docx", "A 39904-2020")</f>
        <v/>
      </c>
      <c r="X247">
        <f>HYPERLINK("https://klasma.github.io/Logging_1882/tillsyn/A 39904-2020 tillsynsbegäran.docx", "A 39904-2020")</f>
        <v/>
      </c>
      <c r="Y247">
        <f>HYPERLINK("https://klasma.github.io/Logging_1882/tillsynsmail/A 39904-2020 tillsynsbegäran mail.docx", "A 39904-2020")</f>
        <v/>
      </c>
    </row>
    <row r="248" ht="15" customHeight="1">
      <c r="A248" t="inlineStr">
        <is>
          <t>A 42905-2020</t>
        </is>
      </c>
      <c r="B248" s="1" t="n">
        <v>44078</v>
      </c>
      <c r="C248" s="1" t="n">
        <v>45360</v>
      </c>
      <c r="D248" t="inlineStr">
        <is>
          <t>ÖREBRO LÄN</t>
        </is>
      </c>
      <c r="E248" t="inlineStr">
        <is>
          <t>HALLSBERG</t>
        </is>
      </c>
      <c r="G248" t="n">
        <v>9.300000000000001</v>
      </c>
      <c r="H248" t="n">
        <v>1</v>
      </c>
      <c r="I248" t="n">
        <v>0</v>
      </c>
      <c r="J248" t="n">
        <v>0</v>
      </c>
      <c r="K248" t="n">
        <v>0</v>
      </c>
      <c r="L248" t="n">
        <v>0</v>
      </c>
      <c r="M248" t="n">
        <v>0</v>
      </c>
      <c r="N248" t="n">
        <v>0</v>
      </c>
      <c r="O248" t="n">
        <v>0</v>
      </c>
      <c r="P248" t="n">
        <v>0</v>
      </c>
      <c r="Q248" t="n">
        <v>1</v>
      </c>
      <c r="R248" s="2" t="inlineStr">
        <is>
          <t>Större vattensalamander</t>
        </is>
      </c>
      <c r="S248">
        <f>HYPERLINK("https://klasma.github.io/Logging_1861/artfynd/A 42905-2020 artfynd.xlsx", "A 42905-2020")</f>
        <v/>
      </c>
      <c r="T248">
        <f>HYPERLINK("https://klasma.github.io/Logging_1861/kartor/A 42905-2020 karta.png", "A 42905-2020")</f>
        <v/>
      </c>
      <c r="V248">
        <f>HYPERLINK("https://klasma.github.io/Logging_1861/klagomål/A 42905-2020 FSC-klagomål.docx", "A 42905-2020")</f>
        <v/>
      </c>
      <c r="W248">
        <f>HYPERLINK("https://klasma.github.io/Logging_1861/klagomålsmail/A 42905-2020 FSC-klagomål mail.docx", "A 42905-2020")</f>
        <v/>
      </c>
      <c r="X248">
        <f>HYPERLINK("https://klasma.github.io/Logging_1861/tillsyn/A 42905-2020 tillsynsbegäran.docx", "A 42905-2020")</f>
        <v/>
      </c>
      <c r="Y248">
        <f>HYPERLINK("https://klasma.github.io/Logging_1861/tillsynsmail/A 42905-2020 tillsynsbegäran mail.docx", "A 42905-2020")</f>
        <v/>
      </c>
    </row>
    <row r="249" ht="15" customHeight="1">
      <c r="A249" t="inlineStr">
        <is>
          <t>A 44988-2020</t>
        </is>
      </c>
      <c r="B249" s="1" t="n">
        <v>44088</v>
      </c>
      <c r="C249" s="1" t="n">
        <v>45360</v>
      </c>
      <c r="D249" t="inlineStr">
        <is>
          <t>ÖREBRO LÄN</t>
        </is>
      </c>
      <c r="E249" t="inlineStr">
        <is>
          <t>KARLSKOGA</t>
        </is>
      </c>
      <c r="G249" t="n">
        <v>2.3</v>
      </c>
      <c r="H249" t="n">
        <v>0</v>
      </c>
      <c r="I249" t="n">
        <v>0</v>
      </c>
      <c r="J249" t="n">
        <v>1</v>
      </c>
      <c r="K249" t="n">
        <v>0</v>
      </c>
      <c r="L249" t="n">
        <v>0</v>
      </c>
      <c r="M249" t="n">
        <v>0</v>
      </c>
      <c r="N249" t="n">
        <v>0</v>
      </c>
      <c r="O249" t="n">
        <v>1</v>
      </c>
      <c r="P249" t="n">
        <v>0</v>
      </c>
      <c r="Q249" t="n">
        <v>1</v>
      </c>
      <c r="R249" s="2" t="inlineStr">
        <is>
          <t>Långfibbla</t>
        </is>
      </c>
      <c r="S249">
        <f>HYPERLINK("https://klasma.github.io/Logging_1883/artfynd/A 44988-2020 artfynd.xlsx", "A 44988-2020")</f>
        <v/>
      </c>
      <c r="T249">
        <f>HYPERLINK("https://klasma.github.io/Logging_1883/kartor/A 44988-2020 karta.png", "A 44988-2020")</f>
        <v/>
      </c>
      <c r="V249">
        <f>HYPERLINK("https://klasma.github.io/Logging_1883/klagomål/A 44988-2020 FSC-klagomål.docx", "A 44988-2020")</f>
        <v/>
      </c>
      <c r="W249">
        <f>HYPERLINK("https://klasma.github.io/Logging_1883/klagomålsmail/A 44988-2020 FSC-klagomål mail.docx", "A 44988-2020")</f>
        <v/>
      </c>
      <c r="X249">
        <f>HYPERLINK("https://klasma.github.io/Logging_1883/tillsyn/A 44988-2020 tillsynsbegäran.docx", "A 44988-2020")</f>
        <v/>
      </c>
      <c r="Y249">
        <f>HYPERLINK("https://klasma.github.io/Logging_1883/tillsynsmail/A 44988-2020 tillsynsbegäran mail.docx", "A 44988-2020")</f>
        <v/>
      </c>
    </row>
    <row r="250" ht="15" customHeight="1">
      <c r="A250" t="inlineStr">
        <is>
          <t>A 47044-2020</t>
        </is>
      </c>
      <c r="B250" s="1" t="n">
        <v>44091</v>
      </c>
      <c r="C250" s="1" t="n">
        <v>45360</v>
      </c>
      <c r="D250" t="inlineStr">
        <is>
          <t>ÖREBRO LÄN</t>
        </is>
      </c>
      <c r="E250" t="inlineStr">
        <is>
          <t>LJUSNARSBERG</t>
        </is>
      </c>
      <c r="F250" t="inlineStr">
        <is>
          <t>Bergvik skog väst AB</t>
        </is>
      </c>
      <c r="G250" t="n">
        <v>7.6</v>
      </c>
      <c r="H250" t="n">
        <v>1</v>
      </c>
      <c r="I250" t="n">
        <v>0</v>
      </c>
      <c r="J250" t="n">
        <v>0</v>
      </c>
      <c r="K250" t="n">
        <v>1</v>
      </c>
      <c r="L250" t="n">
        <v>0</v>
      </c>
      <c r="M250" t="n">
        <v>0</v>
      </c>
      <c r="N250" t="n">
        <v>0</v>
      </c>
      <c r="O250" t="n">
        <v>1</v>
      </c>
      <c r="P250" t="n">
        <v>1</v>
      </c>
      <c r="Q250" t="n">
        <v>1</v>
      </c>
      <c r="R250" s="2" t="inlineStr">
        <is>
          <t>Knärot</t>
        </is>
      </c>
      <c r="S250">
        <f>HYPERLINK("https://klasma.github.io/Logging_1864/artfynd/A 47044-2020 artfynd.xlsx", "A 47044-2020")</f>
        <v/>
      </c>
      <c r="T250">
        <f>HYPERLINK("https://klasma.github.io/Logging_1864/kartor/A 47044-2020 karta.png", "A 47044-2020")</f>
        <v/>
      </c>
      <c r="U250">
        <f>HYPERLINK("https://klasma.github.io/Logging_1864/knärot/A 47044-2020 karta knärot.png", "A 47044-2020")</f>
        <v/>
      </c>
      <c r="V250">
        <f>HYPERLINK("https://klasma.github.io/Logging_1864/klagomål/A 47044-2020 FSC-klagomål.docx", "A 47044-2020")</f>
        <v/>
      </c>
      <c r="W250">
        <f>HYPERLINK("https://klasma.github.io/Logging_1864/klagomålsmail/A 47044-2020 FSC-klagomål mail.docx", "A 47044-2020")</f>
        <v/>
      </c>
      <c r="X250">
        <f>HYPERLINK("https://klasma.github.io/Logging_1864/tillsyn/A 47044-2020 tillsynsbegäran.docx", "A 47044-2020")</f>
        <v/>
      </c>
      <c r="Y250">
        <f>HYPERLINK("https://klasma.github.io/Logging_1864/tillsynsmail/A 47044-2020 tillsynsbegäran mail.docx", "A 47044-2020")</f>
        <v/>
      </c>
    </row>
    <row r="251" ht="15" customHeight="1">
      <c r="A251" t="inlineStr">
        <is>
          <t>A 47314-2020</t>
        </is>
      </c>
      <c r="B251" s="1" t="n">
        <v>44097</v>
      </c>
      <c r="C251" s="1" t="n">
        <v>45360</v>
      </c>
      <c r="D251" t="inlineStr">
        <is>
          <t>ÖREBRO LÄN</t>
        </is>
      </c>
      <c r="E251" t="inlineStr">
        <is>
          <t>HALLSBERG</t>
        </is>
      </c>
      <c r="F251" t="inlineStr">
        <is>
          <t>Sveaskog</t>
        </is>
      </c>
      <c r="G251" t="n">
        <v>1.5</v>
      </c>
      <c r="H251" t="n">
        <v>0</v>
      </c>
      <c r="I251" t="n">
        <v>1</v>
      </c>
      <c r="J251" t="n">
        <v>0</v>
      </c>
      <c r="K251" t="n">
        <v>0</v>
      </c>
      <c r="L251" t="n">
        <v>0</v>
      </c>
      <c r="M251" t="n">
        <v>0</v>
      </c>
      <c r="N251" t="n">
        <v>0</v>
      </c>
      <c r="O251" t="n">
        <v>0</v>
      </c>
      <c r="P251" t="n">
        <v>0</v>
      </c>
      <c r="Q251" t="n">
        <v>1</v>
      </c>
      <c r="R251" s="2" t="inlineStr">
        <is>
          <t>Stubbspretmossa</t>
        </is>
      </c>
      <c r="S251">
        <f>HYPERLINK("https://klasma.github.io/Logging_1861/artfynd/A 47314-2020 artfynd.xlsx", "A 47314-2020")</f>
        <v/>
      </c>
      <c r="T251">
        <f>HYPERLINK("https://klasma.github.io/Logging_1861/kartor/A 47314-2020 karta.png", "A 47314-2020")</f>
        <v/>
      </c>
      <c r="V251">
        <f>HYPERLINK("https://klasma.github.io/Logging_1861/klagomål/A 47314-2020 FSC-klagomål.docx", "A 47314-2020")</f>
        <v/>
      </c>
      <c r="W251">
        <f>HYPERLINK("https://klasma.github.io/Logging_1861/klagomålsmail/A 47314-2020 FSC-klagomål mail.docx", "A 47314-2020")</f>
        <v/>
      </c>
      <c r="X251">
        <f>HYPERLINK("https://klasma.github.io/Logging_1861/tillsyn/A 47314-2020 tillsynsbegäran.docx", "A 47314-2020")</f>
        <v/>
      </c>
      <c r="Y251">
        <f>HYPERLINK("https://klasma.github.io/Logging_1861/tillsynsmail/A 47314-2020 tillsynsbegäran mail.docx", "A 47314-2020")</f>
        <v/>
      </c>
    </row>
    <row r="252" ht="15" customHeight="1">
      <c r="A252" t="inlineStr">
        <is>
          <t>A 58022-2020</t>
        </is>
      </c>
      <c r="B252" s="1" t="n">
        <v>44144</v>
      </c>
      <c r="C252" s="1" t="n">
        <v>45360</v>
      </c>
      <c r="D252" t="inlineStr">
        <is>
          <t>ÖREBRO LÄN</t>
        </is>
      </c>
      <c r="E252" t="inlineStr">
        <is>
          <t>KARLSKOGA</t>
        </is>
      </c>
      <c r="F252" t="inlineStr">
        <is>
          <t>Sveaskog</t>
        </is>
      </c>
      <c r="G252" t="n">
        <v>8.6</v>
      </c>
      <c r="H252" t="n">
        <v>1</v>
      </c>
      <c r="I252" t="n">
        <v>0</v>
      </c>
      <c r="J252" t="n">
        <v>0</v>
      </c>
      <c r="K252" t="n">
        <v>0</v>
      </c>
      <c r="L252" t="n">
        <v>0</v>
      </c>
      <c r="M252" t="n">
        <v>0</v>
      </c>
      <c r="N252" t="n">
        <v>0</v>
      </c>
      <c r="O252" t="n">
        <v>0</v>
      </c>
      <c r="P252" t="n">
        <v>0</v>
      </c>
      <c r="Q252" t="n">
        <v>1</v>
      </c>
      <c r="R252" s="2" t="inlineStr">
        <is>
          <t>Fläcknycklar</t>
        </is>
      </c>
      <c r="S252">
        <f>HYPERLINK("https://klasma.github.io/Logging_1883/artfynd/A 58022-2020 artfynd.xlsx", "A 58022-2020")</f>
        <v/>
      </c>
      <c r="T252">
        <f>HYPERLINK("https://klasma.github.io/Logging_1883/kartor/A 58022-2020 karta.png", "A 58022-2020")</f>
        <v/>
      </c>
      <c r="V252">
        <f>HYPERLINK("https://klasma.github.io/Logging_1883/klagomål/A 58022-2020 FSC-klagomål.docx", "A 58022-2020")</f>
        <v/>
      </c>
      <c r="W252">
        <f>HYPERLINK("https://klasma.github.io/Logging_1883/klagomålsmail/A 58022-2020 FSC-klagomål mail.docx", "A 58022-2020")</f>
        <v/>
      </c>
      <c r="X252">
        <f>HYPERLINK("https://klasma.github.io/Logging_1883/tillsyn/A 58022-2020 tillsynsbegäran.docx", "A 58022-2020")</f>
        <v/>
      </c>
      <c r="Y252">
        <f>HYPERLINK("https://klasma.github.io/Logging_1883/tillsynsmail/A 58022-2020 tillsynsbegäran mail.docx", "A 58022-2020")</f>
        <v/>
      </c>
    </row>
    <row r="253" ht="15" customHeight="1">
      <c r="A253" t="inlineStr">
        <is>
          <t>A 58966-2020</t>
        </is>
      </c>
      <c r="B253" s="1" t="n">
        <v>44146</v>
      </c>
      <c r="C253" s="1" t="n">
        <v>45360</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row>
    <row r="254" ht="15" customHeight="1">
      <c r="A254" t="inlineStr">
        <is>
          <t>A 128-2021</t>
        </is>
      </c>
      <c r="B254" s="1" t="n">
        <v>44200</v>
      </c>
      <c r="C254" s="1" t="n">
        <v>45360</v>
      </c>
      <c r="D254" t="inlineStr">
        <is>
          <t>ÖREBRO LÄN</t>
        </is>
      </c>
      <c r="E254" t="inlineStr">
        <is>
          <t>HÄLLEFORS</t>
        </is>
      </c>
      <c r="G254" t="n">
        <v>4.3</v>
      </c>
      <c r="H254" t="n">
        <v>1</v>
      </c>
      <c r="I254" t="n">
        <v>1</v>
      </c>
      <c r="J254" t="n">
        <v>0</v>
      </c>
      <c r="K254" t="n">
        <v>0</v>
      </c>
      <c r="L254" t="n">
        <v>0</v>
      </c>
      <c r="M254" t="n">
        <v>0</v>
      </c>
      <c r="N254" t="n">
        <v>0</v>
      </c>
      <c r="O254" t="n">
        <v>0</v>
      </c>
      <c r="P254" t="n">
        <v>0</v>
      </c>
      <c r="Q254" t="n">
        <v>1</v>
      </c>
      <c r="R254" s="2" t="inlineStr">
        <is>
          <t>Purpurknipprot</t>
        </is>
      </c>
      <c r="S254">
        <f>HYPERLINK("https://klasma.github.io/Logging_1863/artfynd/A 128-2021 artfynd.xlsx", "A 128-2021")</f>
        <v/>
      </c>
      <c r="T254">
        <f>HYPERLINK("https://klasma.github.io/Logging_1863/kartor/A 128-2021 karta.png", "A 128-2021")</f>
        <v/>
      </c>
      <c r="V254">
        <f>HYPERLINK("https://klasma.github.io/Logging_1863/klagomål/A 128-2021 FSC-klagomål.docx", "A 128-2021")</f>
        <v/>
      </c>
      <c r="W254">
        <f>HYPERLINK("https://klasma.github.io/Logging_1863/klagomålsmail/A 128-2021 FSC-klagomål mail.docx", "A 128-2021")</f>
        <v/>
      </c>
      <c r="X254">
        <f>HYPERLINK("https://klasma.github.io/Logging_1863/tillsyn/A 128-2021 tillsynsbegäran.docx", "A 128-2021")</f>
        <v/>
      </c>
      <c r="Y254">
        <f>HYPERLINK("https://klasma.github.io/Logging_1863/tillsynsmail/A 128-2021 tillsynsbegäran mail.docx", "A 128-2021")</f>
        <v/>
      </c>
    </row>
    <row r="255" ht="15" customHeight="1">
      <c r="A255" t="inlineStr">
        <is>
          <t>A 168-2021</t>
        </is>
      </c>
      <c r="B255" s="1" t="n">
        <v>44200</v>
      </c>
      <c r="C255" s="1" t="n">
        <v>45360</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4014-2021</t>
        </is>
      </c>
      <c r="B256" s="1" t="n">
        <v>44218</v>
      </c>
      <c r="C256" s="1" t="n">
        <v>45360</v>
      </c>
      <c r="D256" t="inlineStr">
        <is>
          <t>ÖREBRO LÄN</t>
        </is>
      </c>
      <c r="E256" t="inlineStr">
        <is>
          <t>ÖREBRO</t>
        </is>
      </c>
      <c r="G256" t="n">
        <v>10.5</v>
      </c>
      <c r="H256" t="n">
        <v>0</v>
      </c>
      <c r="I256" t="n">
        <v>1</v>
      </c>
      <c r="J256" t="n">
        <v>0</v>
      </c>
      <c r="K256" t="n">
        <v>0</v>
      </c>
      <c r="L256" t="n">
        <v>0</v>
      </c>
      <c r="M256" t="n">
        <v>0</v>
      </c>
      <c r="N256" t="n">
        <v>0</v>
      </c>
      <c r="O256" t="n">
        <v>0</v>
      </c>
      <c r="P256" t="n">
        <v>0</v>
      </c>
      <c r="Q256" t="n">
        <v>1</v>
      </c>
      <c r="R256" s="2" t="inlineStr">
        <is>
          <t>Springkorn</t>
        </is>
      </c>
      <c r="S256">
        <f>HYPERLINK("https://klasma.github.io/Logging_1880/artfynd/A 4014-2021 artfynd.xlsx", "A 4014-2021")</f>
        <v/>
      </c>
      <c r="T256">
        <f>HYPERLINK("https://klasma.github.io/Logging_1880/kartor/A 4014-2021 karta.png", "A 4014-2021")</f>
        <v/>
      </c>
      <c r="V256">
        <f>HYPERLINK("https://klasma.github.io/Logging_1880/klagomål/A 4014-2021 FSC-klagomål.docx", "A 4014-2021")</f>
        <v/>
      </c>
      <c r="W256">
        <f>HYPERLINK("https://klasma.github.io/Logging_1880/klagomålsmail/A 4014-2021 FSC-klagomål mail.docx", "A 4014-2021")</f>
        <v/>
      </c>
      <c r="X256">
        <f>HYPERLINK("https://klasma.github.io/Logging_1880/tillsyn/A 4014-2021 tillsynsbegäran.docx", "A 4014-2021")</f>
        <v/>
      </c>
      <c r="Y256">
        <f>HYPERLINK("https://klasma.github.io/Logging_1880/tillsynsmail/A 4014-2021 tillsynsbegäran mail.docx", "A 4014-2021")</f>
        <v/>
      </c>
    </row>
    <row r="257" ht="15" customHeight="1">
      <c r="A257" t="inlineStr">
        <is>
          <t>A 6926-2021</t>
        </is>
      </c>
      <c r="B257" s="1" t="n">
        <v>44237</v>
      </c>
      <c r="C257" s="1" t="n">
        <v>45360</v>
      </c>
      <c r="D257" t="inlineStr">
        <is>
          <t>ÖREBRO LÄN</t>
        </is>
      </c>
      <c r="E257" t="inlineStr">
        <is>
          <t>ÖREBRO</t>
        </is>
      </c>
      <c r="G257" t="n">
        <v>0.9</v>
      </c>
      <c r="H257" t="n">
        <v>1</v>
      </c>
      <c r="I257" t="n">
        <v>1</v>
      </c>
      <c r="J257" t="n">
        <v>0</v>
      </c>
      <c r="K257" t="n">
        <v>0</v>
      </c>
      <c r="L257" t="n">
        <v>0</v>
      </c>
      <c r="M257" t="n">
        <v>0</v>
      </c>
      <c r="N257" t="n">
        <v>0</v>
      </c>
      <c r="O257" t="n">
        <v>0</v>
      </c>
      <c r="P257" t="n">
        <v>0</v>
      </c>
      <c r="Q257" t="n">
        <v>1</v>
      </c>
      <c r="R257" s="2" t="inlineStr">
        <is>
          <t>Skogsknipprot</t>
        </is>
      </c>
      <c r="S257">
        <f>HYPERLINK("https://klasma.github.io/Logging_1880/artfynd/A 6926-2021 artfynd.xlsx", "A 6926-2021")</f>
        <v/>
      </c>
      <c r="T257">
        <f>HYPERLINK("https://klasma.github.io/Logging_1880/kartor/A 6926-2021 karta.png", "A 6926-2021")</f>
        <v/>
      </c>
      <c r="V257">
        <f>HYPERLINK("https://klasma.github.io/Logging_1880/klagomål/A 6926-2021 FSC-klagomål.docx", "A 6926-2021")</f>
        <v/>
      </c>
      <c r="W257">
        <f>HYPERLINK("https://klasma.github.io/Logging_1880/klagomålsmail/A 6926-2021 FSC-klagomål mail.docx", "A 6926-2021")</f>
        <v/>
      </c>
      <c r="X257">
        <f>HYPERLINK("https://klasma.github.io/Logging_1880/tillsyn/A 6926-2021 tillsynsbegäran.docx", "A 6926-2021")</f>
        <v/>
      </c>
      <c r="Y257">
        <f>HYPERLINK("https://klasma.github.io/Logging_1880/tillsynsmail/A 6926-2021 tillsynsbegäran mail.docx", "A 6926-2021")</f>
        <v/>
      </c>
    </row>
    <row r="258" ht="15" customHeight="1">
      <c r="A258" t="inlineStr">
        <is>
          <t>A 8256-2021</t>
        </is>
      </c>
      <c r="B258" s="1" t="n">
        <v>44244</v>
      </c>
      <c r="C258" s="1" t="n">
        <v>45360</v>
      </c>
      <c r="D258" t="inlineStr">
        <is>
          <t>ÖREBRO LÄN</t>
        </is>
      </c>
      <c r="E258" t="inlineStr">
        <is>
          <t>ÖREBRO</t>
        </is>
      </c>
      <c r="G258" t="n">
        <v>1</v>
      </c>
      <c r="H258" t="n">
        <v>0</v>
      </c>
      <c r="I258" t="n">
        <v>1</v>
      </c>
      <c r="J258" t="n">
        <v>0</v>
      </c>
      <c r="K258" t="n">
        <v>0</v>
      </c>
      <c r="L258" t="n">
        <v>0</v>
      </c>
      <c r="M258" t="n">
        <v>0</v>
      </c>
      <c r="N258" t="n">
        <v>0</v>
      </c>
      <c r="O258" t="n">
        <v>0</v>
      </c>
      <c r="P258" t="n">
        <v>0</v>
      </c>
      <c r="Q258" t="n">
        <v>1</v>
      </c>
      <c r="R258" s="2" t="inlineStr">
        <is>
          <t>Svart trolldruva</t>
        </is>
      </c>
      <c r="S258">
        <f>HYPERLINK("https://klasma.github.io/Logging_1880/artfynd/A 8256-2021 artfynd.xlsx", "A 8256-2021")</f>
        <v/>
      </c>
      <c r="T258">
        <f>HYPERLINK("https://klasma.github.io/Logging_1880/kartor/A 8256-2021 karta.png", "A 8256-2021")</f>
        <v/>
      </c>
      <c r="V258">
        <f>HYPERLINK("https://klasma.github.io/Logging_1880/klagomål/A 8256-2021 FSC-klagomål.docx", "A 8256-2021")</f>
        <v/>
      </c>
      <c r="W258">
        <f>HYPERLINK("https://klasma.github.io/Logging_1880/klagomålsmail/A 8256-2021 FSC-klagomål mail.docx", "A 8256-2021")</f>
        <v/>
      </c>
      <c r="X258">
        <f>HYPERLINK("https://klasma.github.io/Logging_1880/tillsyn/A 8256-2021 tillsynsbegäran.docx", "A 8256-2021")</f>
        <v/>
      </c>
      <c r="Y258">
        <f>HYPERLINK("https://klasma.github.io/Logging_1880/tillsynsmail/A 8256-2021 tillsynsbegäran mail.docx", "A 8256-2021")</f>
        <v/>
      </c>
    </row>
    <row r="259" ht="15" customHeight="1">
      <c r="A259" t="inlineStr">
        <is>
          <t>A 8577-2021</t>
        </is>
      </c>
      <c r="B259" s="1" t="n">
        <v>44245</v>
      </c>
      <c r="C259" s="1" t="n">
        <v>45360</v>
      </c>
      <c r="D259" t="inlineStr">
        <is>
          <t>ÖREBRO LÄN</t>
        </is>
      </c>
      <c r="E259" t="inlineStr">
        <is>
          <t>ÖREBRO</t>
        </is>
      </c>
      <c r="G259" t="n">
        <v>6.5</v>
      </c>
      <c r="H259" t="n">
        <v>0</v>
      </c>
      <c r="I259" t="n">
        <v>1</v>
      </c>
      <c r="J259" t="n">
        <v>0</v>
      </c>
      <c r="K259" t="n">
        <v>0</v>
      </c>
      <c r="L259" t="n">
        <v>0</v>
      </c>
      <c r="M259" t="n">
        <v>0</v>
      </c>
      <c r="N259" t="n">
        <v>0</v>
      </c>
      <c r="O259" t="n">
        <v>0</v>
      </c>
      <c r="P259" t="n">
        <v>0</v>
      </c>
      <c r="Q259" t="n">
        <v>1</v>
      </c>
      <c r="R259" s="2" t="inlineStr">
        <is>
          <t>Spädstarr</t>
        </is>
      </c>
      <c r="S259">
        <f>HYPERLINK("https://klasma.github.io/Logging_1880/artfynd/A 8577-2021 artfynd.xlsx", "A 8577-2021")</f>
        <v/>
      </c>
      <c r="T259">
        <f>HYPERLINK("https://klasma.github.io/Logging_1880/kartor/A 8577-2021 karta.png", "A 8577-2021")</f>
        <v/>
      </c>
      <c r="V259">
        <f>HYPERLINK("https://klasma.github.io/Logging_1880/klagomål/A 8577-2021 FSC-klagomål.docx", "A 8577-2021")</f>
        <v/>
      </c>
      <c r="W259">
        <f>HYPERLINK("https://klasma.github.io/Logging_1880/klagomålsmail/A 8577-2021 FSC-klagomål mail.docx", "A 8577-2021")</f>
        <v/>
      </c>
      <c r="X259">
        <f>HYPERLINK("https://klasma.github.io/Logging_1880/tillsyn/A 8577-2021 tillsynsbegäran.docx", "A 8577-2021")</f>
        <v/>
      </c>
      <c r="Y259">
        <f>HYPERLINK("https://klasma.github.io/Logging_1880/tillsynsmail/A 8577-2021 tillsynsbegäran mail.docx", "A 8577-2021")</f>
        <v/>
      </c>
    </row>
    <row r="260" ht="15" customHeight="1">
      <c r="A260" t="inlineStr">
        <is>
          <t>A 15621-2021</t>
        </is>
      </c>
      <c r="B260" s="1" t="n">
        <v>44285</v>
      </c>
      <c r="C260" s="1" t="n">
        <v>45360</v>
      </c>
      <c r="D260" t="inlineStr">
        <is>
          <t>ÖREBRO LÄN</t>
        </is>
      </c>
      <c r="E260" t="inlineStr">
        <is>
          <t>ÖREBRO</t>
        </is>
      </c>
      <c r="G260" t="n">
        <v>2.8</v>
      </c>
      <c r="H260" t="n">
        <v>1</v>
      </c>
      <c r="I260" t="n">
        <v>0</v>
      </c>
      <c r="J260" t="n">
        <v>0</v>
      </c>
      <c r="K260" t="n">
        <v>0</v>
      </c>
      <c r="L260" t="n">
        <v>0</v>
      </c>
      <c r="M260" t="n">
        <v>0</v>
      </c>
      <c r="N260" t="n">
        <v>0</v>
      </c>
      <c r="O260" t="n">
        <v>0</v>
      </c>
      <c r="P260" t="n">
        <v>0</v>
      </c>
      <c r="Q260" t="n">
        <v>1</v>
      </c>
      <c r="R260" s="2" t="inlineStr">
        <is>
          <t>Fläcknycklar</t>
        </is>
      </c>
      <c r="S260">
        <f>HYPERLINK("https://klasma.github.io/Logging_1880/artfynd/A 15621-2021 artfynd.xlsx", "A 15621-2021")</f>
        <v/>
      </c>
      <c r="T260">
        <f>HYPERLINK("https://klasma.github.io/Logging_1880/kartor/A 15621-2021 karta.png", "A 15621-2021")</f>
        <v/>
      </c>
      <c r="V260">
        <f>HYPERLINK("https://klasma.github.io/Logging_1880/klagomål/A 15621-2021 FSC-klagomål.docx", "A 15621-2021")</f>
        <v/>
      </c>
      <c r="W260">
        <f>HYPERLINK("https://klasma.github.io/Logging_1880/klagomålsmail/A 15621-2021 FSC-klagomål mail.docx", "A 15621-2021")</f>
        <v/>
      </c>
      <c r="X260">
        <f>HYPERLINK("https://klasma.github.io/Logging_1880/tillsyn/A 15621-2021 tillsynsbegäran.docx", "A 15621-2021")</f>
        <v/>
      </c>
      <c r="Y260">
        <f>HYPERLINK("https://klasma.github.io/Logging_1880/tillsynsmail/A 15621-2021 tillsynsbegäran mail.docx", "A 15621-2021")</f>
        <v/>
      </c>
    </row>
    <row r="261" ht="15" customHeight="1">
      <c r="A261" t="inlineStr">
        <is>
          <t>A 21181-2021</t>
        </is>
      </c>
      <c r="B261" s="1" t="n">
        <v>44320</v>
      </c>
      <c r="C261" s="1" t="n">
        <v>45360</v>
      </c>
      <c r="D261" t="inlineStr">
        <is>
          <t>ÖREBRO LÄN</t>
        </is>
      </c>
      <c r="E261" t="inlineStr">
        <is>
          <t>LINDESBERG</t>
        </is>
      </c>
      <c r="F261" t="inlineStr">
        <is>
          <t>Kommuner</t>
        </is>
      </c>
      <c r="G261" t="n">
        <v>1.1</v>
      </c>
      <c r="H261" t="n">
        <v>1</v>
      </c>
      <c r="I261" t="n">
        <v>0</v>
      </c>
      <c r="J261" t="n">
        <v>0</v>
      </c>
      <c r="K261" t="n">
        <v>0</v>
      </c>
      <c r="L261" t="n">
        <v>1</v>
      </c>
      <c r="M261" t="n">
        <v>0</v>
      </c>
      <c r="N261" t="n">
        <v>0</v>
      </c>
      <c r="O261" t="n">
        <v>1</v>
      </c>
      <c r="P261" t="n">
        <v>1</v>
      </c>
      <c r="Q261" t="n">
        <v>1</v>
      </c>
      <c r="R261" s="2" t="inlineStr">
        <is>
          <t>Asknätfjäril</t>
        </is>
      </c>
      <c r="S261">
        <f>HYPERLINK("https://klasma.github.io/Logging_1885/artfynd/A 21181-2021 artfynd.xlsx", "A 21181-2021")</f>
        <v/>
      </c>
      <c r="T261">
        <f>HYPERLINK("https://klasma.github.io/Logging_1885/kartor/A 21181-2021 karta.png", "A 21181-2021")</f>
        <v/>
      </c>
      <c r="V261">
        <f>HYPERLINK("https://klasma.github.io/Logging_1885/klagomål/A 21181-2021 FSC-klagomål.docx", "A 21181-2021")</f>
        <v/>
      </c>
      <c r="W261">
        <f>HYPERLINK("https://klasma.github.io/Logging_1885/klagomålsmail/A 21181-2021 FSC-klagomål mail.docx", "A 21181-2021")</f>
        <v/>
      </c>
      <c r="X261">
        <f>HYPERLINK("https://klasma.github.io/Logging_1885/tillsyn/A 21181-2021 tillsynsbegäran.docx", "A 21181-2021")</f>
        <v/>
      </c>
      <c r="Y261">
        <f>HYPERLINK("https://klasma.github.io/Logging_1885/tillsynsmail/A 21181-2021 tillsynsbegäran mail.docx", "A 21181-2021")</f>
        <v/>
      </c>
    </row>
    <row r="262" ht="15" customHeight="1">
      <c r="A262" t="inlineStr">
        <is>
          <t>A 24567-2021</t>
        </is>
      </c>
      <c r="B262" s="1" t="n">
        <v>44339</v>
      </c>
      <c r="C262" s="1" t="n">
        <v>45360</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26328-2021</t>
        </is>
      </c>
      <c r="B263" s="1" t="n">
        <v>44347</v>
      </c>
      <c r="C263" s="1" t="n">
        <v>45360</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27721-2021</t>
        </is>
      </c>
      <c r="B264" s="1" t="n">
        <v>44354</v>
      </c>
      <c r="C264" s="1" t="n">
        <v>45360</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28140-2021</t>
        </is>
      </c>
      <c r="B265" s="1" t="n">
        <v>44355</v>
      </c>
      <c r="C265" s="1" t="n">
        <v>45360</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32713-2021</t>
        </is>
      </c>
      <c r="B266" s="1" t="n">
        <v>44375</v>
      </c>
      <c r="C266" s="1" t="n">
        <v>45360</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32595-2021</t>
        </is>
      </c>
      <c r="B267" s="1" t="n">
        <v>44375</v>
      </c>
      <c r="C267" s="1" t="n">
        <v>45360</v>
      </c>
      <c r="D267" t="inlineStr">
        <is>
          <t>ÖREBRO LÄN</t>
        </is>
      </c>
      <c r="E267" t="inlineStr">
        <is>
          <t>ÖREBRO</t>
        </is>
      </c>
      <c r="F267" t="inlineStr">
        <is>
          <t>Kommuner</t>
        </is>
      </c>
      <c r="G267" t="n">
        <v>2.7</v>
      </c>
      <c r="H267" t="n">
        <v>1</v>
      </c>
      <c r="I267" t="n">
        <v>1</v>
      </c>
      <c r="J267" t="n">
        <v>0</v>
      </c>
      <c r="K267" t="n">
        <v>0</v>
      </c>
      <c r="L267" t="n">
        <v>0</v>
      </c>
      <c r="M267" t="n">
        <v>0</v>
      </c>
      <c r="N267" t="n">
        <v>0</v>
      </c>
      <c r="O267" t="n">
        <v>0</v>
      </c>
      <c r="P267" t="n">
        <v>0</v>
      </c>
      <c r="Q267" t="n">
        <v>1</v>
      </c>
      <c r="R267" s="2" t="inlineStr">
        <is>
          <t>Purpurknipprot</t>
        </is>
      </c>
      <c r="S267">
        <f>HYPERLINK("https://klasma.github.io/Logging_1880/artfynd/A 32595-2021 artfynd.xlsx", "A 32595-2021")</f>
        <v/>
      </c>
      <c r="T267">
        <f>HYPERLINK("https://klasma.github.io/Logging_1880/kartor/A 32595-2021 karta.png", "A 32595-2021")</f>
        <v/>
      </c>
      <c r="V267">
        <f>HYPERLINK("https://klasma.github.io/Logging_1880/klagomål/A 32595-2021 FSC-klagomål.docx", "A 32595-2021")</f>
        <v/>
      </c>
      <c r="W267">
        <f>HYPERLINK("https://klasma.github.io/Logging_1880/klagomålsmail/A 32595-2021 FSC-klagomål mail.docx", "A 32595-2021")</f>
        <v/>
      </c>
      <c r="X267">
        <f>HYPERLINK("https://klasma.github.io/Logging_1880/tillsyn/A 32595-2021 tillsynsbegäran.docx", "A 32595-2021")</f>
        <v/>
      </c>
      <c r="Y267">
        <f>HYPERLINK("https://klasma.github.io/Logging_1880/tillsynsmail/A 32595-2021 tillsynsbegäran mail.docx", "A 32595-2021")</f>
        <v/>
      </c>
    </row>
    <row r="268" ht="15" customHeight="1">
      <c r="A268" t="inlineStr">
        <is>
          <t>A 39575-2021</t>
        </is>
      </c>
      <c r="B268" s="1" t="n">
        <v>44416</v>
      </c>
      <c r="C268" s="1" t="n">
        <v>45360</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44389-2021</t>
        </is>
      </c>
      <c r="B269" s="1" t="n">
        <v>44435</v>
      </c>
      <c r="C269" s="1" t="n">
        <v>45360</v>
      </c>
      <c r="D269" t="inlineStr">
        <is>
          <t>ÖREBRO LÄN</t>
        </is>
      </c>
      <c r="E269" t="inlineStr">
        <is>
          <t>ÖREBRO</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HYPERLINK("https://klasma.github.io/Logging_1880/artfynd/A 44389-2021 artfynd.xlsx", "A 44389-2021")</f>
        <v/>
      </c>
      <c r="T269">
        <f>HYPERLINK("https://klasma.github.io/Logging_1880/kartor/A 44389-2021 karta.png", "A 44389-2021")</f>
        <v/>
      </c>
      <c r="U269">
        <f>HYPERLINK("https://klasma.github.io/Logging_1880/knärot/A 44389-2021 karta knärot.png", "A 44389-2021")</f>
        <v/>
      </c>
      <c r="V269">
        <f>HYPERLINK("https://klasma.github.io/Logging_1880/klagomål/A 44389-2021 FSC-klagomål.docx", "A 44389-2021")</f>
        <v/>
      </c>
      <c r="W269">
        <f>HYPERLINK("https://klasma.github.io/Logging_1880/klagomålsmail/A 44389-2021 FSC-klagomål mail.docx", "A 44389-2021")</f>
        <v/>
      </c>
      <c r="X269">
        <f>HYPERLINK("https://klasma.github.io/Logging_1880/tillsyn/A 44389-2021 tillsynsbegäran.docx", "A 44389-2021")</f>
        <v/>
      </c>
      <c r="Y269">
        <f>HYPERLINK("https://klasma.github.io/Logging_1880/tillsynsmail/A 44389-2021 tillsynsbegäran mail.docx", "A 44389-2021")</f>
        <v/>
      </c>
    </row>
    <row r="270" ht="15" customHeight="1">
      <c r="A270" t="inlineStr">
        <is>
          <t>A 48684-2021</t>
        </is>
      </c>
      <c r="B270" s="1" t="n">
        <v>44452</v>
      </c>
      <c r="C270" s="1" t="n">
        <v>45360</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51319-2021</t>
        </is>
      </c>
      <c r="B271" s="1" t="n">
        <v>44461</v>
      </c>
      <c r="C271" s="1" t="n">
        <v>45360</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52079-2021</t>
        </is>
      </c>
      <c r="B272" s="1" t="n">
        <v>44463</v>
      </c>
      <c r="C272" s="1" t="n">
        <v>45360</v>
      </c>
      <c r="D272" t="inlineStr">
        <is>
          <t>ÖREBRO LÄN</t>
        </is>
      </c>
      <c r="E272" t="inlineStr">
        <is>
          <t>HÄLLEFORS</t>
        </is>
      </c>
      <c r="F272" t="inlineStr">
        <is>
          <t>Bergvik skog väst AB</t>
        </is>
      </c>
      <c r="G272" t="n">
        <v>21.6</v>
      </c>
      <c r="H272" t="n">
        <v>0</v>
      </c>
      <c r="I272" t="n">
        <v>0</v>
      </c>
      <c r="J272" t="n">
        <v>1</v>
      </c>
      <c r="K272" t="n">
        <v>0</v>
      </c>
      <c r="L272" t="n">
        <v>0</v>
      </c>
      <c r="M272" t="n">
        <v>0</v>
      </c>
      <c r="N272" t="n">
        <v>0</v>
      </c>
      <c r="O272" t="n">
        <v>1</v>
      </c>
      <c r="P272" t="n">
        <v>0</v>
      </c>
      <c r="Q272" t="n">
        <v>1</v>
      </c>
      <c r="R272" s="2" t="inlineStr">
        <is>
          <t>Lunglav</t>
        </is>
      </c>
      <c r="S272">
        <f>HYPERLINK("https://klasma.github.io/Logging_1863/artfynd/A 52079-2021 artfynd.xlsx", "A 52079-2021")</f>
        <v/>
      </c>
      <c r="T272">
        <f>HYPERLINK("https://klasma.github.io/Logging_1863/kartor/A 52079-2021 karta.png", "A 52079-2021")</f>
        <v/>
      </c>
      <c r="V272">
        <f>HYPERLINK("https://klasma.github.io/Logging_1863/klagomål/A 52079-2021 FSC-klagomål.docx", "A 52079-2021")</f>
        <v/>
      </c>
      <c r="W272">
        <f>HYPERLINK("https://klasma.github.io/Logging_1863/klagomålsmail/A 52079-2021 FSC-klagomål mail.docx", "A 52079-2021")</f>
        <v/>
      </c>
      <c r="X272">
        <f>HYPERLINK("https://klasma.github.io/Logging_1863/tillsyn/A 52079-2021 tillsynsbegäran.docx", "A 52079-2021")</f>
        <v/>
      </c>
      <c r="Y272">
        <f>HYPERLINK("https://klasma.github.io/Logging_1863/tillsynsmail/A 52079-2021 tillsynsbegäran mail.docx", "A 52079-2021")</f>
        <v/>
      </c>
    </row>
    <row r="273" ht="15" customHeight="1">
      <c r="A273" t="inlineStr">
        <is>
          <t>A 55832-2021</t>
        </is>
      </c>
      <c r="B273" s="1" t="n">
        <v>44476</v>
      </c>
      <c r="C273" s="1" t="n">
        <v>45360</v>
      </c>
      <c r="D273" t="inlineStr">
        <is>
          <t>ÖREBRO LÄN</t>
        </is>
      </c>
      <c r="E273" t="inlineStr">
        <is>
          <t>ASKERSUND</t>
        </is>
      </c>
      <c r="F273" t="inlineStr">
        <is>
          <t>Sveaskog</t>
        </is>
      </c>
      <c r="G273" t="n">
        <v>3.2</v>
      </c>
      <c r="H273" t="n">
        <v>0</v>
      </c>
      <c r="I273" t="n">
        <v>0</v>
      </c>
      <c r="J273" t="n">
        <v>0</v>
      </c>
      <c r="K273" t="n">
        <v>1</v>
      </c>
      <c r="L273" t="n">
        <v>0</v>
      </c>
      <c r="M273" t="n">
        <v>0</v>
      </c>
      <c r="N273" t="n">
        <v>0</v>
      </c>
      <c r="O273" t="n">
        <v>1</v>
      </c>
      <c r="P273" t="n">
        <v>1</v>
      </c>
      <c r="Q273" t="n">
        <v>1</v>
      </c>
      <c r="R273" s="2" t="inlineStr">
        <is>
          <t>Slåttergubbe</t>
        </is>
      </c>
      <c r="S273">
        <f>HYPERLINK("https://klasma.github.io/Logging_1882/artfynd/A 55832-2021 artfynd.xlsx", "A 55832-2021")</f>
        <v/>
      </c>
      <c r="T273">
        <f>HYPERLINK("https://klasma.github.io/Logging_1882/kartor/A 55832-2021 karta.png", "A 55832-2021")</f>
        <v/>
      </c>
      <c r="V273">
        <f>HYPERLINK("https://klasma.github.io/Logging_1882/klagomål/A 55832-2021 FSC-klagomål.docx", "A 55832-2021")</f>
        <v/>
      </c>
      <c r="W273">
        <f>HYPERLINK("https://klasma.github.io/Logging_1882/klagomålsmail/A 55832-2021 FSC-klagomål mail.docx", "A 55832-2021")</f>
        <v/>
      </c>
      <c r="X273">
        <f>HYPERLINK("https://klasma.github.io/Logging_1882/tillsyn/A 55832-2021 tillsynsbegäran.docx", "A 55832-2021")</f>
        <v/>
      </c>
      <c r="Y273">
        <f>HYPERLINK("https://klasma.github.io/Logging_1882/tillsynsmail/A 55832-2021 tillsynsbegäran mail.docx", "A 55832-2021")</f>
        <v/>
      </c>
    </row>
    <row r="274" ht="15" customHeight="1">
      <c r="A274" t="inlineStr">
        <is>
          <t>A 56068-2021</t>
        </is>
      </c>
      <c r="B274" s="1" t="n">
        <v>44477</v>
      </c>
      <c r="C274" s="1" t="n">
        <v>45360</v>
      </c>
      <c r="D274" t="inlineStr">
        <is>
          <t>ÖREBRO LÄN</t>
        </is>
      </c>
      <c r="E274" t="inlineStr">
        <is>
          <t>HALLSBERG</t>
        </is>
      </c>
      <c r="G274" t="n">
        <v>7.7</v>
      </c>
      <c r="H274" t="n">
        <v>1</v>
      </c>
      <c r="I274" t="n">
        <v>0</v>
      </c>
      <c r="J274" t="n">
        <v>0</v>
      </c>
      <c r="K274" t="n">
        <v>0</v>
      </c>
      <c r="L274" t="n">
        <v>0</v>
      </c>
      <c r="M274" t="n">
        <v>0</v>
      </c>
      <c r="N274" t="n">
        <v>0</v>
      </c>
      <c r="O274" t="n">
        <v>0</v>
      </c>
      <c r="P274" t="n">
        <v>0</v>
      </c>
      <c r="Q274" t="n">
        <v>1</v>
      </c>
      <c r="R274" s="2" t="inlineStr">
        <is>
          <t>Huggorm</t>
        </is>
      </c>
      <c r="S274">
        <f>HYPERLINK("https://klasma.github.io/Logging_1861/artfynd/A 56068-2021 artfynd.xlsx", "A 56068-2021")</f>
        <v/>
      </c>
      <c r="T274">
        <f>HYPERLINK("https://klasma.github.io/Logging_1861/kartor/A 56068-2021 karta.png", "A 56068-2021")</f>
        <v/>
      </c>
      <c r="V274">
        <f>HYPERLINK("https://klasma.github.io/Logging_1861/klagomål/A 56068-2021 FSC-klagomål.docx", "A 56068-2021")</f>
        <v/>
      </c>
      <c r="W274">
        <f>HYPERLINK("https://klasma.github.io/Logging_1861/klagomålsmail/A 56068-2021 FSC-klagomål mail.docx", "A 56068-2021")</f>
        <v/>
      </c>
      <c r="X274">
        <f>HYPERLINK("https://klasma.github.io/Logging_1861/tillsyn/A 56068-2021 tillsynsbegäran.docx", "A 56068-2021")</f>
        <v/>
      </c>
      <c r="Y274">
        <f>HYPERLINK("https://klasma.github.io/Logging_1861/tillsynsmail/A 56068-2021 tillsynsbegäran mail.docx", "A 56068-2021")</f>
        <v/>
      </c>
    </row>
    <row r="275" ht="15" customHeight="1">
      <c r="A275" t="inlineStr">
        <is>
          <t>A 57108-2021</t>
        </is>
      </c>
      <c r="B275" s="1" t="n">
        <v>44482</v>
      </c>
      <c r="C275" s="1" t="n">
        <v>45360</v>
      </c>
      <c r="D275" t="inlineStr">
        <is>
          <t>ÖREBRO LÄN</t>
        </is>
      </c>
      <c r="E275" t="inlineStr">
        <is>
          <t>ÖREBRO</t>
        </is>
      </c>
      <c r="F275" t="inlineStr">
        <is>
          <t>Sveaskog</t>
        </is>
      </c>
      <c r="G275" t="n">
        <v>0.6</v>
      </c>
      <c r="H275" t="n">
        <v>1</v>
      </c>
      <c r="I275" t="n">
        <v>0</v>
      </c>
      <c r="J275" t="n">
        <v>0</v>
      </c>
      <c r="K275" t="n">
        <v>0</v>
      </c>
      <c r="L275" t="n">
        <v>0</v>
      </c>
      <c r="M275" t="n">
        <v>0</v>
      </c>
      <c r="N275" t="n">
        <v>0</v>
      </c>
      <c r="O275" t="n">
        <v>0</v>
      </c>
      <c r="P275" t="n">
        <v>0</v>
      </c>
      <c r="Q275" t="n">
        <v>1</v>
      </c>
      <c r="R275" s="2" t="inlineStr">
        <is>
          <t>Huggorm</t>
        </is>
      </c>
      <c r="S275">
        <f>HYPERLINK("https://klasma.github.io/Logging_1880/artfynd/A 57108-2021 artfynd.xlsx", "A 57108-2021")</f>
        <v/>
      </c>
      <c r="T275">
        <f>HYPERLINK("https://klasma.github.io/Logging_1880/kartor/A 57108-2021 karta.png", "A 57108-2021")</f>
        <v/>
      </c>
      <c r="V275">
        <f>HYPERLINK("https://klasma.github.io/Logging_1880/klagomål/A 57108-2021 FSC-klagomål.docx", "A 57108-2021")</f>
        <v/>
      </c>
      <c r="W275">
        <f>HYPERLINK("https://klasma.github.io/Logging_1880/klagomålsmail/A 57108-2021 FSC-klagomål mail.docx", "A 57108-2021")</f>
        <v/>
      </c>
      <c r="X275">
        <f>HYPERLINK("https://klasma.github.io/Logging_1880/tillsyn/A 57108-2021 tillsynsbegäran.docx", "A 57108-2021")</f>
        <v/>
      </c>
      <c r="Y275">
        <f>HYPERLINK("https://klasma.github.io/Logging_1880/tillsynsmail/A 57108-2021 tillsynsbegäran mail.docx", "A 57108-2021")</f>
        <v/>
      </c>
    </row>
    <row r="276" ht="15" customHeight="1">
      <c r="A276" t="inlineStr">
        <is>
          <t>A 57376-2021</t>
        </is>
      </c>
      <c r="B276" s="1" t="n">
        <v>44483</v>
      </c>
      <c r="C276" s="1" t="n">
        <v>45360</v>
      </c>
      <c r="D276" t="inlineStr">
        <is>
          <t>ÖREBRO LÄN</t>
        </is>
      </c>
      <c r="E276" t="inlineStr">
        <is>
          <t>LAXÅ</t>
        </is>
      </c>
      <c r="F276" t="inlineStr">
        <is>
          <t>Sveaskog</t>
        </is>
      </c>
      <c r="G276" t="n">
        <v>4.1</v>
      </c>
      <c r="H276" t="n">
        <v>1</v>
      </c>
      <c r="I276" t="n">
        <v>0</v>
      </c>
      <c r="J276" t="n">
        <v>0</v>
      </c>
      <c r="K276" t="n">
        <v>1</v>
      </c>
      <c r="L276" t="n">
        <v>0</v>
      </c>
      <c r="M276" t="n">
        <v>0</v>
      </c>
      <c r="N276" t="n">
        <v>0</v>
      </c>
      <c r="O276" t="n">
        <v>1</v>
      </c>
      <c r="P276" t="n">
        <v>1</v>
      </c>
      <c r="Q276" t="n">
        <v>1</v>
      </c>
      <c r="R276" s="2" t="inlineStr">
        <is>
          <t>Mellanlummer</t>
        </is>
      </c>
      <c r="S276">
        <f>HYPERLINK("https://klasma.github.io/Logging_1860/artfynd/A 57376-2021 artfynd.xlsx", "A 57376-2021")</f>
        <v/>
      </c>
      <c r="T276">
        <f>HYPERLINK("https://klasma.github.io/Logging_1860/kartor/A 57376-2021 karta.png", "A 57376-2021")</f>
        <v/>
      </c>
      <c r="V276">
        <f>HYPERLINK("https://klasma.github.io/Logging_1860/klagomål/A 57376-2021 FSC-klagomål.docx", "A 57376-2021")</f>
        <v/>
      </c>
      <c r="W276">
        <f>HYPERLINK("https://klasma.github.io/Logging_1860/klagomålsmail/A 57376-2021 FSC-klagomål mail.docx", "A 57376-2021")</f>
        <v/>
      </c>
      <c r="X276">
        <f>HYPERLINK("https://klasma.github.io/Logging_1860/tillsyn/A 57376-2021 tillsynsbegäran.docx", "A 57376-2021")</f>
        <v/>
      </c>
      <c r="Y276">
        <f>HYPERLINK("https://klasma.github.io/Logging_1860/tillsynsmail/A 57376-2021 tillsynsbegäran mail.docx", "A 57376-2021")</f>
        <v/>
      </c>
    </row>
    <row r="277" ht="15" customHeight="1">
      <c r="A277" t="inlineStr">
        <is>
          <t>A 57809-2021</t>
        </is>
      </c>
      <c r="B277" s="1" t="n">
        <v>44484</v>
      </c>
      <c r="C277" s="1" t="n">
        <v>45360</v>
      </c>
      <c r="D277" t="inlineStr">
        <is>
          <t>ÖREBRO LÄN</t>
        </is>
      </c>
      <c r="E277" t="inlineStr">
        <is>
          <t>LINDESBERG</t>
        </is>
      </c>
      <c r="G277" t="n">
        <v>2</v>
      </c>
      <c r="H277" t="n">
        <v>0</v>
      </c>
      <c r="I277" t="n">
        <v>1</v>
      </c>
      <c r="J277" t="n">
        <v>0</v>
      </c>
      <c r="K277" t="n">
        <v>0</v>
      </c>
      <c r="L277" t="n">
        <v>0</v>
      </c>
      <c r="M277" t="n">
        <v>0</v>
      </c>
      <c r="N277" t="n">
        <v>0</v>
      </c>
      <c r="O277" t="n">
        <v>0</v>
      </c>
      <c r="P277" t="n">
        <v>0</v>
      </c>
      <c r="Q277" t="n">
        <v>1</v>
      </c>
      <c r="R277" s="2" t="inlineStr">
        <is>
          <t>Västlig hakmossa</t>
        </is>
      </c>
      <c r="S277">
        <f>HYPERLINK("https://klasma.github.io/Logging_1885/artfynd/A 57809-2021 artfynd.xlsx", "A 57809-2021")</f>
        <v/>
      </c>
      <c r="T277">
        <f>HYPERLINK("https://klasma.github.io/Logging_1885/kartor/A 57809-2021 karta.png", "A 57809-2021")</f>
        <v/>
      </c>
      <c r="V277">
        <f>HYPERLINK("https://klasma.github.io/Logging_1885/klagomål/A 57809-2021 FSC-klagomål.docx", "A 57809-2021")</f>
        <v/>
      </c>
      <c r="W277">
        <f>HYPERLINK("https://klasma.github.io/Logging_1885/klagomålsmail/A 57809-2021 FSC-klagomål mail.docx", "A 57809-2021")</f>
        <v/>
      </c>
      <c r="X277">
        <f>HYPERLINK("https://klasma.github.io/Logging_1885/tillsyn/A 57809-2021 tillsynsbegäran.docx", "A 57809-2021")</f>
        <v/>
      </c>
      <c r="Y277">
        <f>HYPERLINK("https://klasma.github.io/Logging_1885/tillsynsmail/A 57809-2021 tillsynsbegäran mail.docx", "A 57809-2021")</f>
        <v/>
      </c>
    </row>
    <row r="278" ht="15" customHeight="1">
      <c r="A278" t="inlineStr">
        <is>
          <t>A 58132-2021</t>
        </is>
      </c>
      <c r="B278" s="1" t="n">
        <v>44487</v>
      </c>
      <c r="C278" s="1" t="n">
        <v>45360</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64874-2021</t>
        </is>
      </c>
      <c r="B279" s="1" t="n">
        <v>44512</v>
      </c>
      <c r="C279" s="1" t="n">
        <v>45360</v>
      </c>
      <c r="D279" t="inlineStr">
        <is>
          <t>ÖREBRO LÄN</t>
        </is>
      </c>
      <c r="E279" t="inlineStr">
        <is>
          <t>LINDESBERG</t>
        </is>
      </c>
      <c r="G279" t="n">
        <v>5.4</v>
      </c>
      <c r="H279" t="n">
        <v>1</v>
      </c>
      <c r="I279" t="n">
        <v>0</v>
      </c>
      <c r="J279" t="n">
        <v>0</v>
      </c>
      <c r="K279" t="n">
        <v>1</v>
      </c>
      <c r="L279" t="n">
        <v>0</v>
      </c>
      <c r="M279" t="n">
        <v>0</v>
      </c>
      <c r="N279" t="n">
        <v>0</v>
      </c>
      <c r="O279" t="n">
        <v>1</v>
      </c>
      <c r="P279" t="n">
        <v>1</v>
      </c>
      <c r="Q279" t="n">
        <v>1</v>
      </c>
      <c r="R279" s="2" t="inlineStr">
        <is>
          <t>Bombmurkla</t>
        </is>
      </c>
      <c r="S279">
        <f>HYPERLINK("https://klasma.github.io/Logging_1885/artfynd/A 64874-2021 artfynd.xlsx", "A 64874-2021")</f>
        <v/>
      </c>
      <c r="T279">
        <f>HYPERLINK("https://klasma.github.io/Logging_1885/kartor/A 64874-2021 karta.png", "A 64874-2021")</f>
        <v/>
      </c>
      <c r="V279">
        <f>HYPERLINK("https://klasma.github.io/Logging_1885/klagomål/A 64874-2021 FSC-klagomål.docx", "A 64874-2021")</f>
        <v/>
      </c>
      <c r="W279">
        <f>HYPERLINK("https://klasma.github.io/Logging_1885/klagomålsmail/A 64874-2021 FSC-klagomål mail.docx", "A 64874-2021")</f>
        <v/>
      </c>
      <c r="X279">
        <f>HYPERLINK("https://klasma.github.io/Logging_1885/tillsyn/A 64874-2021 tillsynsbegäran.docx", "A 64874-2021")</f>
        <v/>
      </c>
      <c r="Y279">
        <f>HYPERLINK("https://klasma.github.io/Logging_1885/tillsynsmail/A 64874-2021 tillsynsbegäran mail.docx", "A 64874-2021")</f>
        <v/>
      </c>
    </row>
    <row r="280" ht="15" customHeight="1">
      <c r="A280" t="inlineStr">
        <is>
          <t>A 65215-2021</t>
        </is>
      </c>
      <c r="B280" s="1" t="n">
        <v>44515</v>
      </c>
      <c r="C280" s="1" t="n">
        <v>45360</v>
      </c>
      <c r="D280" t="inlineStr">
        <is>
          <t>ÖREBRO LÄN</t>
        </is>
      </c>
      <c r="E280" t="inlineStr">
        <is>
          <t>LJUSNARSBERG</t>
        </is>
      </c>
      <c r="F280" t="inlineStr">
        <is>
          <t>Bergvik skog väst AB</t>
        </is>
      </c>
      <c r="G280" t="n">
        <v>2.2</v>
      </c>
      <c r="H280" t="n">
        <v>0</v>
      </c>
      <c r="I280" t="n">
        <v>1</v>
      </c>
      <c r="J280" t="n">
        <v>0</v>
      </c>
      <c r="K280" t="n">
        <v>0</v>
      </c>
      <c r="L280" t="n">
        <v>0</v>
      </c>
      <c r="M280" t="n">
        <v>0</v>
      </c>
      <c r="N280" t="n">
        <v>0</v>
      </c>
      <c r="O280" t="n">
        <v>0</v>
      </c>
      <c r="P280" t="n">
        <v>0</v>
      </c>
      <c r="Q280" t="n">
        <v>1</v>
      </c>
      <c r="R280" s="2" t="inlineStr">
        <is>
          <t>Mindre märgborre</t>
        </is>
      </c>
      <c r="S280">
        <f>HYPERLINK("https://klasma.github.io/Logging_1864/artfynd/A 65215-2021 artfynd.xlsx", "A 65215-2021")</f>
        <v/>
      </c>
      <c r="T280">
        <f>HYPERLINK("https://klasma.github.io/Logging_1864/kartor/A 65215-2021 karta.png", "A 65215-2021")</f>
        <v/>
      </c>
      <c r="V280">
        <f>HYPERLINK("https://klasma.github.io/Logging_1864/klagomål/A 65215-2021 FSC-klagomål.docx", "A 65215-2021")</f>
        <v/>
      </c>
      <c r="W280">
        <f>HYPERLINK("https://klasma.github.io/Logging_1864/klagomålsmail/A 65215-2021 FSC-klagomål mail.docx", "A 65215-2021")</f>
        <v/>
      </c>
      <c r="X280">
        <f>HYPERLINK("https://klasma.github.io/Logging_1864/tillsyn/A 65215-2021 tillsynsbegäran.docx", "A 65215-2021")</f>
        <v/>
      </c>
      <c r="Y280">
        <f>HYPERLINK("https://klasma.github.io/Logging_1864/tillsynsmail/A 65215-2021 tillsynsbegäran mail.docx", "A 65215-2021")</f>
        <v/>
      </c>
    </row>
    <row r="281" ht="15" customHeight="1">
      <c r="A281" t="inlineStr">
        <is>
          <t>A 66339-2021</t>
        </is>
      </c>
      <c r="B281" s="1" t="n">
        <v>44518</v>
      </c>
      <c r="C281" s="1" t="n">
        <v>45360</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67013-2021</t>
        </is>
      </c>
      <c r="B282" s="1" t="n">
        <v>44522</v>
      </c>
      <c r="C282" s="1" t="n">
        <v>45360</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70466-2021</t>
        </is>
      </c>
      <c r="B283" s="1" t="n">
        <v>44536</v>
      </c>
      <c r="C283" s="1" t="n">
        <v>45360</v>
      </c>
      <c r="D283" t="inlineStr">
        <is>
          <t>ÖREBRO LÄN</t>
        </is>
      </c>
      <c r="E283" t="inlineStr">
        <is>
          <t>LINDESBERG</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HYPERLINK("https://klasma.github.io/Logging_1885/artfynd/A 70466-2021 artfynd.xlsx", "A 70466-2021")</f>
        <v/>
      </c>
      <c r="T283">
        <f>HYPERLINK("https://klasma.github.io/Logging_1885/kartor/A 70466-2021 karta.png", "A 70466-2021")</f>
        <v/>
      </c>
      <c r="U283">
        <f>HYPERLINK("https://klasma.github.io/Logging_1885/knärot/A 70466-2021 karta knärot.png", "A 70466-2021")</f>
        <v/>
      </c>
      <c r="V283">
        <f>HYPERLINK("https://klasma.github.io/Logging_1885/klagomål/A 70466-2021 FSC-klagomål.docx", "A 70466-2021")</f>
        <v/>
      </c>
      <c r="W283">
        <f>HYPERLINK("https://klasma.github.io/Logging_1885/klagomålsmail/A 70466-2021 FSC-klagomål mail.docx", "A 70466-2021")</f>
        <v/>
      </c>
      <c r="X283">
        <f>HYPERLINK("https://klasma.github.io/Logging_1885/tillsyn/A 70466-2021 tillsynsbegäran.docx", "A 70466-2021")</f>
        <v/>
      </c>
      <c r="Y283">
        <f>HYPERLINK("https://klasma.github.io/Logging_1885/tillsynsmail/A 70466-2021 tillsynsbegäran mail.docx", "A 70466-2021")</f>
        <v/>
      </c>
    </row>
    <row r="284" ht="15" customHeight="1">
      <c r="A284" t="inlineStr">
        <is>
          <t>A 4943-2022</t>
        </is>
      </c>
      <c r="B284" s="1" t="n">
        <v>44593</v>
      </c>
      <c r="C284" s="1" t="n">
        <v>45360</v>
      </c>
      <c r="D284" t="inlineStr">
        <is>
          <t>ÖREBRO LÄN</t>
        </is>
      </c>
      <c r="E284" t="inlineStr">
        <is>
          <t>ÖREBRO</t>
        </is>
      </c>
      <c r="G284" t="n">
        <v>1.1</v>
      </c>
      <c r="H284" t="n">
        <v>0</v>
      </c>
      <c r="I284" t="n">
        <v>0</v>
      </c>
      <c r="J284" t="n">
        <v>1</v>
      </c>
      <c r="K284" t="n">
        <v>0</v>
      </c>
      <c r="L284" t="n">
        <v>0</v>
      </c>
      <c r="M284" t="n">
        <v>0</v>
      </c>
      <c r="N284" t="n">
        <v>0</v>
      </c>
      <c r="O284" t="n">
        <v>1</v>
      </c>
      <c r="P284" t="n">
        <v>0</v>
      </c>
      <c r="Q284" t="n">
        <v>1</v>
      </c>
      <c r="R284" s="2" t="inlineStr">
        <is>
          <t>Skinntagging</t>
        </is>
      </c>
      <c r="S284">
        <f>HYPERLINK("https://klasma.github.io/Logging_1880/artfynd/A 4943-2022 artfynd.xlsx", "A 4943-2022")</f>
        <v/>
      </c>
      <c r="T284">
        <f>HYPERLINK("https://klasma.github.io/Logging_1880/kartor/A 4943-2022 karta.png", "A 4943-2022")</f>
        <v/>
      </c>
      <c r="V284">
        <f>HYPERLINK("https://klasma.github.io/Logging_1880/klagomål/A 4943-2022 FSC-klagomål.docx", "A 4943-2022")</f>
        <v/>
      </c>
      <c r="W284">
        <f>HYPERLINK("https://klasma.github.io/Logging_1880/klagomålsmail/A 4943-2022 FSC-klagomål mail.docx", "A 4943-2022")</f>
        <v/>
      </c>
      <c r="X284">
        <f>HYPERLINK("https://klasma.github.io/Logging_1880/tillsyn/A 4943-2022 tillsynsbegäran.docx", "A 4943-2022")</f>
        <v/>
      </c>
      <c r="Y284">
        <f>HYPERLINK("https://klasma.github.io/Logging_1880/tillsynsmail/A 4943-2022 tillsynsbegäran mail.docx", "A 4943-2022")</f>
        <v/>
      </c>
    </row>
    <row r="285" ht="15" customHeight="1">
      <c r="A285" t="inlineStr">
        <is>
          <t>A 12974-2022</t>
        </is>
      </c>
      <c r="B285" s="1" t="n">
        <v>44643</v>
      </c>
      <c r="C285" s="1" t="n">
        <v>45360</v>
      </c>
      <c r="D285" t="inlineStr">
        <is>
          <t>ÖREBRO LÄN</t>
        </is>
      </c>
      <c r="E285" t="inlineStr">
        <is>
          <t>ÖREBRO</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HYPERLINK("https://klasma.github.io/Logging_1880/artfynd/A 12974-2022 artfynd.xlsx", "A 12974-2022")</f>
        <v/>
      </c>
      <c r="T285">
        <f>HYPERLINK("https://klasma.github.io/Logging_1880/kartor/A 12974-2022 karta.png", "A 12974-2022")</f>
        <v/>
      </c>
      <c r="V285">
        <f>HYPERLINK("https://klasma.github.io/Logging_1880/klagomål/A 12974-2022 FSC-klagomål.docx", "A 12974-2022")</f>
        <v/>
      </c>
      <c r="W285">
        <f>HYPERLINK("https://klasma.github.io/Logging_1880/klagomålsmail/A 12974-2022 FSC-klagomål mail.docx", "A 12974-2022")</f>
        <v/>
      </c>
      <c r="X285">
        <f>HYPERLINK("https://klasma.github.io/Logging_1880/tillsyn/A 12974-2022 tillsynsbegäran.docx", "A 12974-2022")</f>
        <v/>
      </c>
      <c r="Y285">
        <f>HYPERLINK("https://klasma.github.io/Logging_1880/tillsynsmail/A 12974-2022 tillsynsbegäran mail.docx", "A 12974-2022")</f>
        <v/>
      </c>
    </row>
    <row r="286" ht="15" customHeight="1">
      <c r="A286" t="inlineStr">
        <is>
          <t>A 19854-2022</t>
        </is>
      </c>
      <c r="B286" s="1" t="n">
        <v>44697</v>
      </c>
      <c r="C286" s="1" t="n">
        <v>45360</v>
      </c>
      <c r="D286" t="inlineStr">
        <is>
          <t>ÖREBRO LÄN</t>
        </is>
      </c>
      <c r="E286" t="inlineStr">
        <is>
          <t>HALLSBERG</t>
        </is>
      </c>
      <c r="F286" t="inlineStr">
        <is>
          <t>Sveaskog</t>
        </is>
      </c>
      <c r="G286" t="n">
        <v>3.1</v>
      </c>
      <c r="H286" t="n">
        <v>1</v>
      </c>
      <c r="I286" t="n">
        <v>0</v>
      </c>
      <c r="J286" t="n">
        <v>0</v>
      </c>
      <c r="K286" t="n">
        <v>0</v>
      </c>
      <c r="L286" t="n">
        <v>0</v>
      </c>
      <c r="M286" t="n">
        <v>0</v>
      </c>
      <c r="N286" t="n">
        <v>0</v>
      </c>
      <c r="O286" t="n">
        <v>0</v>
      </c>
      <c r="P286" t="n">
        <v>0</v>
      </c>
      <c r="Q286" t="n">
        <v>1</v>
      </c>
      <c r="R286" s="2" t="inlineStr">
        <is>
          <t>Större vattensalamander</t>
        </is>
      </c>
      <c r="S286">
        <f>HYPERLINK("https://klasma.github.io/Logging_1861/artfynd/A 19854-2022 artfynd.xlsx", "A 19854-2022")</f>
        <v/>
      </c>
      <c r="T286">
        <f>HYPERLINK("https://klasma.github.io/Logging_1861/kartor/A 19854-2022 karta.png", "A 19854-2022")</f>
        <v/>
      </c>
      <c r="V286">
        <f>HYPERLINK("https://klasma.github.io/Logging_1861/klagomål/A 19854-2022 FSC-klagomål.docx", "A 19854-2022")</f>
        <v/>
      </c>
      <c r="W286">
        <f>HYPERLINK("https://klasma.github.io/Logging_1861/klagomålsmail/A 19854-2022 FSC-klagomål mail.docx", "A 19854-2022")</f>
        <v/>
      </c>
      <c r="X286">
        <f>HYPERLINK("https://klasma.github.io/Logging_1861/tillsyn/A 19854-2022 tillsynsbegäran.docx", "A 19854-2022")</f>
        <v/>
      </c>
      <c r="Y286">
        <f>HYPERLINK("https://klasma.github.io/Logging_1861/tillsynsmail/A 19854-2022 tillsynsbegäran mail.docx", "A 19854-2022")</f>
        <v/>
      </c>
    </row>
    <row r="287" ht="15" customHeight="1">
      <c r="A287" t="inlineStr">
        <is>
          <t>A 26890-2022</t>
        </is>
      </c>
      <c r="B287" s="1" t="n">
        <v>44740</v>
      </c>
      <c r="C287" s="1" t="n">
        <v>45360</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27134-2022</t>
        </is>
      </c>
      <c r="B288" s="1" t="n">
        <v>44741</v>
      </c>
      <c r="C288" s="1" t="n">
        <v>45360</v>
      </c>
      <c r="D288" t="inlineStr">
        <is>
          <t>ÖREBRO LÄN</t>
        </is>
      </c>
      <c r="E288" t="inlineStr">
        <is>
          <t>HÄLLEFORS</t>
        </is>
      </c>
      <c r="F288" t="inlineStr">
        <is>
          <t>Bergvik skog väst AB</t>
        </is>
      </c>
      <c r="G288" t="n">
        <v>8.1</v>
      </c>
      <c r="H288" t="n">
        <v>1</v>
      </c>
      <c r="I288" t="n">
        <v>0</v>
      </c>
      <c r="J288" t="n">
        <v>0</v>
      </c>
      <c r="K288" t="n">
        <v>0</v>
      </c>
      <c r="L288" t="n">
        <v>0</v>
      </c>
      <c r="M288" t="n">
        <v>0</v>
      </c>
      <c r="N288" t="n">
        <v>0</v>
      </c>
      <c r="O288" t="n">
        <v>0</v>
      </c>
      <c r="P288" t="n">
        <v>0</v>
      </c>
      <c r="Q288" t="n">
        <v>1</v>
      </c>
      <c r="R288" s="2" t="inlineStr">
        <is>
          <t>Nattviol</t>
        </is>
      </c>
      <c r="S288">
        <f>HYPERLINK("https://klasma.github.io/Logging_1863/artfynd/A 27134-2022 artfynd.xlsx", "A 27134-2022")</f>
        <v/>
      </c>
      <c r="T288">
        <f>HYPERLINK("https://klasma.github.io/Logging_1863/kartor/A 27134-2022 karta.png", "A 27134-2022")</f>
        <v/>
      </c>
      <c r="V288">
        <f>HYPERLINK("https://klasma.github.io/Logging_1863/klagomål/A 27134-2022 FSC-klagomål.docx", "A 27134-2022")</f>
        <v/>
      </c>
      <c r="W288">
        <f>HYPERLINK("https://klasma.github.io/Logging_1863/klagomålsmail/A 27134-2022 FSC-klagomål mail.docx", "A 27134-2022")</f>
        <v/>
      </c>
      <c r="X288">
        <f>HYPERLINK("https://klasma.github.io/Logging_1863/tillsyn/A 27134-2022 tillsynsbegäran.docx", "A 27134-2022")</f>
        <v/>
      </c>
      <c r="Y288">
        <f>HYPERLINK("https://klasma.github.io/Logging_1863/tillsynsmail/A 27134-2022 tillsynsbegäran mail.docx", "A 27134-2022")</f>
        <v/>
      </c>
    </row>
    <row r="289" ht="15" customHeight="1">
      <c r="A289" t="inlineStr">
        <is>
          <t>A 29704-2022</t>
        </is>
      </c>
      <c r="B289" s="1" t="n">
        <v>44755</v>
      </c>
      <c r="C289" s="1" t="n">
        <v>45360</v>
      </c>
      <c r="D289" t="inlineStr">
        <is>
          <t>ÖREBRO LÄN</t>
        </is>
      </c>
      <c r="E289" t="inlineStr">
        <is>
          <t>ÖREBRO</t>
        </is>
      </c>
      <c r="F289" t="inlineStr">
        <is>
          <t>Kommuner</t>
        </is>
      </c>
      <c r="G289" t="n">
        <v>1.1</v>
      </c>
      <c r="H289" t="n">
        <v>0</v>
      </c>
      <c r="I289" t="n">
        <v>0</v>
      </c>
      <c r="J289" t="n">
        <v>1</v>
      </c>
      <c r="K289" t="n">
        <v>0</v>
      </c>
      <c r="L289" t="n">
        <v>0</v>
      </c>
      <c r="M289" t="n">
        <v>0</v>
      </c>
      <c r="N289" t="n">
        <v>0</v>
      </c>
      <c r="O289" t="n">
        <v>1</v>
      </c>
      <c r="P289" t="n">
        <v>0</v>
      </c>
      <c r="Q289" t="n">
        <v>1</v>
      </c>
      <c r="R289" s="2" t="inlineStr">
        <is>
          <t>Motaggsvamp</t>
        </is>
      </c>
      <c r="S289">
        <f>HYPERLINK("https://klasma.github.io/Logging_1880/artfynd/A 29704-2022 artfynd.xlsx", "A 29704-2022")</f>
        <v/>
      </c>
      <c r="T289">
        <f>HYPERLINK("https://klasma.github.io/Logging_1880/kartor/A 29704-2022 karta.png", "A 29704-2022")</f>
        <v/>
      </c>
      <c r="V289">
        <f>HYPERLINK("https://klasma.github.io/Logging_1880/klagomål/A 29704-2022 FSC-klagomål.docx", "A 29704-2022")</f>
        <v/>
      </c>
      <c r="W289">
        <f>HYPERLINK("https://klasma.github.io/Logging_1880/klagomålsmail/A 29704-2022 FSC-klagomål mail.docx", "A 29704-2022")</f>
        <v/>
      </c>
      <c r="X289">
        <f>HYPERLINK("https://klasma.github.io/Logging_1880/tillsyn/A 29704-2022 tillsynsbegäran.docx", "A 29704-2022")</f>
        <v/>
      </c>
      <c r="Y289">
        <f>HYPERLINK("https://klasma.github.io/Logging_1880/tillsynsmail/A 29704-2022 tillsynsbegäran mail.docx", "A 29704-2022")</f>
        <v/>
      </c>
    </row>
    <row r="290" ht="15" customHeight="1">
      <c r="A290" t="inlineStr">
        <is>
          <t>A 30189-2022</t>
        </is>
      </c>
      <c r="B290" s="1" t="n">
        <v>44757</v>
      </c>
      <c r="C290" s="1" t="n">
        <v>45360</v>
      </c>
      <c r="D290" t="inlineStr">
        <is>
          <t>ÖREBRO LÄN</t>
        </is>
      </c>
      <c r="E290" t="inlineStr">
        <is>
          <t>ASKERSUND</t>
        </is>
      </c>
      <c r="G290" t="n">
        <v>2</v>
      </c>
      <c r="H290" t="n">
        <v>0</v>
      </c>
      <c r="I290" t="n">
        <v>0</v>
      </c>
      <c r="J290" t="n">
        <v>1</v>
      </c>
      <c r="K290" t="n">
        <v>0</v>
      </c>
      <c r="L290" t="n">
        <v>0</v>
      </c>
      <c r="M290" t="n">
        <v>0</v>
      </c>
      <c r="N290" t="n">
        <v>0</v>
      </c>
      <c r="O290" t="n">
        <v>1</v>
      </c>
      <c r="P290" t="n">
        <v>0</v>
      </c>
      <c r="Q290" t="n">
        <v>1</v>
      </c>
      <c r="R290" s="2" t="inlineStr">
        <is>
          <t>Motaggsvamp</t>
        </is>
      </c>
      <c r="S290">
        <f>HYPERLINK("https://klasma.github.io/Logging_1882/artfynd/A 30189-2022 artfynd.xlsx", "A 30189-2022")</f>
        <v/>
      </c>
      <c r="T290">
        <f>HYPERLINK("https://klasma.github.io/Logging_1882/kartor/A 30189-2022 karta.png", "A 30189-2022")</f>
        <v/>
      </c>
      <c r="V290">
        <f>HYPERLINK("https://klasma.github.io/Logging_1882/klagomål/A 30189-2022 FSC-klagomål.docx", "A 30189-2022")</f>
        <v/>
      </c>
      <c r="W290">
        <f>HYPERLINK("https://klasma.github.io/Logging_1882/klagomålsmail/A 30189-2022 FSC-klagomål mail.docx", "A 30189-2022")</f>
        <v/>
      </c>
      <c r="X290">
        <f>HYPERLINK("https://klasma.github.io/Logging_1882/tillsyn/A 30189-2022 tillsynsbegäran.docx", "A 30189-2022")</f>
        <v/>
      </c>
      <c r="Y290">
        <f>HYPERLINK("https://klasma.github.io/Logging_1882/tillsynsmail/A 30189-2022 tillsynsbegäran mail.docx", "A 30189-2022")</f>
        <v/>
      </c>
    </row>
    <row r="291" ht="15" customHeight="1">
      <c r="A291" t="inlineStr">
        <is>
          <t>A 32269-2022</t>
        </is>
      </c>
      <c r="B291" s="1" t="n">
        <v>44781</v>
      </c>
      <c r="C291" s="1" t="n">
        <v>45360</v>
      </c>
      <c r="D291" t="inlineStr">
        <is>
          <t>ÖREBRO LÄN</t>
        </is>
      </c>
      <c r="E291" t="inlineStr">
        <is>
          <t>KARLSKOGA</t>
        </is>
      </c>
      <c r="F291" t="inlineStr">
        <is>
          <t>Kyrkan</t>
        </is>
      </c>
      <c r="G291" t="n">
        <v>6.2</v>
      </c>
      <c r="H291" t="n">
        <v>1</v>
      </c>
      <c r="I291" t="n">
        <v>0</v>
      </c>
      <c r="J291" t="n">
        <v>1</v>
      </c>
      <c r="K291" t="n">
        <v>0</v>
      </c>
      <c r="L291" t="n">
        <v>0</v>
      </c>
      <c r="M291" t="n">
        <v>0</v>
      </c>
      <c r="N291" t="n">
        <v>0</v>
      </c>
      <c r="O291" t="n">
        <v>1</v>
      </c>
      <c r="P291" t="n">
        <v>0</v>
      </c>
      <c r="Q291" t="n">
        <v>1</v>
      </c>
      <c r="R291" s="2" t="inlineStr">
        <is>
          <t>Nordfladdermus</t>
        </is>
      </c>
      <c r="S291">
        <f>HYPERLINK("https://klasma.github.io/Logging_1883/artfynd/A 32269-2022 artfynd.xlsx", "A 32269-2022")</f>
        <v/>
      </c>
      <c r="T291">
        <f>HYPERLINK("https://klasma.github.io/Logging_1883/kartor/A 32269-2022 karta.png", "A 32269-2022")</f>
        <v/>
      </c>
      <c r="V291">
        <f>HYPERLINK("https://klasma.github.io/Logging_1883/klagomål/A 32269-2022 FSC-klagomål.docx", "A 32269-2022")</f>
        <v/>
      </c>
      <c r="W291">
        <f>HYPERLINK("https://klasma.github.io/Logging_1883/klagomålsmail/A 32269-2022 FSC-klagomål mail.docx", "A 32269-2022")</f>
        <v/>
      </c>
      <c r="X291">
        <f>HYPERLINK("https://klasma.github.io/Logging_1883/tillsyn/A 32269-2022 tillsynsbegäran.docx", "A 32269-2022")</f>
        <v/>
      </c>
      <c r="Y291">
        <f>HYPERLINK("https://klasma.github.io/Logging_1883/tillsynsmail/A 32269-2022 tillsynsbegäran mail.docx", "A 32269-2022")</f>
        <v/>
      </c>
    </row>
    <row r="292" ht="15" customHeight="1">
      <c r="A292" t="inlineStr">
        <is>
          <t>A 37547-2022</t>
        </is>
      </c>
      <c r="B292" s="1" t="n">
        <v>44809</v>
      </c>
      <c r="C292" s="1" t="n">
        <v>45360</v>
      </c>
      <c r="D292" t="inlineStr">
        <is>
          <t>ÖREBRO LÄN</t>
        </is>
      </c>
      <c r="E292" t="inlineStr">
        <is>
          <t>LJUSNARSBERG</t>
        </is>
      </c>
      <c r="G292" t="n">
        <v>1.9</v>
      </c>
      <c r="H292" t="n">
        <v>0</v>
      </c>
      <c r="I292" t="n">
        <v>1</v>
      </c>
      <c r="J292" t="n">
        <v>0</v>
      </c>
      <c r="K292" t="n">
        <v>0</v>
      </c>
      <c r="L292" t="n">
        <v>0</v>
      </c>
      <c r="M292" t="n">
        <v>0</v>
      </c>
      <c r="N292" t="n">
        <v>0</v>
      </c>
      <c r="O292" t="n">
        <v>0</v>
      </c>
      <c r="P292" t="n">
        <v>0</v>
      </c>
      <c r="Q292" t="n">
        <v>1</v>
      </c>
      <c r="R292" s="2" t="inlineStr">
        <is>
          <t>Fjällig taggsvamp s.str.</t>
        </is>
      </c>
      <c r="S292">
        <f>HYPERLINK("https://klasma.github.io/Logging_1864/artfynd/A 37547-2022 artfynd.xlsx", "A 37547-2022")</f>
        <v/>
      </c>
      <c r="T292">
        <f>HYPERLINK("https://klasma.github.io/Logging_1864/kartor/A 37547-2022 karta.png", "A 37547-2022")</f>
        <v/>
      </c>
      <c r="V292">
        <f>HYPERLINK("https://klasma.github.io/Logging_1864/klagomål/A 37547-2022 FSC-klagomål.docx", "A 37547-2022")</f>
        <v/>
      </c>
      <c r="W292">
        <f>HYPERLINK("https://klasma.github.io/Logging_1864/klagomålsmail/A 37547-2022 FSC-klagomål mail.docx", "A 37547-2022")</f>
        <v/>
      </c>
      <c r="X292">
        <f>HYPERLINK("https://klasma.github.io/Logging_1864/tillsyn/A 37547-2022 tillsynsbegäran.docx", "A 37547-2022")</f>
        <v/>
      </c>
      <c r="Y292">
        <f>HYPERLINK("https://klasma.github.io/Logging_1864/tillsynsmail/A 37547-2022 tillsynsbegäran mail.docx", "A 37547-2022")</f>
        <v/>
      </c>
    </row>
    <row r="293" ht="15" customHeight="1">
      <c r="A293" t="inlineStr">
        <is>
          <t>A 38323-2022</t>
        </is>
      </c>
      <c r="B293" s="1" t="n">
        <v>44812</v>
      </c>
      <c r="C293" s="1" t="n">
        <v>45360</v>
      </c>
      <c r="D293" t="inlineStr">
        <is>
          <t>ÖREBRO LÄN</t>
        </is>
      </c>
      <c r="E293" t="inlineStr">
        <is>
          <t>LEKEBERG</t>
        </is>
      </c>
      <c r="F293" t="inlineStr">
        <is>
          <t>Sveaskog</t>
        </is>
      </c>
      <c r="G293" t="n">
        <v>6.2</v>
      </c>
      <c r="H293" t="n">
        <v>0</v>
      </c>
      <c r="I293" t="n">
        <v>1</v>
      </c>
      <c r="J293" t="n">
        <v>0</v>
      </c>
      <c r="K293" t="n">
        <v>0</v>
      </c>
      <c r="L293" t="n">
        <v>0</v>
      </c>
      <c r="M293" t="n">
        <v>0</v>
      </c>
      <c r="N293" t="n">
        <v>0</v>
      </c>
      <c r="O293" t="n">
        <v>0</v>
      </c>
      <c r="P293" t="n">
        <v>0</v>
      </c>
      <c r="Q293" t="n">
        <v>1</v>
      </c>
      <c r="R293" s="2" t="inlineStr">
        <is>
          <t>Svart trolldruva</t>
        </is>
      </c>
      <c r="S293">
        <f>HYPERLINK("https://klasma.github.io/Logging_1814/artfynd/A 38323-2022 artfynd.xlsx", "A 38323-2022")</f>
        <v/>
      </c>
      <c r="T293">
        <f>HYPERLINK("https://klasma.github.io/Logging_1814/kartor/A 38323-2022 karta.png", "A 38323-2022")</f>
        <v/>
      </c>
      <c r="V293">
        <f>HYPERLINK("https://klasma.github.io/Logging_1814/klagomål/A 38323-2022 FSC-klagomål.docx", "A 38323-2022")</f>
        <v/>
      </c>
      <c r="W293">
        <f>HYPERLINK("https://klasma.github.io/Logging_1814/klagomålsmail/A 38323-2022 FSC-klagomål mail.docx", "A 38323-2022")</f>
        <v/>
      </c>
      <c r="X293">
        <f>HYPERLINK("https://klasma.github.io/Logging_1814/tillsyn/A 38323-2022 tillsynsbegäran.docx", "A 38323-2022")</f>
        <v/>
      </c>
      <c r="Y293">
        <f>HYPERLINK("https://klasma.github.io/Logging_1814/tillsynsmail/A 38323-2022 tillsynsbegäran mail.docx", "A 38323-2022")</f>
        <v/>
      </c>
    </row>
    <row r="294" ht="15" customHeight="1">
      <c r="A294" t="inlineStr">
        <is>
          <t>A 39249-2022</t>
        </is>
      </c>
      <c r="B294" s="1" t="n">
        <v>44816</v>
      </c>
      <c r="C294" s="1" t="n">
        <v>45360</v>
      </c>
      <c r="D294" t="inlineStr">
        <is>
          <t>ÖREBRO LÄN</t>
        </is>
      </c>
      <c r="E294" t="inlineStr">
        <is>
          <t>HALLSBERG</t>
        </is>
      </c>
      <c r="G294" t="n">
        <v>1.6</v>
      </c>
      <c r="H294" t="n">
        <v>0</v>
      </c>
      <c r="I294" t="n">
        <v>1</v>
      </c>
      <c r="J294" t="n">
        <v>0</v>
      </c>
      <c r="K294" t="n">
        <v>0</v>
      </c>
      <c r="L294" t="n">
        <v>0</v>
      </c>
      <c r="M294" t="n">
        <v>0</v>
      </c>
      <c r="N294" t="n">
        <v>0</v>
      </c>
      <c r="O294" t="n">
        <v>0</v>
      </c>
      <c r="P294" t="n">
        <v>0</v>
      </c>
      <c r="Q294" t="n">
        <v>1</v>
      </c>
      <c r="R294" s="2" t="inlineStr">
        <is>
          <t>Björksplintborre</t>
        </is>
      </c>
      <c r="S294">
        <f>HYPERLINK("https://klasma.github.io/Logging_1861/artfynd/A 39249-2022 artfynd.xlsx", "A 39249-2022")</f>
        <v/>
      </c>
      <c r="T294">
        <f>HYPERLINK("https://klasma.github.io/Logging_1861/kartor/A 39249-2022 karta.png", "A 39249-2022")</f>
        <v/>
      </c>
      <c r="V294">
        <f>HYPERLINK("https://klasma.github.io/Logging_1861/klagomål/A 39249-2022 FSC-klagomål.docx", "A 39249-2022")</f>
        <v/>
      </c>
      <c r="W294">
        <f>HYPERLINK("https://klasma.github.io/Logging_1861/klagomålsmail/A 39249-2022 FSC-klagomål mail.docx", "A 39249-2022")</f>
        <v/>
      </c>
      <c r="X294">
        <f>HYPERLINK("https://klasma.github.io/Logging_1861/tillsyn/A 39249-2022 tillsynsbegäran.docx", "A 39249-2022")</f>
        <v/>
      </c>
      <c r="Y294">
        <f>HYPERLINK("https://klasma.github.io/Logging_1861/tillsynsmail/A 39249-2022 tillsynsbegäran mail.docx", "A 39249-2022")</f>
        <v/>
      </c>
    </row>
    <row r="295" ht="15" customHeight="1">
      <c r="A295" t="inlineStr">
        <is>
          <t>A 39540-2022</t>
        </is>
      </c>
      <c r="B295" s="1" t="n">
        <v>44818</v>
      </c>
      <c r="C295" s="1" t="n">
        <v>45360</v>
      </c>
      <c r="D295" t="inlineStr">
        <is>
          <t>ÖREBRO LÄN</t>
        </is>
      </c>
      <c r="E295" t="inlineStr">
        <is>
          <t>HÄLLEFORS</t>
        </is>
      </c>
      <c r="G295" t="n">
        <v>0.5</v>
      </c>
      <c r="H295" t="n">
        <v>0</v>
      </c>
      <c r="I295" t="n">
        <v>1</v>
      </c>
      <c r="J295" t="n">
        <v>0</v>
      </c>
      <c r="K295" t="n">
        <v>0</v>
      </c>
      <c r="L295" t="n">
        <v>0</v>
      </c>
      <c r="M295" t="n">
        <v>0</v>
      </c>
      <c r="N295" t="n">
        <v>0</v>
      </c>
      <c r="O295" t="n">
        <v>0</v>
      </c>
      <c r="P295" t="n">
        <v>0</v>
      </c>
      <c r="Q295" t="n">
        <v>1</v>
      </c>
      <c r="R295" s="2" t="inlineStr">
        <is>
          <t>Norrlandslav</t>
        </is>
      </c>
      <c r="S295">
        <f>HYPERLINK("https://klasma.github.io/Logging_1863/artfynd/A 39540-2022 artfynd.xlsx", "A 39540-2022")</f>
        <v/>
      </c>
      <c r="T295">
        <f>HYPERLINK("https://klasma.github.io/Logging_1863/kartor/A 39540-2022 karta.png", "A 39540-2022")</f>
        <v/>
      </c>
      <c r="V295">
        <f>HYPERLINK("https://klasma.github.io/Logging_1863/klagomål/A 39540-2022 FSC-klagomål.docx", "A 39540-2022")</f>
        <v/>
      </c>
      <c r="W295">
        <f>HYPERLINK("https://klasma.github.io/Logging_1863/klagomålsmail/A 39540-2022 FSC-klagomål mail.docx", "A 39540-2022")</f>
        <v/>
      </c>
      <c r="X295">
        <f>HYPERLINK("https://klasma.github.io/Logging_1863/tillsyn/A 39540-2022 tillsynsbegäran.docx", "A 39540-2022")</f>
        <v/>
      </c>
      <c r="Y295">
        <f>HYPERLINK("https://klasma.github.io/Logging_1863/tillsynsmail/A 39540-2022 tillsynsbegäran mail.docx", "A 39540-2022")</f>
        <v/>
      </c>
    </row>
    <row r="296" ht="15" customHeight="1">
      <c r="A296" t="inlineStr">
        <is>
          <t>A 43742-2022</t>
        </is>
      </c>
      <c r="B296" s="1" t="n">
        <v>44837</v>
      </c>
      <c r="C296" s="1" t="n">
        <v>45360</v>
      </c>
      <c r="D296" t="inlineStr">
        <is>
          <t>ÖREBRO LÄN</t>
        </is>
      </c>
      <c r="E296" t="inlineStr">
        <is>
          <t>LAXÅ</t>
        </is>
      </c>
      <c r="G296" t="n">
        <v>16.8</v>
      </c>
      <c r="H296" t="n">
        <v>0</v>
      </c>
      <c r="I296" t="n">
        <v>0</v>
      </c>
      <c r="J296" t="n">
        <v>1</v>
      </c>
      <c r="K296" t="n">
        <v>0</v>
      </c>
      <c r="L296" t="n">
        <v>0</v>
      </c>
      <c r="M296" t="n">
        <v>0</v>
      </c>
      <c r="N296" t="n">
        <v>0</v>
      </c>
      <c r="O296" t="n">
        <v>1</v>
      </c>
      <c r="P296" t="n">
        <v>0</v>
      </c>
      <c r="Q296" t="n">
        <v>1</v>
      </c>
      <c r="R296" s="2" t="inlineStr">
        <is>
          <t>Violettkantad guldvinge</t>
        </is>
      </c>
      <c r="S296">
        <f>HYPERLINK("https://klasma.github.io/Logging_1860/artfynd/A 43742-2022 artfynd.xlsx", "A 43742-2022")</f>
        <v/>
      </c>
      <c r="T296">
        <f>HYPERLINK("https://klasma.github.io/Logging_1860/kartor/A 43742-2022 karta.png", "A 43742-2022")</f>
        <v/>
      </c>
      <c r="V296">
        <f>HYPERLINK("https://klasma.github.io/Logging_1860/klagomål/A 43742-2022 FSC-klagomål.docx", "A 43742-2022")</f>
        <v/>
      </c>
      <c r="W296">
        <f>HYPERLINK("https://klasma.github.io/Logging_1860/klagomålsmail/A 43742-2022 FSC-klagomål mail.docx", "A 43742-2022")</f>
        <v/>
      </c>
      <c r="X296">
        <f>HYPERLINK("https://klasma.github.io/Logging_1860/tillsyn/A 43742-2022 tillsynsbegäran.docx", "A 43742-2022")</f>
        <v/>
      </c>
      <c r="Y296">
        <f>HYPERLINK("https://klasma.github.io/Logging_1860/tillsynsmail/A 43742-2022 tillsynsbegäran mail.docx", "A 43742-2022")</f>
        <v/>
      </c>
    </row>
    <row r="297" ht="15" customHeight="1">
      <c r="A297" t="inlineStr">
        <is>
          <t>A 43745-2022</t>
        </is>
      </c>
      <c r="B297" s="1" t="n">
        <v>44837</v>
      </c>
      <c r="C297" s="1" t="n">
        <v>45360</v>
      </c>
      <c r="D297" t="inlineStr">
        <is>
          <t>ÖREBRO LÄN</t>
        </is>
      </c>
      <c r="E297" t="inlineStr">
        <is>
          <t>LAXÅ</t>
        </is>
      </c>
      <c r="G297" t="n">
        <v>9.9</v>
      </c>
      <c r="H297" t="n">
        <v>1</v>
      </c>
      <c r="I297" t="n">
        <v>0</v>
      </c>
      <c r="J297" t="n">
        <v>0</v>
      </c>
      <c r="K297" t="n">
        <v>0</v>
      </c>
      <c r="L297" t="n">
        <v>0</v>
      </c>
      <c r="M297" t="n">
        <v>0</v>
      </c>
      <c r="N297" t="n">
        <v>0</v>
      </c>
      <c r="O297" t="n">
        <v>0</v>
      </c>
      <c r="P297" t="n">
        <v>0</v>
      </c>
      <c r="Q297" t="n">
        <v>1</v>
      </c>
      <c r="R297" s="2" t="inlineStr">
        <is>
          <t>Nattviol</t>
        </is>
      </c>
      <c r="S297">
        <f>HYPERLINK("https://klasma.github.io/Logging_1860/artfynd/A 43745-2022 artfynd.xlsx", "A 43745-2022")</f>
        <v/>
      </c>
      <c r="T297">
        <f>HYPERLINK("https://klasma.github.io/Logging_1860/kartor/A 43745-2022 karta.png", "A 43745-2022")</f>
        <v/>
      </c>
      <c r="V297">
        <f>HYPERLINK("https://klasma.github.io/Logging_1860/klagomål/A 43745-2022 FSC-klagomål.docx", "A 43745-2022")</f>
        <v/>
      </c>
      <c r="W297">
        <f>HYPERLINK("https://klasma.github.io/Logging_1860/klagomålsmail/A 43745-2022 FSC-klagomål mail.docx", "A 43745-2022")</f>
        <v/>
      </c>
      <c r="X297">
        <f>HYPERLINK("https://klasma.github.io/Logging_1860/tillsyn/A 43745-2022 tillsynsbegäran.docx", "A 43745-2022")</f>
        <v/>
      </c>
      <c r="Y297">
        <f>HYPERLINK("https://klasma.github.io/Logging_1860/tillsynsmail/A 43745-2022 tillsynsbegäran mail.docx", "A 43745-2022")</f>
        <v/>
      </c>
    </row>
    <row r="298" ht="15" customHeight="1">
      <c r="A298" t="inlineStr">
        <is>
          <t>A 44361-2022</t>
        </is>
      </c>
      <c r="B298" s="1" t="n">
        <v>44839</v>
      </c>
      <c r="C298" s="1" t="n">
        <v>45360</v>
      </c>
      <c r="D298" t="inlineStr">
        <is>
          <t>ÖREBRO LÄN</t>
        </is>
      </c>
      <c r="E298" t="inlineStr">
        <is>
          <t>ÖREBRO</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HYPERLINK("https://klasma.github.io/Logging_1880/artfynd/A 44361-2022 artfynd.xlsx", "A 44361-2022")</f>
        <v/>
      </c>
      <c r="T298">
        <f>HYPERLINK("https://klasma.github.io/Logging_1880/kartor/A 44361-2022 karta.png", "A 44361-2022")</f>
        <v/>
      </c>
      <c r="V298">
        <f>HYPERLINK("https://klasma.github.io/Logging_1880/klagomål/A 44361-2022 FSC-klagomål.docx", "A 44361-2022")</f>
        <v/>
      </c>
      <c r="W298">
        <f>HYPERLINK("https://klasma.github.io/Logging_1880/klagomålsmail/A 44361-2022 FSC-klagomål mail.docx", "A 44361-2022")</f>
        <v/>
      </c>
      <c r="X298">
        <f>HYPERLINK("https://klasma.github.io/Logging_1880/tillsyn/A 44361-2022 tillsynsbegäran.docx", "A 44361-2022")</f>
        <v/>
      </c>
      <c r="Y298">
        <f>HYPERLINK("https://klasma.github.io/Logging_1880/tillsynsmail/A 44361-2022 tillsynsbegäran mail.docx", "A 44361-2022")</f>
        <v/>
      </c>
    </row>
    <row r="299" ht="15" customHeight="1">
      <c r="A299" t="inlineStr">
        <is>
          <t>A 44844-2022</t>
        </is>
      </c>
      <c r="B299" s="1" t="n">
        <v>44841</v>
      </c>
      <c r="C299" s="1" t="n">
        <v>45360</v>
      </c>
      <c r="D299" t="inlineStr">
        <is>
          <t>ÖREBRO LÄN</t>
        </is>
      </c>
      <c r="E299" t="inlineStr">
        <is>
          <t>NORA</t>
        </is>
      </c>
      <c r="F299" t="inlineStr">
        <is>
          <t>Sveaskog</t>
        </is>
      </c>
      <c r="G299" t="n">
        <v>11.5</v>
      </c>
      <c r="H299" t="n">
        <v>0</v>
      </c>
      <c r="I299" t="n">
        <v>0</v>
      </c>
      <c r="J299" t="n">
        <v>1</v>
      </c>
      <c r="K299" t="n">
        <v>0</v>
      </c>
      <c r="L299" t="n">
        <v>0</v>
      </c>
      <c r="M299" t="n">
        <v>0</v>
      </c>
      <c r="N299" t="n">
        <v>0</v>
      </c>
      <c r="O299" t="n">
        <v>1</v>
      </c>
      <c r="P299" t="n">
        <v>0</v>
      </c>
      <c r="Q299" t="n">
        <v>1</v>
      </c>
      <c r="R299" s="2" t="inlineStr">
        <is>
          <t>Mindre timmerman</t>
        </is>
      </c>
      <c r="S299">
        <f>HYPERLINK("https://klasma.github.io/Logging_1884/artfynd/A 44844-2022 artfynd.xlsx", "A 44844-2022")</f>
        <v/>
      </c>
      <c r="T299">
        <f>HYPERLINK("https://klasma.github.io/Logging_1884/kartor/A 44844-2022 karta.png", "A 44844-2022")</f>
        <v/>
      </c>
      <c r="V299">
        <f>HYPERLINK("https://klasma.github.io/Logging_1884/klagomål/A 44844-2022 FSC-klagomål.docx", "A 44844-2022")</f>
        <v/>
      </c>
      <c r="W299">
        <f>HYPERLINK("https://klasma.github.io/Logging_1884/klagomålsmail/A 44844-2022 FSC-klagomål mail.docx", "A 44844-2022")</f>
        <v/>
      </c>
      <c r="X299">
        <f>HYPERLINK("https://klasma.github.io/Logging_1884/tillsyn/A 44844-2022 tillsynsbegäran.docx", "A 44844-2022")</f>
        <v/>
      </c>
      <c r="Y299">
        <f>HYPERLINK("https://klasma.github.io/Logging_1884/tillsynsmail/A 44844-2022 tillsynsbegäran mail.docx", "A 44844-2022")</f>
        <v/>
      </c>
    </row>
    <row r="300" ht="15" customHeight="1">
      <c r="A300" t="inlineStr">
        <is>
          <t>A 48879-2022</t>
        </is>
      </c>
      <c r="B300" s="1" t="n">
        <v>44859</v>
      </c>
      <c r="C300" s="1" t="n">
        <v>45360</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49670-2022</t>
        </is>
      </c>
      <c r="B301" s="1" t="n">
        <v>44862</v>
      </c>
      <c r="C301" s="1" t="n">
        <v>45360</v>
      </c>
      <c r="D301" t="inlineStr">
        <is>
          <t>ÖREBRO LÄN</t>
        </is>
      </c>
      <c r="E301" t="inlineStr">
        <is>
          <t>HALLSBERG</t>
        </is>
      </c>
      <c r="G301" t="n">
        <v>7.1</v>
      </c>
      <c r="H301" t="n">
        <v>1</v>
      </c>
      <c r="I301" t="n">
        <v>0</v>
      </c>
      <c r="J301" t="n">
        <v>0</v>
      </c>
      <c r="K301" t="n">
        <v>1</v>
      </c>
      <c r="L301" t="n">
        <v>0</v>
      </c>
      <c r="M301" t="n">
        <v>0</v>
      </c>
      <c r="N301" t="n">
        <v>0</v>
      </c>
      <c r="O301" t="n">
        <v>1</v>
      </c>
      <c r="P301" t="n">
        <v>1</v>
      </c>
      <c r="Q301" t="n">
        <v>1</v>
      </c>
      <c r="R301" s="2" t="inlineStr">
        <is>
          <t>Knärot</t>
        </is>
      </c>
      <c r="S301">
        <f>HYPERLINK("https://klasma.github.io/Logging_1861/artfynd/A 49670-2022 artfynd.xlsx", "A 49670-2022")</f>
        <v/>
      </c>
      <c r="T301">
        <f>HYPERLINK("https://klasma.github.io/Logging_1861/kartor/A 49670-2022 karta.png", "A 49670-2022")</f>
        <v/>
      </c>
      <c r="U301">
        <f>HYPERLINK("https://klasma.github.io/Logging_1861/knärot/A 49670-2022 karta knärot.png", "A 49670-2022")</f>
        <v/>
      </c>
      <c r="V301">
        <f>HYPERLINK("https://klasma.github.io/Logging_1861/klagomål/A 49670-2022 FSC-klagomål.docx", "A 49670-2022")</f>
        <v/>
      </c>
      <c r="W301">
        <f>HYPERLINK("https://klasma.github.io/Logging_1861/klagomålsmail/A 49670-2022 FSC-klagomål mail.docx", "A 49670-2022")</f>
        <v/>
      </c>
      <c r="X301">
        <f>HYPERLINK("https://klasma.github.io/Logging_1861/tillsyn/A 49670-2022 tillsynsbegäran.docx", "A 49670-2022")</f>
        <v/>
      </c>
      <c r="Y301">
        <f>HYPERLINK("https://klasma.github.io/Logging_1861/tillsynsmail/A 49670-2022 tillsynsbegäran mail.docx", "A 49670-2022")</f>
        <v/>
      </c>
    </row>
    <row r="302" ht="15" customHeight="1">
      <c r="A302" t="inlineStr">
        <is>
          <t>A 49576-2022</t>
        </is>
      </c>
      <c r="B302" s="1" t="n">
        <v>44862</v>
      </c>
      <c r="C302" s="1" t="n">
        <v>45360</v>
      </c>
      <c r="D302" t="inlineStr">
        <is>
          <t>ÖREBRO LÄN</t>
        </is>
      </c>
      <c r="E302" t="inlineStr">
        <is>
          <t>HALLSBERG</t>
        </is>
      </c>
      <c r="G302" t="n">
        <v>2.5</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49576-2022 artfynd.xlsx", "A 49576-2022")</f>
        <v/>
      </c>
      <c r="T302">
        <f>HYPERLINK("https://klasma.github.io/Logging_1861/kartor/A 49576-2022 karta.png", "A 49576-2022")</f>
        <v/>
      </c>
      <c r="V302">
        <f>HYPERLINK("https://klasma.github.io/Logging_1861/klagomål/A 49576-2022 FSC-klagomål.docx", "A 49576-2022")</f>
        <v/>
      </c>
      <c r="W302">
        <f>HYPERLINK("https://klasma.github.io/Logging_1861/klagomålsmail/A 49576-2022 FSC-klagomål mail.docx", "A 49576-2022")</f>
        <v/>
      </c>
      <c r="X302">
        <f>HYPERLINK("https://klasma.github.io/Logging_1861/tillsyn/A 49576-2022 tillsynsbegäran.docx", "A 49576-2022")</f>
        <v/>
      </c>
      <c r="Y302">
        <f>HYPERLINK("https://klasma.github.io/Logging_1861/tillsynsmail/A 49576-2022 tillsynsbegäran mail.docx", "A 49576-2022")</f>
        <v/>
      </c>
    </row>
    <row r="303" ht="15" customHeight="1">
      <c r="A303" t="inlineStr">
        <is>
          <t>A 54267-2022</t>
        </is>
      </c>
      <c r="B303" s="1" t="n">
        <v>44882</v>
      </c>
      <c r="C303" s="1" t="n">
        <v>45360</v>
      </c>
      <c r="D303" t="inlineStr">
        <is>
          <t>ÖREBRO LÄN</t>
        </is>
      </c>
      <c r="E303" t="inlineStr">
        <is>
          <t>HÄLLEFORS</t>
        </is>
      </c>
      <c r="F303" t="inlineStr">
        <is>
          <t>Bergvik skog väst AB</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HYPERLINK("https://klasma.github.io/Logging_1863/artfynd/A 54267-2022 artfynd.xlsx", "A 54267-2022")</f>
        <v/>
      </c>
      <c r="T303">
        <f>HYPERLINK("https://klasma.github.io/Logging_1863/kartor/A 54267-2022 karta.png", "A 54267-2022")</f>
        <v/>
      </c>
      <c r="U303">
        <f>HYPERLINK("https://klasma.github.io/Logging_1863/knärot/A 54267-2022 karta knärot.png", "A 54267-2022")</f>
        <v/>
      </c>
      <c r="V303">
        <f>HYPERLINK("https://klasma.github.io/Logging_1863/klagomål/A 54267-2022 FSC-klagomål.docx", "A 54267-2022")</f>
        <v/>
      </c>
      <c r="W303">
        <f>HYPERLINK("https://klasma.github.io/Logging_1863/klagomålsmail/A 54267-2022 FSC-klagomål mail.docx", "A 54267-2022")</f>
        <v/>
      </c>
      <c r="X303">
        <f>HYPERLINK("https://klasma.github.io/Logging_1863/tillsyn/A 54267-2022 tillsynsbegäran.docx", "A 54267-2022")</f>
        <v/>
      </c>
      <c r="Y303">
        <f>HYPERLINK("https://klasma.github.io/Logging_1863/tillsynsmail/A 54267-2022 tillsynsbegäran mail.docx", "A 54267-2022")</f>
        <v/>
      </c>
    </row>
    <row r="304" ht="15" customHeight="1">
      <c r="A304" t="inlineStr">
        <is>
          <t>A 54301-2022</t>
        </is>
      </c>
      <c r="B304" s="1" t="n">
        <v>44882</v>
      </c>
      <c r="C304" s="1" t="n">
        <v>45360</v>
      </c>
      <c r="D304" t="inlineStr">
        <is>
          <t>ÖREBRO LÄN</t>
        </is>
      </c>
      <c r="E304" t="inlineStr">
        <is>
          <t>LAXÅ</t>
        </is>
      </c>
      <c r="F304" t="inlineStr">
        <is>
          <t>Sveaskog</t>
        </is>
      </c>
      <c r="G304" t="n">
        <v>6.2</v>
      </c>
      <c r="H304" t="n">
        <v>1</v>
      </c>
      <c r="I304" t="n">
        <v>0</v>
      </c>
      <c r="J304" t="n">
        <v>0</v>
      </c>
      <c r="K304" t="n">
        <v>0</v>
      </c>
      <c r="L304" t="n">
        <v>0</v>
      </c>
      <c r="M304" t="n">
        <v>0</v>
      </c>
      <c r="N304" t="n">
        <v>0</v>
      </c>
      <c r="O304" t="n">
        <v>0</v>
      </c>
      <c r="P304" t="n">
        <v>0</v>
      </c>
      <c r="Q304" t="n">
        <v>1</v>
      </c>
      <c r="R304" s="2" t="inlineStr">
        <is>
          <t>Revlummer</t>
        </is>
      </c>
      <c r="S304">
        <f>HYPERLINK("https://klasma.github.io/Logging_1860/artfynd/A 54301-2022 artfynd.xlsx", "A 54301-2022")</f>
        <v/>
      </c>
      <c r="T304">
        <f>HYPERLINK("https://klasma.github.io/Logging_1860/kartor/A 54301-2022 karta.png", "A 54301-2022")</f>
        <v/>
      </c>
      <c r="V304">
        <f>HYPERLINK("https://klasma.github.io/Logging_1860/klagomål/A 54301-2022 FSC-klagomål.docx", "A 54301-2022")</f>
        <v/>
      </c>
      <c r="W304">
        <f>HYPERLINK("https://klasma.github.io/Logging_1860/klagomålsmail/A 54301-2022 FSC-klagomål mail.docx", "A 54301-2022")</f>
        <v/>
      </c>
      <c r="X304">
        <f>HYPERLINK("https://klasma.github.io/Logging_1860/tillsyn/A 54301-2022 tillsynsbegäran.docx", "A 54301-2022")</f>
        <v/>
      </c>
      <c r="Y304">
        <f>HYPERLINK("https://klasma.github.io/Logging_1860/tillsynsmail/A 54301-2022 tillsynsbegäran mail.docx", "A 54301-2022")</f>
        <v/>
      </c>
    </row>
    <row r="305" ht="15" customHeight="1">
      <c r="A305" t="inlineStr">
        <is>
          <t>A 55115-2022</t>
        </is>
      </c>
      <c r="B305" s="1" t="n">
        <v>44886</v>
      </c>
      <c r="C305" s="1" t="n">
        <v>45360</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58976-2022</t>
        </is>
      </c>
      <c r="B306" s="1" t="n">
        <v>44903</v>
      </c>
      <c r="C306" s="1" t="n">
        <v>45360</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Spillkråka</t>
        </is>
      </c>
      <c r="S306">
        <f>HYPERLINK("https://klasma.github.io/Logging_1860/artfynd/A 58976-2022 artfynd.xlsx", "A 58976-2022")</f>
        <v/>
      </c>
      <c r="T306">
        <f>HYPERLINK("https://klasma.github.io/Logging_1860/kartor/A 58976-2022 karta.png", "A 58976-2022")</f>
        <v/>
      </c>
      <c r="V306">
        <f>HYPERLINK("https://klasma.github.io/Logging_1860/klagomål/A 58976-2022 FSC-klagomål.docx", "A 58976-2022")</f>
        <v/>
      </c>
      <c r="W306">
        <f>HYPERLINK("https://klasma.github.io/Logging_1860/klagomålsmail/A 58976-2022 FSC-klagomål mail.docx", "A 58976-2022")</f>
        <v/>
      </c>
      <c r="X306">
        <f>HYPERLINK("https://klasma.github.io/Logging_1860/tillsyn/A 58976-2022 tillsynsbegäran.docx", "A 58976-2022")</f>
        <v/>
      </c>
      <c r="Y306">
        <f>HYPERLINK("https://klasma.github.io/Logging_1860/tillsynsmail/A 58976-2022 tillsynsbegäran mail.docx", "A 58976-2022")</f>
        <v/>
      </c>
      <c r="Z306">
        <f>HYPERLINK("https://klasma.github.io/Logging_1860/fåglar/A 58976-2022 prioriterade fågelarter.docx", "A 58976-2022")</f>
        <v/>
      </c>
    </row>
    <row r="307" ht="15" customHeight="1">
      <c r="A307" t="inlineStr">
        <is>
          <t>A 60162-2022</t>
        </is>
      </c>
      <c r="B307" s="1" t="n">
        <v>44909</v>
      </c>
      <c r="C307" s="1" t="n">
        <v>45360</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62105-2022</t>
        </is>
      </c>
      <c r="B308" s="1" t="n">
        <v>44920</v>
      </c>
      <c r="C308" s="1" t="n">
        <v>45360</v>
      </c>
      <c r="D308" t="inlineStr">
        <is>
          <t>ÖREBRO LÄN</t>
        </is>
      </c>
      <c r="E308" t="inlineStr">
        <is>
          <t>LJUSNARSBERG</t>
        </is>
      </c>
      <c r="G308" t="n">
        <v>5.7</v>
      </c>
      <c r="H308" t="n">
        <v>1</v>
      </c>
      <c r="I308" t="n">
        <v>0</v>
      </c>
      <c r="J308" t="n">
        <v>1</v>
      </c>
      <c r="K308" t="n">
        <v>0</v>
      </c>
      <c r="L308" t="n">
        <v>0</v>
      </c>
      <c r="M308" t="n">
        <v>0</v>
      </c>
      <c r="N308" t="n">
        <v>0</v>
      </c>
      <c r="O308" t="n">
        <v>1</v>
      </c>
      <c r="P308" t="n">
        <v>0</v>
      </c>
      <c r="Q308" t="n">
        <v>1</v>
      </c>
      <c r="R308" s="2" t="inlineStr">
        <is>
          <t>Spillkråka</t>
        </is>
      </c>
      <c r="S308">
        <f>HYPERLINK("https://klasma.github.io/Logging_1864/artfynd/A 62105-2022 artfynd.xlsx", "A 62105-2022")</f>
        <v/>
      </c>
      <c r="T308">
        <f>HYPERLINK("https://klasma.github.io/Logging_1864/kartor/A 62105-2022 karta.png", "A 62105-2022")</f>
        <v/>
      </c>
      <c r="V308">
        <f>HYPERLINK("https://klasma.github.io/Logging_1864/klagomål/A 62105-2022 FSC-klagomål.docx", "A 62105-2022")</f>
        <v/>
      </c>
      <c r="W308">
        <f>HYPERLINK("https://klasma.github.io/Logging_1864/klagomålsmail/A 62105-2022 FSC-klagomål mail.docx", "A 62105-2022")</f>
        <v/>
      </c>
      <c r="X308">
        <f>HYPERLINK("https://klasma.github.io/Logging_1864/tillsyn/A 62105-2022 tillsynsbegäran.docx", "A 62105-2022")</f>
        <v/>
      </c>
      <c r="Y308">
        <f>HYPERLINK("https://klasma.github.io/Logging_1864/tillsynsmail/A 62105-2022 tillsynsbegäran mail.docx", "A 62105-2022")</f>
        <v/>
      </c>
      <c r="Z308">
        <f>HYPERLINK("https://klasma.github.io/Logging_1864/fåglar/A 62105-2022 prioriterade fågelarter.docx", "A 62105-2022")</f>
        <v/>
      </c>
    </row>
    <row r="309" ht="15" customHeight="1">
      <c r="A309" t="inlineStr">
        <is>
          <t>A 364-2023</t>
        </is>
      </c>
      <c r="B309" s="1" t="n">
        <v>44929</v>
      </c>
      <c r="C309" s="1" t="n">
        <v>45360</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Guldsandbi</t>
        </is>
      </c>
      <c r="S309">
        <f>HYPERLINK("https://klasma.github.io/Logging_1861/artfynd/A 364-2023 artfynd.xlsx", "A 364-2023")</f>
        <v/>
      </c>
      <c r="T309">
        <f>HYPERLINK("https://klasma.github.io/Logging_1861/kartor/A 364-2023 karta.png", "A 364-2023")</f>
        <v/>
      </c>
      <c r="V309">
        <f>HYPERLINK("https://klasma.github.io/Logging_1861/klagomål/A 364-2023 FSC-klagomål.docx", "A 364-2023")</f>
        <v/>
      </c>
      <c r="W309">
        <f>HYPERLINK("https://klasma.github.io/Logging_1861/klagomålsmail/A 364-2023 FSC-klagomål mail.docx", "A 364-2023")</f>
        <v/>
      </c>
      <c r="X309">
        <f>HYPERLINK("https://klasma.github.io/Logging_1861/tillsyn/A 364-2023 tillsynsbegäran.docx", "A 364-2023")</f>
        <v/>
      </c>
      <c r="Y309">
        <f>HYPERLINK("https://klasma.github.io/Logging_1861/tillsynsmail/A 364-2023 tillsynsbegäran mail.docx", "A 364-2023")</f>
        <v/>
      </c>
    </row>
    <row r="310" ht="15" customHeight="1">
      <c r="A310" t="inlineStr">
        <is>
          <t>A 515-2023</t>
        </is>
      </c>
      <c r="B310" s="1" t="n">
        <v>44930</v>
      </c>
      <c r="C310" s="1" t="n">
        <v>45360</v>
      </c>
      <c r="D310" t="inlineStr">
        <is>
          <t>ÖREBRO LÄN</t>
        </is>
      </c>
      <c r="E310" t="inlineStr">
        <is>
          <t>HALLSBERG</t>
        </is>
      </c>
      <c r="G310" t="n">
        <v>6.6</v>
      </c>
      <c r="H310" t="n">
        <v>0</v>
      </c>
      <c r="I310" t="n">
        <v>0</v>
      </c>
      <c r="J310" t="n">
        <v>0</v>
      </c>
      <c r="K310" t="n">
        <v>0</v>
      </c>
      <c r="L310" t="n">
        <v>1</v>
      </c>
      <c r="M310" t="n">
        <v>0</v>
      </c>
      <c r="N310" t="n">
        <v>0</v>
      </c>
      <c r="O310" t="n">
        <v>1</v>
      </c>
      <c r="P310" t="n">
        <v>1</v>
      </c>
      <c r="Q310" t="n">
        <v>1</v>
      </c>
      <c r="R310" s="2" t="inlineStr">
        <is>
          <t>Ask</t>
        </is>
      </c>
      <c r="S310">
        <f>HYPERLINK("https://klasma.github.io/Logging_1861/artfynd/A 515-2023 artfynd.xlsx", "A 515-2023")</f>
        <v/>
      </c>
      <c r="T310">
        <f>HYPERLINK("https://klasma.github.io/Logging_1861/kartor/A 515-2023 karta.png", "A 515-2023")</f>
        <v/>
      </c>
      <c r="V310">
        <f>HYPERLINK("https://klasma.github.io/Logging_1861/klagomål/A 515-2023 FSC-klagomål.docx", "A 515-2023")</f>
        <v/>
      </c>
      <c r="W310">
        <f>HYPERLINK("https://klasma.github.io/Logging_1861/klagomålsmail/A 515-2023 FSC-klagomål mail.docx", "A 515-2023")</f>
        <v/>
      </c>
      <c r="X310">
        <f>HYPERLINK("https://klasma.github.io/Logging_1861/tillsyn/A 515-2023 tillsynsbegäran.docx", "A 515-2023")</f>
        <v/>
      </c>
      <c r="Y310">
        <f>HYPERLINK("https://klasma.github.io/Logging_1861/tillsynsmail/A 515-2023 tillsynsbegäran mail.docx", "A 515-2023")</f>
        <v/>
      </c>
    </row>
    <row r="311" ht="15" customHeight="1">
      <c r="A311" t="inlineStr">
        <is>
          <t>A 1195-2023</t>
        </is>
      </c>
      <c r="B311" s="1" t="n">
        <v>44935</v>
      </c>
      <c r="C311" s="1" t="n">
        <v>45360</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1615-2023</t>
        </is>
      </c>
      <c r="B312" s="1" t="n">
        <v>44937</v>
      </c>
      <c r="C312" s="1" t="n">
        <v>45360</v>
      </c>
      <c r="D312" t="inlineStr">
        <is>
          <t>ÖREBRO LÄN</t>
        </is>
      </c>
      <c r="E312" t="inlineStr">
        <is>
          <t>HALLSBERG</t>
        </is>
      </c>
      <c r="F312" t="inlineStr">
        <is>
          <t>Allmännings- och besparingsskogar</t>
        </is>
      </c>
      <c r="G312" t="n">
        <v>5.4</v>
      </c>
      <c r="H312" t="n">
        <v>1</v>
      </c>
      <c r="I312" t="n">
        <v>0</v>
      </c>
      <c r="J312" t="n">
        <v>1</v>
      </c>
      <c r="K312" t="n">
        <v>0</v>
      </c>
      <c r="L312" t="n">
        <v>0</v>
      </c>
      <c r="M312" t="n">
        <v>0</v>
      </c>
      <c r="N312" t="n">
        <v>0</v>
      </c>
      <c r="O312" t="n">
        <v>1</v>
      </c>
      <c r="P312" t="n">
        <v>0</v>
      </c>
      <c r="Q312" t="n">
        <v>1</v>
      </c>
      <c r="R312" s="2" t="inlineStr">
        <is>
          <t>Talltita</t>
        </is>
      </c>
      <c r="S312">
        <f>HYPERLINK("https://klasma.github.io/Logging_1861/artfynd/A 1615-2023 artfynd.xlsx", "A 1615-2023")</f>
        <v/>
      </c>
      <c r="T312">
        <f>HYPERLINK("https://klasma.github.io/Logging_1861/kartor/A 1615-2023 karta.png", "A 1615-2023")</f>
        <v/>
      </c>
      <c r="V312">
        <f>HYPERLINK("https://klasma.github.io/Logging_1861/klagomål/A 1615-2023 FSC-klagomål.docx", "A 1615-2023")</f>
        <v/>
      </c>
      <c r="W312">
        <f>HYPERLINK("https://klasma.github.io/Logging_1861/klagomålsmail/A 1615-2023 FSC-klagomål mail.docx", "A 1615-2023")</f>
        <v/>
      </c>
      <c r="X312">
        <f>HYPERLINK("https://klasma.github.io/Logging_1861/tillsyn/A 1615-2023 tillsynsbegäran.docx", "A 1615-2023")</f>
        <v/>
      </c>
      <c r="Y312">
        <f>HYPERLINK("https://klasma.github.io/Logging_1861/tillsynsmail/A 1615-2023 tillsynsbegäran mail.docx", "A 1615-2023")</f>
        <v/>
      </c>
      <c r="Z312">
        <f>HYPERLINK("https://klasma.github.io/Logging_1861/fåglar/A 1615-2023 prioriterade fågelarter.docx", "A 1615-2023")</f>
        <v/>
      </c>
    </row>
    <row r="313" ht="15" customHeight="1">
      <c r="A313" t="inlineStr">
        <is>
          <t>A 3729-2023</t>
        </is>
      </c>
      <c r="B313" s="1" t="n">
        <v>44949</v>
      </c>
      <c r="C313" s="1" t="n">
        <v>45360</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4652-2023</t>
        </is>
      </c>
      <c r="B314" s="1" t="n">
        <v>44957</v>
      </c>
      <c r="C314" s="1" t="n">
        <v>45360</v>
      </c>
      <c r="D314" t="inlineStr">
        <is>
          <t>ÖREBRO LÄN</t>
        </is>
      </c>
      <c r="E314" t="inlineStr">
        <is>
          <t>HÄLLEFORS</t>
        </is>
      </c>
      <c r="G314" t="n">
        <v>2.5</v>
      </c>
      <c r="H314" t="n">
        <v>0</v>
      </c>
      <c r="I314" t="n">
        <v>0</v>
      </c>
      <c r="J314" t="n">
        <v>1</v>
      </c>
      <c r="K314" t="n">
        <v>0</v>
      </c>
      <c r="L314" t="n">
        <v>0</v>
      </c>
      <c r="M314" t="n">
        <v>0</v>
      </c>
      <c r="N314" t="n">
        <v>0</v>
      </c>
      <c r="O314" t="n">
        <v>1</v>
      </c>
      <c r="P314" t="n">
        <v>0</v>
      </c>
      <c r="Q314" t="n">
        <v>1</v>
      </c>
      <c r="R314" s="2" t="inlineStr">
        <is>
          <t>Vedtrappmossa</t>
        </is>
      </c>
      <c r="S314">
        <f>HYPERLINK("https://klasma.github.io/Logging_1863/artfynd/A 4652-2023 artfynd.xlsx", "A 4652-2023")</f>
        <v/>
      </c>
      <c r="T314">
        <f>HYPERLINK("https://klasma.github.io/Logging_1863/kartor/A 4652-2023 karta.png", "A 4652-2023")</f>
        <v/>
      </c>
      <c r="V314">
        <f>HYPERLINK("https://klasma.github.io/Logging_1863/klagomål/A 4652-2023 FSC-klagomål.docx", "A 4652-2023")</f>
        <v/>
      </c>
      <c r="W314">
        <f>HYPERLINK("https://klasma.github.io/Logging_1863/klagomålsmail/A 4652-2023 FSC-klagomål mail.docx", "A 4652-2023")</f>
        <v/>
      </c>
      <c r="X314">
        <f>HYPERLINK("https://klasma.github.io/Logging_1863/tillsyn/A 4652-2023 tillsynsbegäran.docx", "A 4652-2023")</f>
        <v/>
      </c>
      <c r="Y314">
        <f>HYPERLINK("https://klasma.github.io/Logging_1863/tillsynsmail/A 4652-2023 tillsynsbegäran mail.docx", "A 4652-2023")</f>
        <v/>
      </c>
    </row>
    <row r="315" ht="15" customHeight="1">
      <c r="A315" t="inlineStr">
        <is>
          <t>A 5097-2023</t>
        </is>
      </c>
      <c r="B315" s="1" t="n">
        <v>44958</v>
      </c>
      <c r="C315" s="1" t="n">
        <v>45360</v>
      </c>
      <c r="D315" t="inlineStr">
        <is>
          <t>ÖREBRO LÄN</t>
        </is>
      </c>
      <c r="E315" t="inlineStr">
        <is>
          <t>ÖREBRO</t>
        </is>
      </c>
      <c r="G315" t="n">
        <v>3.6</v>
      </c>
      <c r="H315" t="n">
        <v>1</v>
      </c>
      <c r="I315" t="n">
        <v>0</v>
      </c>
      <c r="J315" t="n">
        <v>0</v>
      </c>
      <c r="K315" t="n">
        <v>0</v>
      </c>
      <c r="L315" t="n">
        <v>0</v>
      </c>
      <c r="M315" t="n">
        <v>0</v>
      </c>
      <c r="N315" t="n">
        <v>0</v>
      </c>
      <c r="O315" t="n">
        <v>0</v>
      </c>
      <c r="P315" t="n">
        <v>0</v>
      </c>
      <c r="Q315" t="n">
        <v>1</v>
      </c>
      <c r="R315" s="2" t="inlineStr">
        <is>
          <t>Grönvit nattviol</t>
        </is>
      </c>
      <c r="S315">
        <f>HYPERLINK("https://klasma.github.io/Logging_1880/artfynd/A 5097-2023 artfynd.xlsx", "A 5097-2023")</f>
        <v/>
      </c>
      <c r="T315">
        <f>HYPERLINK("https://klasma.github.io/Logging_1880/kartor/A 5097-2023 karta.png", "A 5097-2023")</f>
        <v/>
      </c>
      <c r="V315">
        <f>HYPERLINK("https://klasma.github.io/Logging_1880/klagomål/A 5097-2023 FSC-klagomål.docx", "A 5097-2023")</f>
        <v/>
      </c>
      <c r="W315">
        <f>HYPERLINK("https://klasma.github.io/Logging_1880/klagomålsmail/A 5097-2023 FSC-klagomål mail.docx", "A 5097-2023")</f>
        <v/>
      </c>
      <c r="X315">
        <f>HYPERLINK("https://klasma.github.io/Logging_1880/tillsyn/A 5097-2023 tillsynsbegäran.docx", "A 5097-2023")</f>
        <v/>
      </c>
      <c r="Y315">
        <f>HYPERLINK("https://klasma.github.io/Logging_1880/tillsynsmail/A 5097-2023 tillsynsbegäran mail.docx", "A 5097-2023")</f>
        <v/>
      </c>
    </row>
    <row r="316" ht="15" customHeight="1">
      <c r="A316" t="inlineStr">
        <is>
          <t>A 5814-2023</t>
        </is>
      </c>
      <c r="B316" s="1" t="n">
        <v>44963</v>
      </c>
      <c r="C316" s="1" t="n">
        <v>45360</v>
      </c>
      <c r="D316" t="inlineStr">
        <is>
          <t>ÖREBRO LÄN</t>
        </is>
      </c>
      <c r="E316" t="inlineStr">
        <is>
          <t>KARLSKOGA</t>
        </is>
      </c>
      <c r="F316" t="inlineStr">
        <is>
          <t>Kyrkan</t>
        </is>
      </c>
      <c r="G316" t="n">
        <v>4.9</v>
      </c>
      <c r="H316" t="n">
        <v>0</v>
      </c>
      <c r="I316" t="n">
        <v>1</v>
      </c>
      <c r="J316" t="n">
        <v>0</v>
      </c>
      <c r="K316" t="n">
        <v>0</v>
      </c>
      <c r="L316" t="n">
        <v>0</v>
      </c>
      <c r="M316" t="n">
        <v>0</v>
      </c>
      <c r="N316" t="n">
        <v>0</v>
      </c>
      <c r="O316" t="n">
        <v>0</v>
      </c>
      <c r="P316" t="n">
        <v>0</v>
      </c>
      <c r="Q316" t="n">
        <v>1</v>
      </c>
      <c r="R316" s="2" t="inlineStr">
        <is>
          <t>Svart trolldruva</t>
        </is>
      </c>
      <c r="S316">
        <f>HYPERLINK("https://klasma.github.io/Logging_1883/artfynd/A 5814-2023 artfynd.xlsx", "A 5814-2023")</f>
        <v/>
      </c>
      <c r="T316">
        <f>HYPERLINK("https://klasma.github.io/Logging_1883/kartor/A 5814-2023 karta.png", "A 5814-2023")</f>
        <v/>
      </c>
      <c r="V316">
        <f>HYPERLINK("https://klasma.github.io/Logging_1883/klagomål/A 5814-2023 FSC-klagomål.docx", "A 5814-2023")</f>
        <v/>
      </c>
      <c r="W316">
        <f>HYPERLINK("https://klasma.github.io/Logging_1883/klagomålsmail/A 5814-2023 FSC-klagomål mail.docx", "A 5814-2023")</f>
        <v/>
      </c>
      <c r="X316">
        <f>HYPERLINK("https://klasma.github.io/Logging_1883/tillsyn/A 5814-2023 tillsynsbegäran.docx", "A 5814-2023")</f>
        <v/>
      </c>
      <c r="Y316">
        <f>HYPERLINK("https://klasma.github.io/Logging_1883/tillsynsmail/A 5814-2023 tillsynsbegäran mail.docx", "A 5814-2023")</f>
        <v/>
      </c>
    </row>
    <row r="317" ht="15" customHeight="1">
      <c r="A317" t="inlineStr">
        <is>
          <t>A 7384-2023</t>
        </is>
      </c>
      <c r="B317" s="1" t="n">
        <v>44966</v>
      </c>
      <c r="C317" s="1" t="n">
        <v>45360</v>
      </c>
      <c r="D317" t="inlineStr">
        <is>
          <t>ÖREBRO LÄN</t>
        </is>
      </c>
      <c r="E317" t="inlineStr">
        <is>
          <t>DEGERFORS</t>
        </is>
      </c>
      <c r="F317" t="inlineStr">
        <is>
          <t>Sveaskog</t>
        </is>
      </c>
      <c r="G317" t="n">
        <v>10.9</v>
      </c>
      <c r="H317" t="n">
        <v>0</v>
      </c>
      <c r="I317" t="n">
        <v>0</v>
      </c>
      <c r="J317" t="n">
        <v>1</v>
      </c>
      <c r="K317" t="n">
        <v>0</v>
      </c>
      <c r="L317" t="n">
        <v>0</v>
      </c>
      <c r="M317" t="n">
        <v>0</v>
      </c>
      <c r="N317" t="n">
        <v>0</v>
      </c>
      <c r="O317" t="n">
        <v>1</v>
      </c>
      <c r="P317" t="n">
        <v>0</v>
      </c>
      <c r="Q317" t="n">
        <v>1</v>
      </c>
      <c r="R317" s="2" t="inlineStr">
        <is>
          <t>Skogsklocka</t>
        </is>
      </c>
      <c r="S317">
        <f>HYPERLINK("https://klasma.github.io/Logging_1862/artfynd/A 7384-2023 artfynd.xlsx", "A 7384-2023")</f>
        <v/>
      </c>
      <c r="T317">
        <f>HYPERLINK("https://klasma.github.io/Logging_1862/kartor/A 7384-2023 karta.png", "A 7384-2023")</f>
        <v/>
      </c>
      <c r="V317">
        <f>HYPERLINK("https://klasma.github.io/Logging_1862/klagomål/A 7384-2023 FSC-klagomål.docx", "A 7384-2023")</f>
        <v/>
      </c>
      <c r="W317">
        <f>HYPERLINK("https://klasma.github.io/Logging_1862/klagomålsmail/A 7384-2023 FSC-klagomål mail.docx", "A 7384-2023")</f>
        <v/>
      </c>
      <c r="X317">
        <f>HYPERLINK("https://klasma.github.io/Logging_1862/tillsyn/A 7384-2023 tillsynsbegäran.docx", "A 7384-2023")</f>
        <v/>
      </c>
      <c r="Y317">
        <f>HYPERLINK("https://klasma.github.io/Logging_1862/tillsynsmail/A 7384-2023 tillsynsbegäran mail.docx", "A 7384-2023")</f>
        <v/>
      </c>
    </row>
    <row r="318" ht="15" customHeight="1">
      <c r="A318" t="inlineStr">
        <is>
          <t>A 7102-2023</t>
        </is>
      </c>
      <c r="B318" s="1" t="n">
        <v>44970</v>
      </c>
      <c r="C318" s="1" t="n">
        <v>45360</v>
      </c>
      <c r="D318" t="inlineStr">
        <is>
          <t>ÖREBRO LÄN</t>
        </is>
      </c>
      <c r="E318" t="inlineStr">
        <is>
          <t>KUMLA</t>
        </is>
      </c>
      <c r="G318" t="n">
        <v>0.8</v>
      </c>
      <c r="H318" t="n">
        <v>1</v>
      </c>
      <c r="I318" t="n">
        <v>0</v>
      </c>
      <c r="J318" t="n">
        <v>1</v>
      </c>
      <c r="K318" t="n">
        <v>0</v>
      </c>
      <c r="L318" t="n">
        <v>0</v>
      </c>
      <c r="M318" t="n">
        <v>0</v>
      </c>
      <c r="N318" t="n">
        <v>0</v>
      </c>
      <c r="O318" t="n">
        <v>1</v>
      </c>
      <c r="P318" t="n">
        <v>0</v>
      </c>
      <c r="Q318" t="n">
        <v>1</v>
      </c>
      <c r="R318" s="2" t="inlineStr">
        <is>
          <t>Grönsångare</t>
        </is>
      </c>
      <c r="S318">
        <f>HYPERLINK("https://klasma.github.io/Logging_1881/artfynd/A 7102-2023 artfynd.xlsx", "A 7102-2023")</f>
        <v/>
      </c>
      <c r="T318">
        <f>HYPERLINK("https://klasma.github.io/Logging_1881/kartor/A 7102-2023 karta.png", "A 7102-2023")</f>
        <v/>
      </c>
      <c r="V318">
        <f>HYPERLINK("https://klasma.github.io/Logging_1881/klagomål/A 7102-2023 FSC-klagomål.docx", "A 7102-2023")</f>
        <v/>
      </c>
      <c r="W318">
        <f>HYPERLINK("https://klasma.github.io/Logging_1881/klagomålsmail/A 7102-2023 FSC-klagomål mail.docx", "A 7102-2023")</f>
        <v/>
      </c>
      <c r="X318">
        <f>HYPERLINK("https://klasma.github.io/Logging_1881/tillsyn/A 7102-2023 tillsynsbegäran.docx", "A 7102-2023")</f>
        <v/>
      </c>
      <c r="Y318">
        <f>HYPERLINK("https://klasma.github.io/Logging_1881/tillsynsmail/A 7102-2023 tillsynsbegäran mail.docx", "A 7102-2023")</f>
        <v/>
      </c>
    </row>
    <row r="319" ht="15" customHeight="1">
      <c r="A319" t="inlineStr">
        <is>
          <t>A 8950-2023</t>
        </is>
      </c>
      <c r="B319" s="1" t="n">
        <v>44979</v>
      </c>
      <c r="C319" s="1" t="n">
        <v>45360</v>
      </c>
      <c r="D319" t="inlineStr">
        <is>
          <t>ÖREBRO LÄN</t>
        </is>
      </c>
      <c r="E319" t="inlineStr">
        <is>
          <t>LINDESBERG</t>
        </is>
      </c>
      <c r="G319" t="n">
        <v>27</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8950-2023 artfynd.xlsx", "A 8950-2023")</f>
        <v/>
      </c>
      <c r="T319">
        <f>HYPERLINK("https://klasma.github.io/Logging_1885/kartor/A 8950-2023 karta.png", "A 8950-2023")</f>
        <v/>
      </c>
      <c r="V319">
        <f>HYPERLINK("https://klasma.github.io/Logging_1885/klagomål/A 8950-2023 FSC-klagomål.docx", "A 8950-2023")</f>
        <v/>
      </c>
      <c r="W319">
        <f>HYPERLINK("https://klasma.github.io/Logging_1885/klagomålsmail/A 8950-2023 FSC-klagomål mail.docx", "A 8950-2023")</f>
        <v/>
      </c>
      <c r="X319">
        <f>HYPERLINK("https://klasma.github.io/Logging_1885/tillsyn/A 8950-2023 tillsynsbegäran.docx", "A 8950-2023")</f>
        <v/>
      </c>
      <c r="Y319">
        <f>HYPERLINK("https://klasma.github.io/Logging_1885/tillsynsmail/A 8950-2023 tillsynsbegäran mail.docx", "A 8950-2023")</f>
        <v/>
      </c>
      <c r="Z319">
        <f>HYPERLINK("https://klasma.github.io/Logging_1885/fåglar/A 8950-2023 prioriterade fågelarter.docx", "A 8950-2023")</f>
        <v/>
      </c>
    </row>
    <row r="320" ht="15" customHeight="1">
      <c r="A320" t="inlineStr">
        <is>
          <t>A 11498-2023</t>
        </is>
      </c>
      <c r="B320" s="1" t="n">
        <v>44993</v>
      </c>
      <c r="C320" s="1" t="n">
        <v>45360</v>
      </c>
      <c r="D320" t="inlineStr">
        <is>
          <t>ÖREBRO LÄN</t>
        </is>
      </c>
      <c r="E320" t="inlineStr">
        <is>
          <t>ASKERSUND</t>
        </is>
      </c>
      <c r="G320" t="n">
        <v>3.8</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11498-2023 artfynd.xlsx", "A 11498-2023")</f>
        <v/>
      </c>
      <c r="T320">
        <f>HYPERLINK("https://klasma.github.io/Logging_1882/kartor/A 11498-2023 karta.png", "A 11498-2023")</f>
        <v/>
      </c>
      <c r="V320">
        <f>HYPERLINK("https://klasma.github.io/Logging_1882/klagomål/A 11498-2023 FSC-klagomål.docx", "A 11498-2023")</f>
        <v/>
      </c>
      <c r="W320">
        <f>HYPERLINK("https://klasma.github.io/Logging_1882/klagomålsmail/A 11498-2023 FSC-klagomål mail.docx", "A 11498-2023")</f>
        <v/>
      </c>
      <c r="X320">
        <f>HYPERLINK("https://klasma.github.io/Logging_1882/tillsyn/A 11498-2023 tillsynsbegäran.docx", "A 11498-2023")</f>
        <v/>
      </c>
      <c r="Y320">
        <f>HYPERLINK("https://klasma.github.io/Logging_1882/tillsynsmail/A 11498-2023 tillsynsbegäran mail.docx", "A 11498-2023")</f>
        <v/>
      </c>
    </row>
    <row r="321" ht="15" customHeight="1">
      <c r="A321" t="inlineStr">
        <is>
          <t>A 11519-2023</t>
        </is>
      </c>
      <c r="B321" s="1" t="n">
        <v>44993</v>
      </c>
      <c r="C321" s="1" t="n">
        <v>45360</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11528-2023</t>
        </is>
      </c>
      <c r="B322" s="1" t="n">
        <v>44993</v>
      </c>
      <c r="C322" s="1" t="n">
        <v>45360</v>
      </c>
      <c r="D322" t="inlineStr">
        <is>
          <t>ÖREBRO LÄN</t>
        </is>
      </c>
      <c r="E322" t="inlineStr">
        <is>
          <t>LEKEBERG</t>
        </is>
      </c>
      <c r="G322" t="n">
        <v>1.2</v>
      </c>
      <c r="H322" t="n">
        <v>0</v>
      </c>
      <c r="I322" t="n">
        <v>1</v>
      </c>
      <c r="J322" t="n">
        <v>0</v>
      </c>
      <c r="K322" t="n">
        <v>0</v>
      </c>
      <c r="L322" t="n">
        <v>0</v>
      </c>
      <c r="M322" t="n">
        <v>0</v>
      </c>
      <c r="N322" t="n">
        <v>0</v>
      </c>
      <c r="O322" t="n">
        <v>0</v>
      </c>
      <c r="P322" t="n">
        <v>0</v>
      </c>
      <c r="Q322" t="n">
        <v>1</v>
      </c>
      <c r="R322" s="2" t="inlineStr">
        <is>
          <t>Tibast</t>
        </is>
      </c>
      <c r="S322">
        <f>HYPERLINK("https://klasma.github.io/Logging_1814/artfynd/A 11528-2023 artfynd.xlsx", "A 11528-2023")</f>
        <v/>
      </c>
      <c r="T322">
        <f>HYPERLINK("https://klasma.github.io/Logging_1814/kartor/A 11528-2023 karta.png", "A 11528-2023")</f>
        <v/>
      </c>
      <c r="V322">
        <f>HYPERLINK("https://klasma.github.io/Logging_1814/klagomål/A 11528-2023 FSC-klagomål.docx", "A 11528-2023")</f>
        <v/>
      </c>
      <c r="W322">
        <f>HYPERLINK("https://klasma.github.io/Logging_1814/klagomålsmail/A 11528-2023 FSC-klagomål mail.docx", "A 11528-2023")</f>
        <v/>
      </c>
      <c r="X322">
        <f>HYPERLINK("https://klasma.github.io/Logging_1814/tillsyn/A 11528-2023 tillsynsbegäran.docx", "A 11528-2023")</f>
        <v/>
      </c>
      <c r="Y322">
        <f>HYPERLINK("https://klasma.github.io/Logging_1814/tillsynsmail/A 11528-2023 tillsynsbegäran mail.docx", "A 11528-2023")</f>
        <v/>
      </c>
    </row>
    <row r="323" ht="15" customHeight="1">
      <c r="A323" t="inlineStr">
        <is>
          <t>A 13183-2023</t>
        </is>
      </c>
      <c r="B323" s="1" t="n">
        <v>45002</v>
      </c>
      <c r="C323" s="1" t="n">
        <v>45360</v>
      </c>
      <c r="D323" t="inlineStr">
        <is>
          <t>ÖREBRO LÄN</t>
        </is>
      </c>
      <c r="E323" t="inlineStr">
        <is>
          <t>HALLSBERG</t>
        </is>
      </c>
      <c r="F323" t="inlineStr">
        <is>
          <t>Allmännings- och besparingsskogar</t>
        </is>
      </c>
      <c r="G323" t="n">
        <v>3.2</v>
      </c>
      <c r="H323" t="n">
        <v>0</v>
      </c>
      <c r="I323" t="n">
        <v>1</v>
      </c>
      <c r="J323" t="n">
        <v>0</v>
      </c>
      <c r="K323" t="n">
        <v>0</v>
      </c>
      <c r="L323" t="n">
        <v>0</v>
      </c>
      <c r="M323" t="n">
        <v>0</v>
      </c>
      <c r="N323" t="n">
        <v>0</v>
      </c>
      <c r="O323" t="n">
        <v>0</v>
      </c>
      <c r="P323" t="n">
        <v>0</v>
      </c>
      <c r="Q323" t="n">
        <v>1</v>
      </c>
      <c r="R323" s="2" t="inlineStr">
        <is>
          <t>Ögonpyrola</t>
        </is>
      </c>
      <c r="S323">
        <f>HYPERLINK("https://klasma.github.io/Logging_1861/artfynd/A 13183-2023 artfynd.xlsx", "A 13183-2023")</f>
        <v/>
      </c>
      <c r="T323">
        <f>HYPERLINK("https://klasma.github.io/Logging_1861/kartor/A 13183-2023 karta.png", "A 13183-2023")</f>
        <v/>
      </c>
      <c r="V323">
        <f>HYPERLINK("https://klasma.github.io/Logging_1861/klagomål/A 13183-2023 FSC-klagomål.docx", "A 13183-2023")</f>
        <v/>
      </c>
      <c r="W323">
        <f>HYPERLINK("https://klasma.github.io/Logging_1861/klagomålsmail/A 13183-2023 FSC-klagomål mail.docx", "A 13183-2023")</f>
        <v/>
      </c>
      <c r="X323">
        <f>HYPERLINK("https://klasma.github.io/Logging_1861/tillsyn/A 13183-2023 tillsynsbegäran.docx", "A 13183-2023")</f>
        <v/>
      </c>
      <c r="Y323">
        <f>HYPERLINK("https://klasma.github.io/Logging_1861/tillsynsmail/A 13183-2023 tillsynsbegäran mail.docx", "A 13183-2023")</f>
        <v/>
      </c>
    </row>
    <row r="324" ht="15" customHeight="1">
      <c r="A324" t="inlineStr">
        <is>
          <t>A 13844-2023</t>
        </is>
      </c>
      <c r="B324" s="1" t="n">
        <v>45007</v>
      </c>
      <c r="C324" s="1" t="n">
        <v>45360</v>
      </c>
      <c r="D324" t="inlineStr">
        <is>
          <t>ÖREBRO LÄN</t>
        </is>
      </c>
      <c r="E324" t="inlineStr">
        <is>
          <t>HALLSBERG</t>
        </is>
      </c>
      <c r="G324" t="n">
        <v>2.2</v>
      </c>
      <c r="H324" t="n">
        <v>1</v>
      </c>
      <c r="I324" t="n">
        <v>0</v>
      </c>
      <c r="J324" t="n">
        <v>0</v>
      </c>
      <c r="K324" t="n">
        <v>0</v>
      </c>
      <c r="L324" t="n">
        <v>0</v>
      </c>
      <c r="M324" t="n">
        <v>0</v>
      </c>
      <c r="N324" t="n">
        <v>0</v>
      </c>
      <c r="O324" t="n">
        <v>0</v>
      </c>
      <c r="P324" t="n">
        <v>0</v>
      </c>
      <c r="Q324" t="n">
        <v>1</v>
      </c>
      <c r="R324" s="2" t="inlineStr">
        <is>
          <t>Revlummer</t>
        </is>
      </c>
      <c r="S324">
        <f>HYPERLINK("https://klasma.github.io/Logging_1861/artfynd/A 13844-2023 artfynd.xlsx", "A 13844-2023")</f>
        <v/>
      </c>
      <c r="T324">
        <f>HYPERLINK("https://klasma.github.io/Logging_1861/kartor/A 13844-2023 karta.png", "A 13844-2023")</f>
        <v/>
      </c>
      <c r="V324">
        <f>HYPERLINK("https://klasma.github.io/Logging_1861/klagomål/A 13844-2023 FSC-klagomål.docx", "A 13844-2023")</f>
        <v/>
      </c>
      <c r="W324">
        <f>HYPERLINK("https://klasma.github.io/Logging_1861/klagomålsmail/A 13844-2023 FSC-klagomål mail.docx", "A 13844-2023")</f>
        <v/>
      </c>
      <c r="X324">
        <f>HYPERLINK("https://klasma.github.io/Logging_1861/tillsyn/A 13844-2023 tillsynsbegäran.docx", "A 13844-2023")</f>
        <v/>
      </c>
      <c r="Y324">
        <f>HYPERLINK("https://klasma.github.io/Logging_1861/tillsynsmail/A 13844-2023 tillsynsbegäran mail.docx", "A 13844-2023")</f>
        <v/>
      </c>
    </row>
    <row r="325" ht="15" customHeight="1">
      <c r="A325" t="inlineStr">
        <is>
          <t>A 14542-2023</t>
        </is>
      </c>
      <c r="B325" s="1" t="n">
        <v>45013</v>
      </c>
      <c r="C325" s="1" t="n">
        <v>45360</v>
      </c>
      <c r="D325" t="inlineStr">
        <is>
          <t>ÖREBRO LÄN</t>
        </is>
      </c>
      <c r="E325" t="inlineStr">
        <is>
          <t>HALLSBERG</t>
        </is>
      </c>
      <c r="F325" t="inlineStr">
        <is>
          <t>Allmännings- och besparingsskogar</t>
        </is>
      </c>
      <c r="G325" t="n">
        <v>20.7</v>
      </c>
      <c r="H325" t="n">
        <v>0</v>
      </c>
      <c r="I325" t="n">
        <v>1</v>
      </c>
      <c r="J325" t="n">
        <v>0</v>
      </c>
      <c r="K325" t="n">
        <v>0</v>
      </c>
      <c r="L325" t="n">
        <v>0</v>
      </c>
      <c r="M325" t="n">
        <v>0</v>
      </c>
      <c r="N325" t="n">
        <v>0</v>
      </c>
      <c r="O325" t="n">
        <v>0</v>
      </c>
      <c r="P325" t="n">
        <v>0</v>
      </c>
      <c r="Q325" t="n">
        <v>1</v>
      </c>
      <c r="R325" s="2" t="inlineStr">
        <is>
          <t>Dvärgtufs</t>
        </is>
      </c>
      <c r="S325">
        <f>HYPERLINK("https://klasma.github.io/Logging_1861/artfynd/A 14542-2023 artfynd.xlsx", "A 14542-2023")</f>
        <v/>
      </c>
      <c r="T325">
        <f>HYPERLINK("https://klasma.github.io/Logging_1861/kartor/A 14542-2023 karta.png", "A 14542-2023")</f>
        <v/>
      </c>
      <c r="V325">
        <f>HYPERLINK("https://klasma.github.io/Logging_1861/klagomål/A 14542-2023 FSC-klagomål.docx", "A 14542-2023")</f>
        <v/>
      </c>
      <c r="W325">
        <f>HYPERLINK("https://klasma.github.io/Logging_1861/klagomålsmail/A 14542-2023 FSC-klagomål mail.docx", "A 14542-2023")</f>
        <v/>
      </c>
      <c r="X325">
        <f>HYPERLINK("https://klasma.github.io/Logging_1861/tillsyn/A 14542-2023 tillsynsbegäran.docx", "A 14542-2023")</f>
        <v/>
      </c>
      <c r="Y325">
        <f>HYPERLINK("https://klasma.github.io/Logging_1861/tillsynsmail/A 14542-2023 tillsynsbegäran mail.docx", "A 14542-2023")</f>
        <v/>
      </c>
    </row>
    <row r="326" ht="15" customHeight="1">
      <c r="A326" t="inlineStr">
        <is>
          <t>A 14534-2023</t>
        </is>
      </c>
      <c r="B326" s="1" t="n">
        <v>45013</v>
      </c>
      <c r="C326" s="1" t="n">
        <v>45360</v>
      </c>
      <c r="D326" t="inlineStr">
        <is>
          <t>ÖREBRO LÄN</t>
        </is>
      </c>
      <c r="E326" t="inlineStr">
        <is>
          <t>HALLSBERG</t>
        </is>
      </c>
      <c r="G326" t="n">
        <v>7.1</v>
      </c>
      <c r="H326" t="n">
        <v>0</v>
      </c>
      <c r="I326" t="n">
        <v>1</v>
      </c>
      <c r="J326" t="n">
        <v>0</v>
      </c>
      <c r="K326" t="n">
        <v>0</v>
      </c>
      <c r="L326" t="n">
        <v>0</v>
      </c>
      <c r="M326" t="n">
        <v>0</v>
      </c>
      <c r="N326" t="n">
        <v>0</v>
      </c>
      <c r="O326" t="n">
        <v>0</v>
      </c>
      <c r="P326" t="n">
        <v>0</v>
      </c>
      <c r="Q326" t="n">
        <v>1</v>
      </c>
      <c r="R326" s="2" t="inlineStr">
        <is>
          <t>Dropptaggsvamp</t>
        </is>
      </c>
      <c r="S326">
        <f>HYPERLINK("https://klasma.github.io/Logging_1861/artfynd/A 14534-2023 artfynd.xlsx", "A 14534-2023")</f>
        <v/>
      </c>
      <c r="T326">
        <f>HYPERLINK("https://klasma.github.io/Logging_1861/kartor/A 14534-2023 karta.png", "A 14534-2023")</f>
        <v/>
      </c>
      <c r="V326">
        <f>HYPERLINK("https://klasma.github.io/Logging_1861/klagomål/A 14534-2023 FSC-klagomål.docx", "A 14534-2023")</f>
        <v/>
      </c>
      <c r="W326">
        <f>HYPERLINK("https://klasma.github.io/Logging_1861/klagomålsmail/A 14534-2023 FSC-klagomål mail.docx", "A 14534-2023")</f>
        <v/>
      </c>
      <c r="X326">
        <f>HYPERLINK("https://klasma.github.io/Logging_1861/tillsyn/A 14534-2023 tillsynsbegäran.docx", "A 14534-2023")</f>
        <v/>
      </c>
      <c r="Y326">
        <f>HYPERLINK("https://klasma.github.io/Logging_1861/tillsynsmail/A 14534-2023 tillsynsbegäran mail.docx", "A 14534-2023")</f>
        <v/>
      </c>
    </row>
    <row r="327" ht="15" customHeight="1">
      <c r="A327" t="inlineStr">
        <is>
          <t>A 16677-2023</t>
        </is>
      </c>
      <c r="B327" s="1" t="n">
        <v>45030</v>
      </c>
      <c r="C327" s="1" t="n">
        <v>45360</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17018-2023</t>
        </is>
      </c>
      <c r="B328" s="1" t="n">
        <v>45034</v>
      </c>
      <c r="C328" s="1" t="n">
        <v>45360</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19939-2023</t>
        </is>
      </c>
      <c r="B329" s="1" t="n">
        <v>45054</v>
      </c>
      <c r="C329" s="1" t="n">
        <v>45360</v>
      </c>
      <c r="D329" t="inlineStr">
        <is>
          <t>ÖREBRO LÄN</t>
        </is>
      </c>
      <c r="E329" t="inlineStr">
        <is>
          <t>ÖREBRO</t>
        </is>
      </c>
      <c r="G329" t="n">
        <v>5.4</v>
      </c>
      <c r="H329" t="n">
        <v>0</v>
      </c>
      <c r="I329" t="n">
        <v>1</v>
      </c>
      <c r="J329" t="n">
        <v>0</v>
      </c>
      <c r="K329" t="n">
        <v>0</v>
      </c>
      <c r="L329" t="n">
        <v>0</v>
      </c>
      <c r="M329" t="n">
        <v>0</v>
      </c>
      <c r="N329" t="n">
        <v>0</v>
      </c>
      <c r="O329" t="n">
        <v>0</v>
      </c>
      <c r="P329" t="n">
        <v>0</v>
      </c>
      <c r="Q329" t="n">
        <v>1</v>
      </c>
      <c r="R329" s="2" t="inlineStr">
        <is>
          <t>Kambräken</t>
        </is>
      </c>
      <c r="S329">
        <f>HYPERLINK("https://klasma.github.io/Logging_1880/artfynd/A 19939-2023 artfynd.xlsx", "A 19939-2023")</f>
        <v/>
      </c>
      <c r="T329">
        <f>HYPERLINK("https://klasma.github.io/Logging_1880/kartor/A 19939-2023 karta.png", "A 19939-2023")</f>
        <v/>
      </c>
      <c r="V329">
        <f>HYPERLINK("https://klasma.github.io/Logging_1880/klagomål/A 19939-2023 FSC-klagomål.docx", "A 19939-2023")</f>
        <v/>
      </c>
      <c r="W329">
        <f>HYPERLINK("https://klasma.github.io/Logging_1880/klagomålsmail/A 19939-2023 FSC-klagomål mail.docx", "A 19939-2023")</f>
        <v/>
      </c>
      <c r="X329">
        <f>HYPERLINK("https://klasma.github.io/Logging_1880/tillsyn/A 19939-2023 tillsynsbegäran.docx", "A 19939-2023")</f>
        <v/>
      </c>
      <c r="Y329">
        <f>HYPERLINK("https://klasma.github.io/Logging_1880/tillsynsmail/A 19939-2023 tillsynsbegäran mail.docx", "A 19939-2023")</f>
        <v/>
      </c>
    </row>
    <row r="330" ht="15" customHeight="1">
      <c r="A330" t="inlineStr">
        <is>
          <t>A 20247-2023</t>
        </is>
      </c>
      <c r="B330" s="1" t="n">
        <v>45055</v>
      </c>
      <c r="C330" s="1" t="n">
        <v>45360</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20385-2023</t>
        </is>
      </c>
      <c r="B331" s="1" t="n">
        <v>45056</v>
      </c>
      <c r="C331" s="1" t="n">
        <v>45360</v>
      </c>
      <c r="D331" t="inlineStr">
        <is>
          <t>ÖREBRO LÄN</t>
        </is>
      </c>
      <c r="E331" t="inlineStr">
        <is>
          <t>LINDESBERG</t>
        </is>
      </c>
      <c r="G331" t="n">
        <v>1.7</v>
      </c>
      <c r="H331" t="n">
        <v>0</v>
      </c>
      <c r="I331" t="n">
        <v>0</v>
      </c>
      <c r="J331" t="n">
        <v>1</v>
      </c>
      <c r="K331" t="n">
        <v>0</v>
      </c>
      <c r="L331" t="n">
        <v>0</v>
      </c>
      <c r="M331" t="n">
        <v>0</v>
      </c>
      <c r="N331" t="n">
        <v>0</v>
      </c>
      <c r="O331" t="n">
        <v>1</v>
      </c>
      <c r="P331" t="n">
        <v>0</v>
      </c>
      <c r="Q331" t="n">
        <v>1</v>
      </c>
      <c r="R331" s="2" t="inlineStr">
        <is>
          <t>Dofttaggsvamp</t>
        </is>
      </c>
      <c r="S331">
        <f>HYPERLINK("https://klasma.github.io/Logging_1885/artfynd/A 20385-2023 artfynd.xlsx", "A 20385-2023")</f>
        <v/>
      </c>
      <c r="T331">
        <f>HYPERLINK("https://klasma.github.io/Logging_1885/kartor/A 20385-2023 karta.png", "A 20385-2023")</f>
        <v/>
      </c>
      <c r="V331">
        <f>HYPERLINK("https://klasma.github.io/Logging_1885/klagomål/A 20385-2023 FSC-klagomål.docx", "A 20385-2023")</f>
        <v/>
      </c>
      <c r="W331">
        <f>HYPERLINK("https://klasma.github.io/Logging_1885/klagomålsmail/A 20385-2023 FSC-klagomål mail.docx", "A 20385-2023")</f>
        <v/>
      </c>
      <c r="X331">
        <f>HYPERLINK("https://klasma.github.io/Logging_1885/tillsyn/A 20385-2023 tillsynsbegäran.docx", "A 20385-2023")</f>
        <v/>
      </c>
      <c r="Y331">
        <f>HYPERLINK("https://klasma.github.io/Logging_1885/tillsynsmail/A 20385-2023 tillsynsbegäran mail.docx", "A 20385-2023")</f>
        <v/>
      </c>
    </row>
    <row r="332" ht="15" customHeight="1">
      <c r="A332" t="inlineStr">
        <is>
          <t>A 22442-2023</t>
        </is>
      </c>
      <c r="B332" s="1" t="n">
        <v>45070</v>
      </c>
      <c r="C332" s="1" t="n">
        <v>45360</v>
      </c>
      <c r="D332" t="inlineStr">
        <is>
          <t>ÖREBRO LÄN</t>
        </is>
      </c>
      <c r="E332" t="inlineStr">
        <is>
          <t>NORA</t>
        </is>
      </c>
      <c r="G332" t="n">
        <v>2.4</v>
      </c>
      <c r="H332" t="n">
        <v>0</v>
      </c>
      <c r="I332" t="n">
        <v>0</v>
      </c>
      <c r="J332" t="n">
        <v>0</v>
      </c>
      <c r="K332" t="n">
        <v>0</v>
      </c>
      <c r="L332" t="n">
        <v>1</v>
      </c>
      <c r="M332" t="n">
        <v>0</v>
      </c>
      <c r="N332" t="n">
        <v>0</v>
      </c>
      <c r="O332" t="n">
        <v>1</v>
      </c>
      <c r="P332" t="n">
        <v>1</v>
      </c>
      <c r="Q332" t="n">
        <v>1</v>
      </c>
      <c r="R332" s="2" t="inlineStr">
        <is>
          <t>Ask</t>
        </is>
      </c>
      <c r="S332">
        <f>HYPERLINK("https://klasma.github.io/Logging_1884/artfynd/A 22442-2023 artfynd.xlsx", "A 22442-2023")</f>
        <v/>
      </c>
      <c r="T332">
        <f>HYPERLINK("https://klasma.github.io/Logging_1884/kartor/A 22442-2023 karta.png", "A 22442-2023")</f>
        <v/>
      </c>
      <c r="V332">
        <f>HYPERLINK("https://klasma.github.io/Logging_1884/klagomål/A 22442-2023 FSC-klagomål.docx", "A 22442-2023")</f>
        <v/>
      </c>
      <c r="W332">
        <f>HYPERLINK("https://klasma.github.io/Logging_1884/klagomålsmail/A 22442-2023 FSC-klagomål mail.docx", "A 22442-2023")</f>
        <v/>
      </c>
      <c r="X332">
        <f>HYPERLINK("https://klasma.github.io/Logging_1884/tillsyn/A 22442-2023 tillsynsbegäran.docx", "A 22442-2023")</f>
        <v/>
      </c>
      <c r="Y332">
        <f>HYPERLINK("https://klasma.github.io/Logging_1884/tillsynsmail/A 22442-2023 tillsynsbegäran mail.docx", "A 22442-2023")</f>
        <v/>
      </c>
    </row>
    <row r="333" ht="15" customHeight="1">
      <c r="A333" t="inlineStr">
        <is>
          <t>A 22447-2023</t>
        </is>
      </c>
      <c r="B333" s="1" t="n">
        <v>45070</v>
      </c>
      <c r="C333" s="1" t="n">
        <v>45360</v>
      </c>
      <c r="D333" t="inlineStr">
        <is>
          <t>ÖREBRO LÄN</t>
        </is>
      </c>
      <c r="E333" t="inlineStr">
        <is>
          <t>NORA</t>
        </is>
      </c>
      <c r="G333" t="n">
        <v>5.4</v>
      </c>
      <c r="H333" t="n">
        <v>0</v>
      </c>
      <c r="I333" t="n">
        <v>0</v>
      </c>
      <c r="J333" t="n">
        <v>0</v>
      </c>
      <c r="K333" t="n">
        <v>0</v>
      </c>
      <c r="L333" t="n">
        <v>1</v>
      </c>
      <c r="M333" t="n">
        <v>0</v>
      </c>
      <c r="N333" t="n">
        <v>0</v>
      </c>
      <c r="O333" t="n">
        <v>1</v>
      </c>
      <c r="P333" t="n">
        <v>1</v>
      </c>
      <c r="Q333" t="n">
        <v>1</v>
      </c>
      <c r="R333" s="2" t="inlineStr">
        <is>
          <t>Ask</t>
        </is>
      </c>
      <c r="S333">
        <f>HYPERLINK("https://klasma.github.io/Logging_1884/artfynd/A 22447-2023 artfynd.xlsx", "A 22447-2023")</f>
        <v/>
      </c>
      <c r="T333">
        <f>HYPERLINK("https://klasma.github.io/Logging_1884/kartor/A 22447-2023 karta.png", "A 22447-2023")</f>
        <v/>
      </c>
      <c r="V333">
        <f>HYPERLINK("https://klasma.github.io/Logging_1884/klagomål/A 22447-2023 FSC-klagomål.docx", "A 22447-2023")</f>
        <v/>
      </c>
      <c r="W333">
        <f>HYPERLINK("https://klasma.github.io/Logging_1884/klagomålsmail/A 22447-2023 FSC-klagomål mail.docx", "A 22447-2023")</f>
        <v/>
      </c>
      <c r="X333">
        <f>HYPERLINK("https://klasma.github.io/Logging_1884/tillsyn/A 22447-2023 tillsynsbegäran.docx", "A 22447-2023")</f>
        <v/>
      </c>
      <c r="Y333">
        <f>HYPERLINK("https://klasma.github.io/Logging_1884/tillsynsmail/A 22447-2023 tillsynsbegäran mail.docx", "A 22447-2023")</f>
        <v/>
      </c>
    </row>
    <row r="334" ht="15" customHeight="1">
      <c r="A334" t="inlineStr">
        <is>
          <t>A 22848-2023</t>
        </is>
      </c>
      <c r="B334" s="1" t="n">
        <v>45072</v>
      </c>
      <c r="C334" s="1" t="n">
        <v>45360</v>
      </c>
      <c r="D334" t="inlineStr">
        <is>
          <t>ÖREBRO LÄN</t>
        </is>
      </c>
      <c r="E334" t="inlineStr">
        <is>
          <t>ÖREBRO</t>
        </is>
      </c>
      <c r="G334" t="n">
        <v>3.6</v>
      </c>
      <c r="H334" t="n">
        <v>0</v>
      </c>
      <c r="I334" t="n">
        <v>1</v>
      </c>
      <c r="J334" t="n">
        <v>0</v>
      </c>
      <c r="K334" t="n">
        <v>0</v>
      </c>
      <c r="L334" t="n">
        <v>0</v>
      </c>
      <c r="M334" t="n">
        <v>0</v>
      </c>
      <c r="N334" t="n">
        <v>0</v>
      </c>
      <c r="O334" t="n">
        <v>0</v>
      </c>
      <c r="P334" t="n">
        <v>0</v>
      </c>
      <c r="Q334" t="n">
        <v>1</v>
      </c>
      <c r="R334" s="2" t="inlineStr">
        <is>
          <t>Blomkålssvamp</t>
        </is>
      </c>
      <c r="S334">
        <f>HYPERLINK("https://klasma.github.io/Logging_1880/artfynd/A 22848-2023 artfynd.xlsx", "A 22848-2023")</f>
        <v/>
      </c>
      <c r="T334">
        <f>HYPERLINK("https://klasma.github.io/Logging_1880/kartor/A 22848-2023 karta.png", "A 22848-2023")</f>
        <v/>
      </c>
      <c r="V334">
        <f>HYPERLINK("https://klasma.github.io/Logging_1880/klagomål/A 22848-2023 FSC-klagomål.docx", "A 22848-2023")</f>
        <v/>
      </c>
      <c r="W334">
        <f>HYPERLINK("https://klasma.github.io/Logging_1880/klagomålsmail/A 22848-2023 FSC-klagomål mail.docx", "A 22848-2023")</f>
        <v/>
      </c>
      <c r="X334">
        <f>HYPERLINK("https://klasma.github.io/Logging_1880/tillsyn/A 22848-2023 tillsynsbegäran.docx", "A 22848-2023")</f>
        <v/>
      </c>
      <c r="Y334">
        <f>HYPERLINK("https://klasma.github.io/Logging_1880/tillsynsmail/A 22848-2023 tillsynsbegäran mail.docx", "A 22848-2023")</f>
        <v/>
      </c>
    </row>
    <row r="335" ht="15" customHeight="1">
      <c r="A335" t="inlineStr">
        <is>
          <t>A 23107-2023</t>
        </is>
      </c>
      <c r="B335" s="1" t="n">
        <v>45075</v>
      </c>
      <c r="C335" s="1" t="n">
        <v>45360</v>
      </c>
      <c r="D335" t="inlineStr">
        <is>
          <t>ÖREBRO LÄN</t>
        </is>
      </c>
      <c r="E335" t="inlineStr">
        <is>
          <t>LINDESBERG</t>
        </is>
      </c>
      <c r="F335" t="inlineStr">
        <is>
          <t>Sveaskog</t>
        </is>
      </c>
      <c r="G335" t="n">
        <v>1.8</v>
      </c>
      <c r="H335" t="n">
        <v>1</v>
      </c>
      <c r="I335" t="n">
        <v>0</v>
      </c>
      <c r="J335" t="n">
        <v>1</v>
      </c>
      <c r="K335" t="n">
        <v>0</v>
      </c>
      <c r="L335" t="n">
        <v>0</v>
      </c>
      <c r="M335" t="n">
        <v>0</v>
      </c>
      <c r="N335" t="n">
        <v>0</v>
      </c>
      <c r="O335" t="n">
        <v>1</v>
      </c>
      <c r="P335" t="n">
        <v>0</v>
      </c>
      <c r="Q335" t="n">
        <v>1</v>
      </c>
      <c r="R335" s="2" t="inlineStr">
        <is>
          <t>Grönsångare</t>
        </is>
      </c>
      <c r="S335">
        <f>HYPERLINK("https://klasma.github.io/Logging_1885/artfynd/A 23107-2023 artfynd.xlsx", "A 23107-2023")</f>
        <v/>
      </c>
      <c r="T335">
        <f>HYPERLINK("https://klasma.github.io/Logging_1885/kartor/A 23107-2023 karta.png", "A 23107-2023")</f>
        <v/>
      </c>
      <c r="V335">
        <f>HYPERLINK("https://klasma.github.io/Logging_1885/klagomål/A 23107-2023 FSC-klagomål.docx", "A 23107-2023")</f>
        <v/>
      </c>
      <c r="W335">
        <f>HYPERLINK("https://klasma.github.io/Logging_1885/klagomålsmail/A 23107-2023 FSC-klagomål mail.docx", "A 23107-2023")</f>
        <v/>
      </c>
      <c r="X335">
        <f>HYPERLINK("https://klasma.github.io/Logging_1885/tillsyn/A 23107-2023 tillsynsbegäran.docx", "A 23107-2023")</f>
        <v/>
      </c>
      <c r="Y335">
        <f>HYPERLINK("https://klasma.github.io/Logging_1885/tillsynsmail/A 23107-2023 tillsynsbegäran mail.docx", "A 23107-2023")</f>
        <v/>
      </c>
    </row>
    <row r="336" ht="15" customHeight="1">
      <c r="A336" t="inlineStr">
        <is>
          <t>A 23153-2023</t>
        </is>
      </c>
      <c r="B336" s="1" t="n">
        <v>45075</v>
      </c>
      <c r="C336" s="1" t="n">
        <v>45360</v>
      </c>
      <c r="D336" t="inlineStr">
        <is>
          <t>ÖREBRO LÄN</t>
        </is>
      </c>
      <c r="E336" t="inlineStr">
        <is>
          <t>LINDESBERG</t>
        </is>
      </c>
      <c r="F336" t="inlineStr">
        <is>
          <t>Sveaskog</t>
        </is>
      </c>
      <c r="G336" t="n">
        <v>3.1</v>
      </c>
      <c r="H336" t="n">
        <v>0</v>
      </c>
      <c r="I336" t="n">
        <v>0</v>
      </c>
      <c r="J336" t="n">
        <v>1</v>
      </c>
      <c r="K336" t="n">
        <v>0</v>
      </c>
      <c r="L336" t="n">
        <v>0</v>
      </c>
      <c r="M336" t="n">
        <v>0</v>
      </c>
      <c r="N336" t="n">
        <v>0</v>
      </c>
      <c r="O336" t="n">
        <v>1</v>
      </c>
      <c r="P336" t="n">
        <v>0</v>
      </c>
      <c r="Q336" t="n">
        <v>1</v>
      </c>
      <c r="R336" s="2" t="inlineStr">
        <is>
          <t>Skogsklocka</t>
        </is>
      </c>
      <c r="S336">
        <f>HYPERLINK("https://klasma.github.io/Logging_1885/artfynd/A 23153-2023 artfynd.xlsx", "A 23153-2023")</f>
        <v/>
      </c>
      <c r="T336">
        <f>HYPERLINK("https://klasma.github.io/Logging_1885/kartor/A 23153-2023 karta.png", "A 23153-2023")</f>
        <v/>
      </c>
      <c r="V336">
        <f>HYPERLINK("https://klasma.github.io/Logging_1885/klagomål/A 23153-2023 FSC-klagomål.docx", "A 23153-2023")</f>
        <v/>
      </c>
      <c r="W336">
        <f>HYPERLINK("https://klasma.github.io/Logging_1885/klagomålsmail/A 23153-2023 FSC-klagomål mail.docx", "A 23153-2023")</f>
        <v/>
      </c>
      <c r="X336">
        <f>HYPERLINK("https://klasma.github.io/Logging_1885/tillsyn/A 23153-2023 tillsynsbegäran.docx", "A 23153-2023")</f>
        <v/>
      </c>
      <c r="Y336">
        <f>HYPERLINK("https://klasma.github.io/Logging_1885/tillsynsmail/A 23153-2023 tillsynsbegäran mail.docx", "A 23153-2023")</f>
        <v/>
      </c>
    </row>
    <row r="337" ht="15" customHeight="1">
      <c r="A337" t="inlineStr">
        <is>
          <t>A 23608-2023</t>
        </is>
      </c>
      <c r="B337" s="1" t="n">
        <v>45077</v>
      </c>
      <c r="C337" s="1" t="n">
        <v>45360</v>
      </c>
      <c r="D337" t="inlineStr">
        <is>
          <t>ÖREBRO LÄN</t>
        </is>
      </c>
      <c r="E337" t="inlineStr">
        <is>
          <t>ÖREBRO</t>
        </is>
      </c>
      <c r="G337" t="n">
        <v>5.8</v>
      </c>
      <c r="H337" t="n">
        <v>1</v>
      </c>
      <c r="I337" t="n">
        <v>0</v>
      </c>
      <c r="J337" t="n">
        <v>1</v>
      </c>
      <c r="K337" t="n">
        <v>0</v>
      </c>
      <c r="L337" t="n">
        <v>0</v>
      </c>
      <c r="M337" t="n">
        <v>0</v>
      </c>
      <c r="N337" t="n">
        <v>0</v>
      </c>
      <c r="O337" t="n">
        <v>1</v>
      </c>
      <c r="P337" t="n">
        <v>0</v>
      </c>
      <c r="Q337" t="n">
        <v>1</v>
      </c>
      <c r="R337" s="2" t="inlineStr">
        <is>
          <t>Havsörn</t>
        </is>
      </c>
      <c r="S337">
        <f>HYPERLINK("https://klasma.github.io/Logging_1880/artfynd/A 23608-2023 artfynd.xlsx", "A 23608-2023")</f>
        <v/>
      </c>
      <c r="T337">
        <f>HYPERLINK("https://klasma.github.io/Logging_1880/kartor/A 23608-2023 karta.png", "A 23608-2023")</f>
        <v/>
      </c>
      <c r="V337">
        <f>HYPERLINK("https://klasma.github.io/Logging_1880/klagomål/A 23608-2023 FSC-klagomål.docx", "A 23608-2023")</f>
        <v/>
      </c>
      <c r="W337">
        <f>HYPERLINK("https://klasma.github.io/Logging_1880/klagomålsmail/A 23608-2023 FSC-klagomål mail.docx", "A 23608-2023")</f>
        <v/>
      </c>
      <c r="X337">
        <f>HYPERLINK("https://klasma.github.io/Logging_1880/tillsyn/A 23608-2023 tillsynsbegäran.docx", "A 23608-2023")</f>
        <v/>
      </c>
      <c r="Y337">
        <f>HYPERLINK("https://klasma.github.io/Logging_1880/tillsynsmail/A 23608-2023 tillsynsbegäran mail.docx", "A 23608-2023")</f>
        <v/>
      </c>
      <c r="Z337">
        <f>HYPERLINK("https://klasma.github.io/Logging_1880/fåglar/A 23608-2023 prioriterade fågelarter.docx", "A 23608-2023")</f>
        <v/>
      </c>
    </row>
    <row r="338" ht="15" customHeight="1">
      <c r="A338" t="inlineStr">
        <is>
          <t>A 23874-2023</t>
        </is>
      </c>
      <c r="B338" s="1" t="n">
        <v>45078</v>
      </c>
      <c r="C338" s="1" t="n">
        <v>45360</v>
      </c>
      <c r="D338" t="inlineStr">
        <is>
          <t>ÖREBRO LÄN</t>
        </is>
      </c>
      <c r="E338" t="inlineStr">
        <is>
          <t>NORA</t>
        </is>
      </c>
      <c r="G338" t="n">
        <v>1.2</v>
      </c>
      <c r="H338" t="n">
        <v>0</v>
      </c>
      <c r="I338" t="n">
        <v>0</v>
      </c>
      <c r="J338" t="n">
        <v>1</v>
      </c>
      <c r="K338" t="n">
        <v>0</v>
      </c>
      <c r="L338" t="n">
        <v>0</v>
      </c>
      <c r="M338" t="n">
        <v>0</v>
      </c>
      <c r="N338" t="n">
        <v>0</v>
      </c>
      <c r="O338" t="n">
        <v>1</v>
      </c>
      <c r="P338" t="n">
        <v>0</v>
      </c>
      <c r="Q338" t="n">
        <v>1</v>
      </c>
      <c r="R338" s="2" t="inlineStr">
        <is>
          <t>Brunklöver</t>
        </is>
      </c>
      <c r="S338">
        <f>HYPERLINK("https://klasma.github.io/Logging_1884/artfynd/A 23874-2023 artfynd.xlsx", "A 23874-2023")</f>
        <v/>
      </c>
      <c r="T338">
        <f>HYPERLINK("https://klasma.github.io/Logging_1884/kartor/A 23874-2023 karta.png", "A 23874-2023")</f>
        <v/>
      </c>
      <c r="V338">
        <f>HYPERLINK("https://klasma.github.io/Logging_1884/klagomål/A 23874-2023 FSC-klagomål.docx", "A 23874-2023")</f>
        <v/>
      </c>
      <c r="W338">
        <f>HYPERLINK("https://klasma.github.io/Logging_1884/klagomålsmail/A 23874-2023 FSC-klagomål mail.docx", "A 23874-2023")</f>
        <v/>
      </c>
      <c r="X338">
        <f>HYPERLINK("https://klasma.github.io/Logging_1884/tillsyn/A 23874-2023 tillsynsbegäran.docx", "A 23874-2023")</f>
        <v/>
      </c>
      <c r="Y338">
        <f>HYPERLINK("https://klasma.github.io/Logging_1884/tillsynsmail/A 23874-2023 tillsynsbegäran mail.docx", "A 23874-2023")</f>
        <v/>
      </c>
    </row>
    <row r="339" ht="15" customHeight="1">
      <c r="A339" t="inlineStr">
        <is>
          <t>A 24357-2023</t>
        </is>
      </c>
      <c r="B339" s="1" t="n">
        <v>45082</v>
      </c>
      <c r="C339" s="1" t="n">
        <v>45360</v>
      </c>
      <c r="D339" t="inlineStr">
        <is>
          <t>ÖREBRO LÄN</t>
        </is>
      </c>
      <c r="E339" t="inlineStr">
        <is>
          <t>HÄLLEFORS</t>
        </is>
      </c>
      <c r="F339" t="inlineStr">
        <is>
          <t>Sveaskog</t>
        </is>
      </c>
      <c r="G339" t="n">
        <v>9</v>
      </c>
      <c r="H339" t="n">
        <v>1</v>
      </c>
      <c r="I339" t="n">
        <v>0</v>
      </c>
      <c r="J339" t="n">
        <v>0</v>
      </c>
      <c r="K339" t="n">
        <v>0</v>
      </c>
      <c r="L339" t="n">
        <v>0</v>
      </c>
      <c r="M339" t="n">
        <v>0</v>
      </c>
      <c r="N339" t="n">
        <v>0</v>
      </c>
      <c r="O339" t="n">
        <v>0</v>
      </c>
      <c r="P339" t="n">
        <v>0</v>
      </c>
      <c r="Q339" t="n">
        <v>1</v>
      </c>
      <c r="R339" s="2" t="inlineStr">
        <is>
          <t>Fläcknycklar</t>
        </is>
      </c>
      <c r="S339">
        <f>HYPERLINK("https://klasma.github.io/Logging_1863/artfynd/A 24357-2023 artfynd.xlsx", "A 24357-2023")</f>
        <v/>
      </c>
      <c r="T339">
        <f>HYPERLINK("https://klasma.github.io/Logging_1863/kartor/A 24357-2023 karta.png", "A 24357-2023")</f>
        <v/>
      </c>
      <c r="V339">
        <f>HYPERLINK("https://klasma.github.io/Logging_1863/klagomål/A 24357-2023 FSC-klagomål.docx", "A 24357-2023")</f>
        <v/>
      </c>
      <c r="W339">
        <f>HYPERLINK("https://klasma.github.io/Logging_1863/klagomålsmail/A 24357-2023 FSC-klagomål mail.docx", "A 24357-2023")</f>
        <v/>
      </c>
      <c r="X339">
        <f>HYPERLINK("https://klasma.github.io/Logging_1863/tillsyn/A 24357-2023 tillsynsbegäran.docx", "A 24357-2023")</f>
        <v/>
      </c>
      <c r="Y339">
        <f>HYPERLINK("https://klasma.github.io/Logging_1863/tillsynsmail/A 24357-2023 tillsynsbegäran mail.docx", "A 24357-2023")</f>
        <v/>
      </c>
    </row>
    <row r="340" ht="15" customHeight="1">
      <c r="A340" t="inlineStr">
        <is>
          <t>A 24355-2023</t>
        </is>
      </c>
      <c r="B340" s="1" t="n">
        <v>45082</v>
      </c>
      <c r="C340" s="1" t="n">
        <v>45360</v>
      </c>
      <c r="D340" t="inlineStr">
        <is>
          <t>ÖREBRO LÄN</t>
        </is>
      </c>
      <c r="E340" t="inlineStr">
        <is>
          <t>NORA</t>
        </is>
      </c>
      <c r="F340" t="inlineStr">
        <is>
          <t>Sveaskog</t>
        </is>
      </c>
      <c r="G340" t="n">
        <v>4.7</v>
      </c>
      <c r="H340" t="n">
        <v>0</v>
      </c>
      <c r="I340" t="n">
        <v>0</v>
      </c>
      <c r="J340" t="n">
        <v>1</v>
      </c>
      <c r="K340" t="n">
        <v>0</v>
      </c>
      <c r="L340" t="n">
        <v>0</v>
      </c>
      <c r="M340" t="n">
        <v>0</v>
      </c>
      <c r="N340" t="n">
        <v>0</v>
      </c>
      <c r="O340" t="n">
        <v>1</v>
      </c>
      <c r="P340" t="n">
        <v>0</v>
      </c>
      <c r="Q340" t="n">
        <v>1</v>
      </c>
      <c r="R340" s="2" t="inlineStr">
        <is>
          <t>Tallticka</t>
        </is>
      </c>
      <c r="S340">
        <f>HYPERLINK("https://klasma.github.io/Logging_1884/artfynd/A 24355-2023 artfynd.xlsx", "A 24355-2023")</f>
        <v/>
      </c>
      <c r="T340">
        <f>HYPERLINK("https://klasma.github.io/Logging_1884/kartor/A 24355-2023 karta.png", "A 24355-2023")</f>
        <v/>
      </c>
      <c r="U340">
        <f>HYPERLINK("https://klasma.github.io/Logging_1884/knärot/A 24355-2023 karta knärot.png", "A 24355-2023")</f>
        <v/>
      </c>
      <c r="V340">
        <f>HYPERLINK("https://klasma.github.io/Logging_1884/klagomål/A 24355-2023 FSC-klagomål.docx", "A 24355-2023")</f>
        <v/>
      </c>
      <c r="W340">
        <f>HYPERLINK("https://klasma.github.io/Logging_1884/klagomålsmail/A 24355-2023 FSC-klagomål mail.docx", "A 24355-2023")</f>
        <v/>
      </c>
      <c r="X340">
        <f>HYPERLINK("https://klasma.github.io/Logging_1884/tillsyn/A 24355-2023 tillsynsbegäran.docx", "A 24355-2023")</f>
        <v/>
      </c>
      <c r="Y340">
        <f>HYPERLINK("https://klasma.github.io/Logging_1884/tillsynsmail/A 24355-2023 tillsynsbegäran mail.docx", "A 24355-2023")</f>
        <v/>
      </c>
    </row>
    <row r="341" ht="15" customHeight="1">
      <c r="A341" t="inlineStr">
        <is>
          <t>A 24356-2023</t>
        </is>
      </c>
      <c r="B341" s="1" t="n">
        <v>45082</v>
      </c>
      <c r="C341" s="1" t="n">
        <v>45360</v>
      </c>
      <c r="D341" t="inlineStr">
        <is>
          <t>ÖREBRO LÄN</t>
        </is>
      </c>
      <c r="E341" t="inlineStr">
        <is>
          <t>NORA</t>
        </is>
      </c>
      <c r="F341" t="inlineStr">
        <is>
          <t>Sveaskog</t>
        </is>
      </c>
      <c r="G341" t="n">
        <v>15.3</v>
      </c>
      <c r="H341" t="n">
        <v>1</v>
      </c>
      <c r="I341" t="n">
        <v>0</v>
      </c>
      <c r="J341" t="n">
        <v>0</v>
      </c>
      <c r="K341" t="n">
        <v>1</v>
      </c>
      <c r="L341" t="n">
        <v>0</v>
      </c>
      <c r="M341" t="n">
        <v>0</v>
      </c>
      <c r="N341" t="n">
        <v>0</v>
      </c>
      <c r="O341" t="n">
        <v>1</v>
      </c>
      <c r="P341" t="n">
        <v>1</v>
      </c>
      <c r="Q341" t="n">
        <v>1</v>
      </c>
      <c r="R341" s="2" t="inlineStr">
        <is>
          <t>Knärot</t>
        </is>
      </c>
      <c r="S341">
        <f>HYPERLINK("https://klasma.github.io/Logging_1884/artfynd/A 24356-2023 artfynd.xlsx", "A 24356-2023")</f>
        <v/>
      </c>
      <c r="T341">
        <f>HYPERLINK("https://klasma.github.io/Logging_1884/kartor/A 24356-2023 karta.png", "A 24356-2023")</f>
        <v/>
      </c>
      <c r="U341">
        <f>HYPERLINK("https://klasma.github.io/Logging_1884/knärot/A 24356-2023 karta knärot.png", "A 24356-2023")</f>
        <v/>
      </c>
      <c r="V341">
        <f>HYPERLINK("https://klasma.github.io/Logging_1884/klagomål/A 24356-2023 FSC-klagomål.docx", "A 24356-2023")</f>
        <v/>
      </c>
      <c r="W341">
        <f>HYPERLINK("https://klasma.github.io/Logging_1884/klagomålsmail/A 24356-2023 FSC-klagomål mail.docx", "A 24356-2023")</f>
        <v/>
      </c>
      <c r="X341">
        <f>HYPERLINK("https://klasma.github.io/Logging_1884/tillsyn/A 24356-2023 tillsynsbegäran.docx", "A 24356-2023")</f>
        <v/>
      </c>
      <c r="Y341">
        <f>HYPERLINK("https://klasma.github.io/Logging_1884/tillsynsmail/A 24356-2023 tillsynsbegäran mail.docx", "A 24356-2023")</f>
        <v/>
      </c>
    </row>
    <row r="342" ht="15" customHeight="1">
      <c r="A342" t="inlineStr">
        <is>
          <t>A 27073-2023</t>
        </is>
      </c>
      <c r="B342" s="1" t="n">
        <v>45096</v>
      </c>
      <c r="C342" s="1" t="n">
        <v>45360</v>
      </c>
      <c r="D342" t="inlineStr">
        <is>
          <t>ÖREBRO LÄN</t>
        </is>
      </c>
      <c r="E342" t="inlineStr">
        <is>
          <t>HALLSBERG</t>
        </is>
      </c>
      <c r="G342" t="n">
        <v>0.8</v>
      </c>
      <c r="H342" t="n">
        <v>0</v>
      </c>
      <c r="I342" t="n">
        <v>0</v>
      </c>
      <c r="J342" t="n">
        <v>1</v>
      </c>
      <c r="K342" t="n">
        <v>0</v>
      </c>
      <c r="L342" t="n">
        <v>0</v>
      </c>
      <c r="M342" t="n">
        <v>0</v>
      </c>
      <c r="N342" t="n">
        <v>0</v>
      </c>
      <c r="O342" t="n">
        <v>1</v>
      </c>
      <c r="P342" t="n">
        <v>0</v>
      </c>
      <c r="Q342" t="n">
        <v>1</v>
      </c>
      <c r="R342" s="2" t="inlineStr">
        <is>
          <t>Ullticka</t>
        </is>
      </c>
      <c r="S342">
        <f>HYPERLINK("https://klasma.github.io/Logging_1861/artfynd/A 27073-2023 artfynd.xlsx", "A 27073-2023")</f>
        <v/>
      </c>
      <c r="T342">
        <f>HYPERLINK("https://klasma.github.io/Logging_1861/kartor/A 27073-2023 karta.png", "A 27073-2023")</f>
        <v/>
      </c>
      <c r="V342">
        <f>HYPERLINK("https://klasma.github.io/Logging_1861/klagomål/A 27073-2023 FSC-klagomål.docx", "A 27073-2023")</f>
        <v/>
      </c>
      <c r="W342">
        <f>HYPERLINK("https://klasma.github.io/Logging_1861/klagomålsmail/A 27073-2023 FSC-klagomål mail.docx", "A 27073-2023")</f>
        <v/>
      </c>
      <c r="X342">
        <f>HYPERLINK("https://klasma.github.io/Logging_1861/tillsyn/A 27073-2023 tillsynsbegäran.docx", "A 27073-2023")</f>
        <v/>
      </c>
      <c r="Y342">
        <f>HYPERLINK("https://klasma.github.io/Logging_1861/tillsynsmail/A 27073-2023 tillsynsbegäran mail.docx", "A 27073-2023")</f>
        <v/>
      </c>
    </row>
    <row r="343" ht="15" customHeight="1">
      <c r="A343" t="inlineStr">
        <is>
          <t>A 28782-2023</t>
        </is>
      </c>
      <c r="B343" s="1" t="n">
        <v>45104</v>
      </c>
      <c r="C343" s="1" t="n">
        <v>45360</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45360</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45360</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45360</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45360</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45360</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45360</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45360</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45360</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row>
    <row r="352" ht="15" customHeight="1">
      <c r="A352" t="inlineStr">
        <is>
          <t>A 34042-2023</t>
        </is>
      </c>
      <c r="B352" s="1" t="n">
        <v>45125</v>
      </c>
      <c r="C352" s="1" t="n">
        <v>45360</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45360</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45360</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45360</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45360</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37915-2023</t>
        </is>
      </c>
      <c r="B357" s="1" t="n">
        <v>45160</v>
      </c>
      <c r="C357" s="1" t="n">
        <v>45360</v>
      </c>
      <c r="D357" t="inlineStr">
        <is>
          <t>ÖREBRO LÄN</t>
        </is>
      </c>
      <c r="E357" t="inlineStr">
        <is>
          <t>LINDESBERG</t>
        </is>
      </c>
      <c r="F357" t="inlineStr">
        <is>
          <t>Kommuner</t>
        </is>
      </c>
      <c r="G357" t="n">
        <v>1.2</v>
      </c>
      <c r="H357" t="n">
        <v>0</v>
      </c>
      <c r="I357" t="n">
        <v>0</v>
      </c>
      <c r="J357" t="n">
        <v>1</v>
      </c>
      <c r="K357" t="n">
        <v>0</v>
      </c>
      <c r="L357" t="n">
        <v>0</v>
      </c>
      <c r="M357" t="n">
        <v>0</v>
      </c>
      <c r="N357" t="n">
        <v>0</v>
      </c>
      <c r="O357" t="n">
        <v>1</v>
      </c>
      <c r="P357" t="n">
        <v>0</v>
      </c>
      <c r="Q357" t="n">
        <v>1</v>
      </c>
      <c r="R357" s="2" t="inlineStr">
        <is>
          <t>Skogsklocka</t>
        </is>
      </c>
      <c r="S357">
        <f>HYPERLINK("https://klasma.github.io/Logging_1885/artfynd/A 37915-2023 artfynd.xlsx", "A 37915-2023")</f>
        <v/>
      </c>
      <c r="T357">
        <f>HYPERLINK("https://klasma.github.io/Logging_1885/kartor/A 37915-2023 karta.png", "A 37915-2023")</f>
        <v/>
      </c>
      <c r="V357">
        <f>HYPERLINK("https://klasma.github.io/Logging_1885/klagomål/A 37915-2023 FSC-klagomål.docx", "A 37915-2023")</f>
        <v/>
      </c>
      <c r="W357">
        <f>HYPERLINK("https://klasma.github.io/Logging_1885/klagomålsmail/A 37915-2023 FSC-klagomål mail.docx", "A 37915-2023")</f>
        <v/>
      </c>
      <c r="X357">
        <f>HYPERLINK("https://klasma.github.io/Logging_1885/tillsyn/A 37915-2023 tillsynsbegäran.docx", "A 37915-2023")</f>
        <v/>
      </c>
      <c r="Y357">
        <f>HYPERLINK("https://klasma.github.io/Logging_1885/tillsynsmail/A 37915-2023 tillsynsbegäran mail.docx", "A 37915-2023")</f>
        <v/>
      </c>
    </row>
    <row r="358" ht="15" customHeight="1">
      <c r="A358" t="inlineStr">
        <is>
          <t>A 40966-2023</t>
        </is>
      </c>
      <c r="B358" s="1" t="n">
        <v>45169</v>
      </c>
      <c r="C358" s="1" t="n">
        <v>45360</v>
      </c>
      <c r="D358" t="inlineStr">
        <is>
          <t>ÖREBRO LÄN</t>
        </is>
      </c>
      <c r="E358" t="inlineStr">
        <is>
          <t>LINDESBERG</t>
        </is>
      </c>
      <c r="G358" t="n">
        <v>10.4</v>
      </c>
      <c r="H358" t="n">
        <v>0</v>
      </c>
      <c r="I358" t="n">
        <v>1</v>
      </c>
      <c r="J358" t="n">
        <v>0</v>
      </c>
      <c r="K358" t="n">
        <v>0</v>
      </c>
      <c r="L358" t="n">
        <v>0</v>
      </c>
      <c r="M358" t="n">
        <v>0</v>
      </c>
      <c r="N358" t="n">
        <v>0</v>
      </c>
      <c r="O358" t="n">
        <v>0</v>
      </c>
      <c r="P358" t="n">
        <v>0</v>
      </c>
      <c r="Q358" t="n">
        <v>1</v>
      </c>
      <c r="R358" s="2" t="inlineStr">
        <is>
          <t>Stuplav</t>
        </is>
      </c>
      <c r="S358">
        <f>HYPERLINK("https://klasma.github.io/Logging_1885/artfynd/A 40966-2023 artfynd.xlsx", "A 40966-2023")</f>
        <v/>
      </c>
      <c r="T358">
        <f>HYPERLINK("https://klasma.github.io/Logging_1885/kartor/A 40966-2023 karta.png", "A 40966-2023")</f>
        <v/>
      </c>
      <c r="V358">
        <f>HYPERLINK("https://klasma.github.io/Logging_1885/klagomål/A 40966-2023 FSC-klagomål.docx", "A 40966-2023")</f>
        <v/>
      </c>
      <c r="W358">
        <f>HYPERLINK("https://klasma.github.io/Logging_1885/klagomålsmail/A 40966-2023 FSC-klagomål mail.docx", "A 40966-2023")</f>
        <v/>
      </c>
      <c r="X358">
        <f>HYPERLINK("https://klasma.github.io/Logging_1885/tillsyn/A 40966-2023 tillsynsbegäran.docx", "A 40966-2023")</f>
        <v/>
      </c>
      <c r="Y358">
        <f>HYPERLINK("https://klasma.github.io/Logging_1885/tillsynsmail/A 40966-2023 tillsynsbegäran mail.docx", "A 40966-2023")</f>
        <v/>
      </c>
    </row>
    <row r="359" ht="15" customHeight="1">
      <c r="A359" t="inlineStr">
        <is>
          <t>A 40812-2023</t>
        </is>
      </c>
      <c r="B359" s="1" t="n">
        <v>45171</v>
      </c>
      <c r="C359" s="1" t="n">
        <v>45360</v>
      </c>
      <c r="D359" t="inlineStr">
        <is>
          <t>ÖREBRO LÄN</t>
        </is>
      </c>
      <c r="E359" t="inlineStr">
        <is>
          <t>LJUSNARSBERG</t>
        </is>
      </c>
      <c r="G359" t="n">
        <v>3.1</v>
      </c>
      <c r="H359" t="n">
        <v>1</v>
      </c>
      <c r="I359" t="n">
        <v>0</v>
      </c>
      <c r="J359" t="n">
        <v>1</v>
      </c>
      <c r="K359" t="n">
        <v>0</v>
      </c>
      <c r="L359" t="n">
        <v>0</v>
      </c>
      <c r="M359" t="n">
        <v>0</v>
      </c>
      <c r="N359" t="n">
        <v>0</v>
      </c>
      <c r="O359" t="n">
        <v>1</v>
      </c>
      <c r="P359" t="n">
        <v>0</v>
      </c>
      <c r="Q359" t="n">
        <v>1</v>
      </c>
      <c r="R359" s="2" t="inlineStr">
        <is>
          <t>Talltita</t>
        </is>
      </c>
      <c r="S359">
        <f>HYPERLINK("https://klasma.github.io/Logging_1864/artfynd/A 40812-2023 artfynd.xlsx", "A 40812-2023")</f>
        <v/>
      </c>
      <c r="T359">
        <f>HYPERLINK("https://klasma.github.io/Logging_1864/kartor/A 40812-2023 karta.png", "A 40812-2023")</f>
        <v/>
      </c>
      <c r="V359">
        <f>HYPERLINK("https://klasma.github.io/Logging_1864/klagomål/A 40812-2023 FSC-klagomål.docx", "A 40812-2023")</f>
        <v/>
      </c>
      <c r="W359">
        <f>HYPERLINK("https://klasma.github.io/Logging_1864/klagomålsmail/A 40812-2023 FSC-klagomål mail.docx", "A 40812-2023")</f>
        <v/>
      </c>
      <c r="X359">
        <f>HYPERLINK("https://klasma.github.io/Logging_1864/tillsyn/A 40812-2023 tillsynsbegäran.docx", "A 40812-2023")</f>
        <v/>
      </c>
      <c r="Y359">
        <f>HYPERLINK("https://klasma.github.io/Logging_1864/tillsynsmail/A 40812-2023 tillsynsbegäran mail.docx", "A 40812-2023")</f>
        <v/>
      </c>
      <c r="Z359">
        <f>HYPERLINK("https://klasma.github.io/Logging_1864/fåglar/A 40812-2023 prioriterade fågelarter.docx", "A 40812-2023")</f>
        <v/>
      </c>
    </row>
    <row r="360" ht="15" customHeight="1">
      <c r="A360" t="inlineStr">
        <is>
          <t>A 41834-2023</t>
        </is>
      </c>
      <c r="B360" s="1" t="n">
        <v>45176</v>
      </c>
      <c r="C360" s="1" t="n">
        <v>45360</v>
      </c>
      <c r="D360" t="inlineStr">
        <is>
          <t>ÖREBRO LÄN</t>
        </is>
      </c>
      <c r="E360" t="inlineStr">
        <is>
          <t>HÄLLEFORS</t>
        </is>
      </c>
      <c r="F360" t="inlineStr">
        <is>
          <t>Bergvik skog väst AB</t>
        </is>
      </c>
      <c r="G360" t="n">
        <v>3.4</v>
      </c>
      <c r="H360" t="n">
        <v>1</v>
      </c>
      <c r="I360" t="n">
        <v>1</v>
      </c>
      <c r="J360" t="n">
        <v>0</v>
      </c>
      <c r="K360" t="n">
        <v>0</v>
      </c>
      <c r="L360" t="n">
        <v>0</v>
      </c>
      <c r="M360" t="n">
        <v>0</v>
      </c>
      <c r="N360" t="n">
        <v>0</v>
      </c>
      <c r="O360" t="n">
        <v>0</v>
      </c>
      <c r="P360" t="n">
        <v>0</v>
      </c>
      <c r="Q360" t="n">
        <v>1</v>
      </c>
      <c r="R360" s="2" t="inlineStr">
        <is>
          <t>Plattlummer</t>
        </is>
      </c>
      <c r="S360">
        <f>HYPERLINK("https://klasma.github.io/Logging_1863/artfynd/A 41834-2023 artfynd.xlsx", "A 41834-2023")</f>
        <v/>
      </c>
      <c r="T360">
        <f>HYPERLINK("https://klasma.github.io/Logging_1863/kartor/A 41834-2023 karta.png", "A 41834-2023")</f>
        <v/>
      </c>
      <c r="V360">
        <f>HYPERLINK("https://klasma.github.io/Logging_1863/klagomål/A 41834-2023 FSC-klagomål.docx", "A 41834-2023")</f>
        <v/>
      </c>
      <c r="W360">
        <f>HYPERLINK("https://klasma.github.io/Logging_1863/klagomålsmail/A 41834-2023 FSC-klagomål mail.docx", "A 41834-2023")</f>
        <v/>
      </c>
      <c r="X360">
        <f>HYPERLINK("https://klasma.github.io/Logging_1863/tillsyn/A 41834-2023 tillsynsbegäran.docx", "A 41834-2023")</f>
        <v/>
      </c>
      <c r="Y360">
        <f>HYPERLINK("https://klasma.github.io/Logging_1863/tillsynsmail/A 41834-2023 tillsynsbegäran mail.docx", "A 41834-2023")</f>
        <v/>
      </c>
    </row>
    <row r="361" ht="15" customHeight="1">
      <c r="A361" t="inlineStr">
        <is>
          <t>A 44863-2023</t>
        </is>
      </c>
      <c r="B361" s="1" t="n">
        <v>45190</v>
      </c>
      <c r="C361" s="1" t="n">
        <v>45360</v>
      </c>
      <c r="D361" t="inlineStr">
        <is>
          <t>ÖREBRO LÄN</t>
        </is>
      </c>
      <c r="E361" t="inlineStr">
        <is>
          <t>HALLSBERG</t>
        </is>
      </c>
      <c r="F361" t="inlineStr">
        <is>
          <t>Allmännings- och besparingsskogar</t>
        </is>
      </c>
      <c r="G361" t="n">
        <v>12.5</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44863-2023 artfynd.xlsx", "A 44863-2023")</f>
        <v/>
      </c>
      <c r="T361">
        <f>HYPERLINK("https://klasma.github.io/Logging_1861/kartor/A 44863-2023 karta.png", "A 44863-2023")</f>
        <v/>
      </c>
      <c r="V361">
        <f>HYPERLINK("https://klasma.github.io/Logging_1861/klagomål/A 44863-2023 FSC-klagomål.docx", "A 44863-2023")</f>
        <v/>
      </c>
      <c r="W361">
        <f>HYPERLINK("https://klasma.github.io/Logging_1861/klagomålsmail/A 44863-2023 FSC-klagomål mail.docx", "A 44863-2023")</f>
        <v/>
      </c>
      <c r="X361">
        <f>HYPERLINK("https://klasma.github.io/Logging_1861/tillsyn/A 44863-2023 tillsynsbegäran.docx", "A 44863-2023")</f>
        <v/>
      </c>
      <c r="Y361">
        <f>HYPERLINK("https://klasma.github.io/Logging_1861/tillsynsmail/A 44863-2023 tillsynsbegäran mail.docx", "A 44863-2023")</f>
        <v/>
      </c>
    </row>
    <row r="362" ht="15" customHeight="1">
      <c r="A362" t="inlineStr">
        <is>
          <t>A 46452-2023</t>
        </is>
      </c>
      <c r="B362" s="1" t="n">
        <v>45197</v>
      </c>
      <c r="C362" s="1" t="n">
        <v>45360</v>
      </c>
      <c r="D362" t="inlineStr">
        <is>
          <t>ÖREBRO LÄN</t>
        </is>
      </c>
      <c r="E362" t="inlineStr">
        <is>
          <t>HALLSBERG</t>
        </is>
      </c>
      <c r="G362" t="n">
        <v>2.7</v>
      </c>
      <c r="H362" t="n">
        <v>1</v>
      </c>
      <c r="I362" t="n">
        <v>0</v>
      </c>
      <c r="J362" t="n">
        <v>0</v>
      </c>
      <c r="K362" t="n">
        <v>0</v>
      </c>
      <c r="L362" t="n">
        <v>0</v>
      </c>
      <c r="M362" t="n">
        <v>0</v>
      </c>
      <c r="N362" t="n">
        <v>0</v>
      </c>
      <c r="O362" t="n">
        <v>0</v>
      </c>
      <c r="P362" t="n">
        <v>0</v>
      </c>
      <c r="Q362" t="n">
        <v>1</v>
      </c>
      <c r="R362" s="2" t="inlineStr">
        <is>
          <t>Blåsippa</t>
        </is>
      </c>
      <c r="S362">
        <f>HYPERLINK("https://klasma.github.io/Logging_1861/artfynd/A 46452-2023 artfynd.xlsx", "A 46452-2023")</f>
        <v/>
      </c>
      <c r="T362">
        <f>HYPERLINK("https://klasma.github.io/Logging_1861/kartor/A 46452-2023 karta.png", "A 46452-2023")</f>
        <v/>
      </c>
      <c r="V362">
        <f>HYPERLINK("https://klasma.github.io/Logging_1861/klagomål/A 46452-2023 FSC-klagomål.docx", "A 46452-2023")</f>
        <v/>
      </c>
      <c r="W362">
        <f>HYPERLINK("https://klasma.github.io/Logging_1861/klagomålsmail/A 46452-2023 FSC-klagomål mail.docx", "A 46452-2023")</f>
        <v/>
      </c>
      <c r="X362">
        <f>HYPERLINK("https://klasma.github.io/Logging_1861/tillsyn/A 46452-2023 tillsynsbegäran.docx", "A 46452-2023")</f>
        <v/>
      </c>
      <c r="Y362">
        <f>HYPERLINK("https://klasma.github.io/Logging_1861/tillsynsmail/A 46452-2023 tillsynsbegäran mail.docx", "A 46452-2023")</f>
        <v/>
      </c>
    </row>
    <row r="363" ht="15" customHeight="1">
      <c r="A363" t="inlineStr">
        <is>
          <t>A 50961-2023</t>
        </is>
      </c>
      <c r="B363" s="1" t="n">
        <v>45218</v>
      </c>
      <c r="C363" s="1" t="n">
        <v>45360</v>
      </c>
      <c r="D363" t="inlineStr">
        <is>
          <t>ÖREBRO LÄN</t>
        </is>
      </c>
      <c r="E363" t="inlineStr">
        <is>
          <t>LINDESBERG</t>
        </is>
      </c>
      <c r="F363" t="inlineStr">
        <is>
          <t>Sveaskog</t>
        </is>
      </c>
      <c r="G363" t="n">
        <v>6.3</v>
      </c>
      <c r="H363" t="n">
        <v>0</v>
      </c>
      <c r="I363" t="n">
        <v>1</v>
      </c>
      <c r="J363" t="n">
        <v>0</v>
      </c>
      <c r="K363" t="n">
        <v>0</v>
      </c>
      <c r="L363" t="n">
        <v>0</v>
      </c>
      <c r="M363" t="n">
        <v>0</v>
      </c>
      <c r="N363" t="n">
        <v>0</v>
      </c>
      <c r="O363" t="n">
        <v>0</v>
      </c>
      <c r="P363" t="n">
        <v>0</v>
      </c>
      <c r="Q363" t="n">
        <v>1</v>
      </c>
      <c r="R363" s="2" t="inlineStr">
        <is>
          <t>Gulnål</t>
        </is>
      </c>
      <c r="S363">
        <f>HYPERLINK("https://klasma.github.io/Logging_1885/artfynd/A 50961-2023 artfynd.xlsx", "A 50961-2023")</f>
        <v/>
      </c>
      <c r="T363">
        <f>HYPERLINK("https://klasma.github.io/Logging_1885/kartor/A 50961-2023 karta.png", "A 50961-2023")</f>
        <v/>
      </c>
      <c r="V363">
        <f>HYPERLINK("https://klasma.github.io/Logging_1885/klagomål/A 50961-2023 FSC-klagomål.docx", "A 50961-2023")</f>
        <v/>
      </c>
      <c r="W363">
        <f>HYPERLINK("https://klasma.github.io/Logging_1885/klagomålsmail/A 50961-2023 FSC-klagomål mail.docx", "A 50961-2023")</f>
        <v/>
      </c>
      <c r="X363">
        <f>HYPERLINK("https://klasma.github.io/Logging_1885/tillsyn/A 50961-2023 tillsynsbegäran.docx", "A 50961-2023")</f>
        <v/>
      </c>
      <c r="Y363">
        <f>HYPERLINK("https://klasma.github.io/Logging_1885/tillsynsmail/A 50961-2023 tillsynsbegäran mail.docx", "A 50961-2023")</f>
        <v/>
      </c>
    </row>
    <row r="364" ht="15" customHeight="1">
      <c r="A364" t="inlineStr">
        <is>
          <t>A 51630-2023</t>
        </is>
      </c>
      <c r="B364" s="1" t="n">
        <v>45222</v>
      </c>
      <c r="C364" s="1" t="n">
        <v>45360</v>
      </c>
      <c r="D364" t="inlineStr">
        <is>
          <t>ÖREBRO LÄN</t>
        </is>
      </c>
      <c r="E364" t="inlineStr">
        <is>
          <t>DEGERFORS</t>
        </is>
      </c>
      <c r="F364" t="inlineStr">
        <is>
          <t>Sveaskog</t>
        </is>
      </c>
      <c r="G364" t="n">
        <v>4.5</v>
      </c>
      <c r="H364" t="n">
        <v>1</v>
      </c>
      <c r="I364" t="n">
        <v>0</v>
      </c>
      <c r="J364" t="n">
        <v>0</v>
      </c>
      <c r="K364" t="n">
        <v>0</v>
      </c>
      <c r="L364" t="n">
        <v>0</v>
      </c>
      <c r="M364" t="n">
        <v>0</v>
      </c>
      <c r="N364" t="n">
        <v>0</v>
      </c>
      <c r="O364" t="n">
        <v>0</v>
      </c>
      <c r="P364" t="n">
        <v>0</v>
      </c>
      <c r="Q364" t="n">
        <v>1</v>
      </c>
      <c r="R364" s="2" t="inlineStr">
        <is>
          <t>Sångsvan</t>
        </is>
      </c>
      <c r="S364">
        <f>HYPERLINK("https://klasma.github.io/Logging_1862/artfynd/A 51630-2023 artfynd.xlsx", "A 51630-2023")</f>
        <v/>
      </c>
      <c r="T364">
        <f>HYPERLINK("https://klasma.github.io/Logging_1862/kartor/A 51630-2023 karta.png", "A 51630-2023")</f>
        <v/>
      </c>
      <c r="V364">
        <f>HYPERLINK("https://klasma.github.io/Logging_1862/klagomål/A 51630-2023 FSC-klagomål.docx", "A 51630-2023")</f>
        <v/>
      </c>
      <c r="W364">
        <f>HYPERLINK("https://klasma.github.io/Logging_1862/klagomålsmail/A 51630-2023 FSC-klagomål mail.docx", "A 51630-2023")</f>
        <v/>
      </c>
      <c r="X364">
        <f>HYPERLINK("https://klasma.github.io/Logging_1862/tillsyn/A 51630-2023 tillsynsbegäran.docx", "A 51630-2023")</f>
        <v/>
      </c>
      <c r="Y364">
        <f>HYPERLINK("https://klasma.github.io/Logging_1862/tillsynsmail/A 51630-2023 tillsynsbegäran mail.docx", "A 51630-2023")</f>
        <v/>
      </c>
      <c r="Z364">
        <f>HYPERLINK("https://klasma.github.io/Logging_1862/fåglar/A 51630-2023 prioriterade fågelarter.docx", "A 51630-2023")</f>
        <v/>
      </c>
    </row>
    <row r="365" ht="15" customHeight="1">
      <c r="A365" t="inlineStr">
        <is>
          <t>A 53895-2023</t>
        </is>
      </c>
      <c r="B365" s="1" t="n">
        <v>45224</v>
      </c>
      <c r="C365" s="1" t="n">
        <v>45360</v>
      </c>
      <c r="D365" t="inlineStr">
        <is>
          <t>ÖREBRO LÄN</t>
        </is>
      </c>
      <c r="E365" t="inlineStr">
        <is>
          <t>DEGERFORS</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HYPERLINK("https://klasma.github.io/Logging_1862/artfynd/A 53895-2023 artfynd.xlsx", "A 53895-2023")</f>
        <v/>
      </c>
      <c r="T365">
        <f>HYPERLINK("https://klasma.github.io/Logging_1862/kartor/A 53895-2023 karta.png", "A 53895-2023")</f>
        <v/>
      </c>
      <c r="V365">
        <f>HYPERLINK("https://klasma.github.io/Logging_1862/klagomål/A 53895-2023 FSC-klagomål.docx", "A 53895-2023")</f>
        <v/>
      </c>
      <c r="W365">
        <f>HYPERLINK("https://klasma.github.io/Logging_1862/klagomålsmail/A 53895-2023 FSC-klagomål mail.docx", "A 53895-2023")</f>
        <v/>
      </c>
      <c r="X365">
        <f>HYPERLINK("https://klasma.github.io/Logging_1862/tillsyn/A 53895-2023 tillsynsbegäran.docx", "A 53895-2023")</f>
        <v/>
      </c>
      <c r="Y365">
        <f>HYPERLINK("https://klasma.github.io/Logging_1862/tillsynsmail/A 53895-2023 tillsynsbegäran mail.docx", "A 53895-2023")</f>
        <v/>
      </c>
    </row>
    <row r="366" ht="15" customHeight="1">
      <c r="A366" t="inlineStr">
        <is>
          <t>A 53364-2023</t>
        </is>
      </c>
      <c r="B366" s="1" t="n">
        <v>45229</v>
      </c>
      <c r="C366" s="1" t="n">
        <v>45360</v>
      </c>
      <c r="D366" t="inlineStr">
        <is>
          <t>ÖREBRO LÄN</t>
        </is>
      </c>
      <c r="E366" t="inlineStr">
        <is>
          <t>ASKERSUND</t>
        </is>
      </c>
      <c r="G366" t="n">
        <v>2.2</v>
      </c>
      <c r="H366" t="n">
        <v>0</v>
      </c>
      <c r="I366" t="n">
        <v>0</v>
      </c>
      <c r="J366" t="n">
        <v>1</v>
      </c>
      <c r="K366" t="n">
        <v>0</v>
      </c>
      <c r="L366" t="n">
        <v>0</v>
      </c>
      <c r="M366" t="n">
        <v>0</v>
      </c>
      <c r="N366" t="n">
        <v>0</v>
      </c>
      <c r="O366" t="n">
        <v>1</v>
      </c>
      <c r="P366" t="n">
        <v>0</v>
      </c>
      <c r="Q366" t="n">
        <v>1</v>
      </c>
      <c r="R366" s="2" t="inlineStr">
        <is>
          <t>Mindre blåvinge</t>
        </is>
      </c>
      <c r="S366">
        <f>HYPERLINK("https://klasma.github.io/Logging_1882/artfynd/A 53364-2023 artfynd.xlsx", "A 53364-2023")</f>
        <v/>
      </c>
      <c r="T366">
        <f>HYPERLINK("https://klasma.github.io/Logging_1882/kartor/A 53364-2023 karta.png", "A 53364-2023")</f>
        <v/>
      </c>
      <c r="V366">
        <f>HYPERLINK("https://klasma.github.io/Logging_1882/klagomål/A 53364-2023 FSC-klagomål.docx", "A 53364-2023")</f>
        <v/>
      </c>
      <c r="W366">
        <f>HYPERLINK("https://klasma.github.io/Logging_1882/klagomålsmail/A 53364-2023 FSC-klagomål mail.docx", "A 53364-2023")</f>
        <v/>
      </c>
      <c r="X366">
        <f>HYPERLINK("https://klasma.github.io/Logging_1882/tillsyn/A 53364-2023 tillsynsbegäran.docx", "A 53364-2023")</f>
        <v/>
      </c>
      <c r="Y366">
        <f>HYPERLINK("https://klasma.github.io/Logging_1882/tillsynsmail/A 53364-2023 tillsynsbegäran mail.docx", "A 53364-2023")</f>
        <v/>
      </c>
    </row>
    <row r="367" ht="15" customHeight="1">
      <c r="A367" t="inlineStr">
        <is>
          <t>A 53223-2023</t>
        </is>
      </c>
      <c r="B367" s="1" t="n">
        <v>45229</v>
      </c>
      <c r="C367" s="1" t="n">
        <v>45360</v>
      </c>
      <c r="D367" t="inlineStr">
        <is>
          <t>ÖREBRO LÄN</t>
        </is>
      </c>
      <c r="E367" t="inlineStr">
        <is>
          <t>LEKEBERG</t>
        </is>
      </c>
      <c r="G367" t="n">
        <v>2.1</v>
      </c>
      <c r="H367" t="n">
        <v>1</v>
      </c>
      <c r="I367" t="n">
        <v>0</v>
      </c>
      <c r="J367" t="n">
        <v>0</v>
      </c>
      <c r="K367" t="n">
        <v>0</v>
      </c>
      <c r="L367" t="n">
        <v>0</v>
      </c>
      <c r="M367" t="n">
        <v>0</v>
      </c>
      <c r="N367" t="n">
        <v>0</v>
      </c>
      <c r="O367" t="n">
        <v>0</v>
      </c>
      <c r="P367" t="n">
        <v>0</v>
      </c>
      <c r="Q367" t="n">
        <v>1</v>
      </c>
      <c r="R367" s="2" t="inlineStr">
        <is>
          <t>Grönvit nattviol</t>
        </is>
      </c>
      <c r="S367">
        <f>HYPERLINK("https://klasma.github.io/Logging_1814/artfynd/A 53223-2023 artfynd.xlsx", "A 53223-2023")</f>
        <v/>
      </c>
      <c r="T367">
        <f>HYPERLINK("https://klasma.github.io/Logging_1814/kartor/A 53223-2023 karta.png", "A 53223-2023")</f>
        <v/>
      </c>
      <c r="V367">
        <f>HYPERLINK("https://klasma.github.io/Logging_1814/klagomål/A 53223-2023 FSC-klagomål.docx", "A 53223-2023")</f>
        <v/>
      </c>
      <c r="W367">
        <f>HYPERLINK("https://klasma.github.io/Logging_1814/klagomålsmail/A 53223-2023 FSC-klagomål mail.docx", "A 53223-2023")</f>
        <v/>
      </c>
      <c r="X367">
        <f>HYPERLINK("https://klasma.github.io/Logging_1814/tillsyn/A 53223-2023 tillsynsbegäran.docx", "A 53223-2023")</f>
        <v/>
      </c>
      <c r="Y367">
        <f>HYPERLINK("https://klasma.github.io/Logging_1814/tillsynsmail/A 53223-2023 tillsynsbegäran mail.docx", "A 53223-2023")</f>
        <v/>
      </c>
    </row>
    <row r="368" ht="15" customHeight="1">
      <c r="A368" t="inlineStr">
        <is>
          <t>A 53626-2023</t>
        </is>
      </c>
      <c r="B368" s="1" t="n">
        <v>45230</v>
      </c>
      <c r="C368" s="1" t="n">
        <v>45360</v>
      </c>
      <c r="D368" t="inlineStr">
        <is>
          <t>ÖREBRO LÄN</t>
        </is>
      </c>
      <c r="E368" t="inlineStr">
        <is>
          <t>KARLSKOGA</t>
        </is>
      </c>
      <c r="G368" t="n">
        <v>7.5</v>
      </c>
      <c r="H368" t="n">
        <v>0</v>
      </c>
      <c r="I368" t="n">
        <v>0</v>
      </c>
      <c r="J368" t="n">
        <v>1</v>
      </c>
      <c r="K368" t="n">
        <v>0</v>
      </c>
      <c r="L368" t="n">
        <v>0</v>
      </c>
      <c r="M368" t="n">
        <v>0</v>
      </c>
      <c r="N368" t="n">
        <v>0</v>
      </c>
      <c r="O368" t="n">
        <v>1</v>
      </c>
      <c r="P368" t="n">
        <v>0</v>
      </c>
      <c r="Q368" t="n">
        <v>1</v>
      </c>
      <c r="R368" s="2" t="inlineStr">
        <is>
          <t>Storgröe</t>
        </is>
      </c>
      <c r="S368">
        <f>HYPERLINK("https://klasma.github.io/Logging_1883/artfynd/A 53626-2023 artfynd.xlsx", "A 53626-2023")</f>
        <v/>
      </c>
      <c r="T368">
        <f>HYPERLINK("https://klasma.github.io/Logging_1883/kartor/A 53626-2023 karta.png", "A 53626-2023")</f>
        <v/>
      </c>
      <c r="V368">
        <f>HYPERLINK("https://klasma.github.io/Logging_1883/klagomål/A 53626-2023 FSC-klagomål.docx", "A 53626-2023")</f>
        <v/>
      </c>
      <c r="W368">
        <f>HYPERLINK("https://klasma.github.io/Logging_1883/klagomålsmail/A 53626-2023 FSC-klagomål mail.docx", "A 53626-2023")</f>
        <v/>
      </c>
      <c r="X368">
        <f>HYPERLINK("https://klasma.github.io/Logging_1883/tillsyn/A 53626-2023 tillsynsbegäran.docx", "A 53626-2023")</f>
        <v/>
      </c>
      <c r="Y368">
        <f>HYPERLINK("https://klasma.github.io/Logging_1883/tillsynsmail/A 53626-2023 tillsynsbegäran mail.docx", "A 53626-2023")</f>
        <v/>
      </c>
    </row>
    <row r="369" ht="15" customHeight="1">
      <c r="A369" t="inlineStr">
        <is>
          <t>A 53940-2023</t>
        </is>
      </c>
      <c r="B369" s="1" t="n">
        <v>45231</v>
      </c>
      <c r="C369" s="1" t="n">
        <v>45360</v>
      </c>
      <c r="D369" t="inlineStr">
        <is>
          <t>ÖREBRO LÄN</t>
        </is>
      </c>
      <c r="E369" t="inlineStr">
        <is>
          <t>NORA</t>
        </is>
      </c>
      <c r="G369" t="n">
        <v>4.7</v>
      </c>
      <c r="H369" t="n">
        <v>0</v>
      </c>
      <c r="I369" t="n">
        <v>0</v>
      </c>
      <c r="J369" t="n">
        <v>0</v>
      </c>
      <c r="K369" t="n">
        <v>0</v>
      </c>
      <c r="L369" t="n">
        <v>1</v>
      </c>
      <c r="M369" t="n">
        <v>0</v>
      </c>
      <c r="N369" t="n">
        <v>0</v>
      </c>
      <c r="O369" t="n">
        <v>1</v>
      </c>
      <c r="P369" t="n">
        <v>1</v>
      </c>
      <c r="Q369" t="n">
        <v>1</v>
      </c>
      <c r="R369" s="2" t="inlineStr">
        <is>
          <t>Fältgentiana</t>
        </is>
      </c>
      <c r="S369">
        <f>HYPERLINK("https://klasma.github.io/Logging_1884/artfynd/A 53940-2023 artfynd.xlsx", "A 53940-2023")</f>
        <v/>
      </c>
      <c r="T369">
        <f>HYPERLINK("https://klasma.github.io/Logging_1884/kartor/A 53940-2023 karta.png", "A 53940-2023")</f>
        <v/>
      </c>
      <c r="V369">
        <f>HYPERLINK("https://klasma.github.io/Logging_1884/klagomål/A 53940-2023 FSC-klagomål.docx", "A 53940-2023")</f>
        <v/>
      </c>
      <c r="W369">
        <f>HYPERLINK("https://klasma.github.io/Logging_1884/klagomålsmail/A 53940-2023 FSC-klagomål mail.docx", "A 53940-2023")</f>
        <v/>
      </c>
      <c r="X369">
        <f>HYPERLINK("https://klasma.github.io/Logging_1884/tillsyn/A 53940-2023 tillsynsbegäran.docx", "A 53940-2023")</f>
        <v/>
      </c>
      <c r="Y369">
        <f>HYPERLINK("https://klasma.github.io/Logging_1884/tillsynsmail/A 53940-2023 tillsynsbegäran mail.docx", "A 53940-2023")</f>
        <v/>
      </c>
    </row>
    <row r="370" ht="15" customHeight="1">
      <c r="A370" t="inlineStr">
        <is>
          <t>A 55623-2023</t>
        </is>
      </c>
      <c r="B370" s="1" t="n">
        <v>45238</v>
      </c>
      <c r="C370" s="1" t="n">
        <v>45360</v>
      </c>
      <c r="D370" t="inlineStr">
        <is>
          <t>ÖREBRO LÄN</t>
        </is>
      </c>
      <c r="E370" t="inlineStr">
        <is>
          <t>HÄLLEFORS</t>
        </is>
      </c>
      <c r="G370" t="n">
        <v>5.8</v>
      </c>
      <c r="H370" t="n">
        <v>0</v>
      </c>
      <c r="I370" t="n">
        <v>1</v>
      </c>
      <c r="J370" t="n">
        <v>0</v>
      </c>
      <c r="K370" t="n">
        <v>0</v>
      </c>
      <c r="L370" t="n">
        <v>0</v>
      </c>
      <c r="M370" t="n">
        <v>0</v>
      </c>
      <c r="N370" t="n">
        <v>0</v>
      </c>
      <c r="O370" t="n">
        <v>0</v>
      </c>
      <c r="P370" t="n">
        <v>0</v>
      </c>
      <c r="Q370" t="n">
        <v>1</v>
      </c>
      <c r="R370" s="2" t="inlineStr">
        <is>
          <t>Norrlandslav</t>
        </is>
      </c>
      <c r="S370">
        <f>HYPERLINK("https://klasma.github.io/Logging_1863/artfynd/A 55623-2023 artfynd.xlsx", "A 55623-2023")</f>
        <v/>
      </c>
      <c r="T370">
        <f>HYPERLINK("https://klasma.github.io/Logging_1863/kartor/A 55623-2023 karta.png", "A 55623-2023")</f>
        <v/>
      </c>
      <c r="V370">
        <f>HYPERLINK("https://klasma.github.io/Logging_1863/klagomål/A 55623-2023 FSC-klagomål.docx", "A 55623-2023")</f>
        <v/>
      </c>
      <c r="W370">
        <f>HYPERLINK("https://klasma.github.io/Logging_1863/klagomålsmail/A 55623-2023 FSC-klagomål mail.docx", "A 55623-2023")</f>
        <v/>
      </c>
      <c r="X370">
        <f>HYPERLINK("https://klasma.github.io/Logging_1863/tillsyn/A 55623-2023 tillsynsbegäran.docx", "A 55623-2023")</f>
        <v/>
      </c>
      <c r="Y370">
        <f>HYPERLINK("https://klasma.github.io/Logging_1863/tillsynsmail/A 55623-2023 tillsynsbegäran mail.docx", "A 55623-2023")</f>
        <v/>
      </c>
    </row>
    <row r="371" ht="15" customHeight="1">
      <c r="A371" t="inlineStr">
        <is>
          <t>A 57374-2023</t>
        </is>
      </c>
      <c r="B371" s="1" t="n">
        <v>45245</v>
      </c>
      <c r="C371" s="1" t="n">
        <v>45360</v>
      </c>
      <c r="D371" t="inlineStr">
        <is>
          <t>ÖREBRO LÄN</t>
        </is>
      </c>
      <c r="E371" t="inlineStr">
        <is>
          <t>LINDESBERG</t>
        </is>
      </c>
      <c r="F371" t="inlineStr">
        <is>
          <t>Sveaskog</t>
        </is>
      </c>
      <c r="G371" t="n">
        <v>6</v>
      </c>
      <c r="H371" t="n">
        <v>0</v>
      </c>
      <c r="I371" t="n">
        <v>0</v>
      </c>
      <c r="J371" t="n">
        <v>1</v>
      </c>
      <c r="K371" t="n">
        <v>0</v>
      </c>
      <c r="L371" t="n">
        <v>0</v>
      </c>
      <c r="M371" t="n">
        <v>0</v>
      </c>
      <c r="N371" t="n">
        <v>0</v>
      </c>
      <c r="O371" t="n">
        <v>1</v>
      </c>
      <c r="P371" t="n">
        <v>0</v>
      </c>
      <c r="Q371" t="n">
        <v>1</v>
      </c>
      <c r="R371" s="2" t="inlineStr">
        <is>
          <t>Motaggsvamp</t>
        </is>
      </c>
      <c r="S371">
        <f>HYPERLINK("https://klasma.github.io/Logging_1885/artfynd/A 57374-2023 artfynd.xlsx", "A 57374-2023")</f>
        <v/>
      </c>
      <c r="T371">
        <f>HYPERLINK("https://klasma.github.io/Logging_1885/kartor/A 57374-2023 karta.png", "A 57374-2023")</f>
        <v/>
      </c>
      <c r="V371">
        <f>HYPERLINK("https://klasma.github.io/Logging_1885/klagomål/A 57374-2023 FSC-klagomål.docx", "A 57374-2023")</f>
        <v/>
      </c>
      <c r="W371">
        <f>HYPERLINK("https://klasma.github.io/Logging_1885/klagomålsmail/A 57374-2023 FSC-klagomål mail.docx", "A 57374-2023")</f>
        <v/>
      </c>
      <c r="X371">
        <f>HYPERLINK("https://klasma.github.io/Logging_1885/tillsyn/A 57374-2023 tillsynsbegäran.docx", "A 57374-2023")</f>
        <v/>
      </c>
      <c r="Y371">
        <f>HYPERLINK("https://klasma.github.io/Logging_1885/tillsynsmail/A 57374-2023 tillsynsbegäran mail.docx", "A 57374-2023")</f>
        <v/>
      </c>
    </row>
    <row r="372" ht="15" customHeight="1">
      <c r="A372" t="inlineStr">
        <is>
          <t>A 58206-2023</t>
        </is>
      </c>
      <c r="B372" s="1" t="n">
        <v>45250</v>
      </c>
      <c r="C372" s="1" t="n">
        <v>45360</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60949-2023</t>
        </is>
      </c>
      <c r="B373" s="1" t="n">
        <v>45259</v>
      </c>
      <c r="C373" s="1" t="n">
        <v>45360</v>
      </c>
      <c r="D373" t="inlineStr">
        <is>
          <t>ÖREBRO LÄN</t>
        </is>
      </c>
      <c r="E373" t="inlineStr">
        <is>
          <t>LAXÅ</t>
        </is>
      </c>
      <c r="G373" t="n">
        <v>4.7</v>
      </c>
      <c r="H373" t="n">
        <v>1</v>
      </c>
      <c r="I373" t="n">
        <v>0</v>
      </c>
      <c r="J373" t="n">
        <v>0</v>
      </c>
      <c r="K373" t="n">
        <v>0</v>
      </c>
      <c r="L373" t="n">
        <v>0</v>
      </c>
      <c r="M373" t="n">
        <v>0</v>
      </c>
      <c r="N373" t="n">
        <v>0</v>
      </c>
      <c r="O373" t="n">
        <v>0</v>
      </c>
      <c r="P373" t="n">
        <v>0</v>
      </c>
      <c r="Q373" t="n">
        <v>1</v>
      </c>
      <c r="R373" s="2" t="inlineStr">
        <is>
          <t>Revlummer</t>
        </is>
      </c>
      <c r="S373">
        <f>HYPERLINK("https://klasma.github.io/Logging_1860/artfynd/A 60949-2023 artfynd.xlsx", "A 60949-2023")</f>
        <v/>
      </c>
      <c r="T373">
        <f>HYPERLINK("https://klasma.github.io/Logging_1860/kartor/A 60949-2023 karta.png", "A 60949-2023")</f>
        <v/>
      </c>
      <c r="V373">
        <f>HYPERLINK("https://klasma.github.io/Logging_1860/klagomål/A 60949-2023 FSC-klagomål.docx", "A 60949-2023")</f>
        <v/>
      </c>
      <c r="W373">
        <f>HYPERLINK("https://klasma.github.io/Logging_1860/klagomålsmail/A 60949-2023 FSC-klagomål mail.docx", "A 60949-2023")</f>
        <v/>
      </c>
      <c r="X373">
        <f>HYPERLINK("https://klasma.github.io/Logging_1860/tillsyn/A 60949-2023 tillsynsbegäran.docx", "A 60949-2023")</f>
        <v/>
      </c>
      <c r="Y373">
        <f>HYPERLINK("https://klasma.github.io/Logging_1860/tillsynsmail/A 60949-2023 tillsynsbegäran mail.docx", "A 60949-2023")</f>
        <v/>
      </c>
    </row>
    <row r="374" ht="15" customHeight="1">
      <c r="A374" t="inlineStr">
        <is>
          <t>A 64513-2023</t>
        </is>
      </c>
      <c r="B374" s="1" t="n">
        <v>45281</v>
      </c>
      <c r="C374" s="1" t="n">
        <v>45360</v>
      </c>
      <c r="D374" t="inlineStr">
        <is>
          <t>ÖREBRO LÄN</t>
        </is>
      </c>
      <c r="E374" t="inlineStr">
        <is>
          <t>LINDESBERG</t>
        </is>
      </c>
      <c r="G374" t="n">
        <v>5.8</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64697-2023</t>
        </is>
      </c>
      <c r="B375" s="1" t="n">
        <v>45281</v>
      </c>
      <c r="C375" s="1" t="n">
        <v>45360</v>
      </c>
      <c r="D375" t="inlineStr">
        <is>
          <t>ÖREBRO LÄN</t>
        </is>
      </c>
      <c r="E375" t="inlineStr">
        <is>
          <t>HALLSBERG</t>
        </is>
      </c>
      <c r="F375" t="inlineStr">
        <is>
          <t>Sveaskog</t>
        </is>
      </c>
      <c r="G375" t="n">
        <v>13.4</v>
      </c>
      <c r="H375" t="n">
        <v>1</v>
      </c>
      <c r="I375" t="n">
        <v>0</v>
      </c>
      <c r="J375" t="n">
        <v>1</v>
      </c>
      <c r="K375" t="n">
        <v>0</v>
      </c>
      <c r="L375" t="n">
        <v>0</v>
      </c>
      <c r="M375" t="n">
        <v>0</v>
      </c>
      <c r="N375" t="n">
        <v>0</v>
      </c>
      <c r="O375" t="n">
        <v>1</v>
      </c>
      <c r="P375" t="n">
        <v>0</v>
      </c>
      <c r="Q375" t="n">
        <v>1</v>
      </c>
      <c r="R375" s="2" t="inlineStr">
        <is>
          <t>Spillkråka</t>
        </is>
      </c>
      <c r="S375">
        <f>HYPERLINK("https://klasma.github.io/Logging_1861/artfynd/A 64697-2023 artfynd.xlsx", "A 64697-2023")</f>
        <v/>
      </c>
      <c r="T375">
        <f>HYPERLINK("https://klasma.github.io/Logging_1861/kartor/A 64697-2023 karta.png", "A 64697-2023")</f>
        <v/>
      </c>
      <c r="V375">
        <f>HYPERLINK("https://klasma.github.io/Logging_1861/klagomål/A 64697-2023 FSC-klagomål.docx", "A 64697-2023")</f>
        <v/>
      </c>
      <c r="W375">
        <f>HYPERLINK("https://klasma.github.io/Logging_1861/klagomålsmail/A 64697-2023 FSC-klagomål mail.docx", "A 64697-2023")</f>
        <v/>
      </c>
      <c r="X375">
        <f>HYPERLINK("https://klasma.github.io/Logging_1861/tillsyn/A 64697-2023 tillsynsbegäran.docx", "A 64697-2023")</f>
        <v/>
      </c>
      <c r="Y375">
        <f>HYPERLINK("https://klasma.github.io/Logging_1861/tillsynsmail/A 64697-2023 tillsynsbegäran mail.docx", "A 64697-2023")</f>
        <v/>
      </c>
      <c r="Z375">
        <f>HYPERLINK("https://klasma.github.io/Logging_1861/fåglar/A 64697-2023 prioriterade fågelarter.docx", "A 64697-2023")</f>
        <v/>
      </c>
    </row>
    <row r="376" ht="15" customHeight="1">
      <c r="A376" t="inlineStr">
        <is>
          <t>A 2561-2024</t>
        </is>
      </c>
      <c r="B376" s="1" t="n">
        <v>45313</v>
      </c>
      <c r="C376" s="1" t="n">
        <v>45360</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3866-2024</t>
        </is>
      </c>
      <c r="B377" s="1" t="n">
        <v>45322</v>
      </c>
      <c r="C377" s="1" t="n">
        <v>45360</v>
      </c>
      <c r="D377" t="inlineStr">
        <is>
          <t>ÖREBRO LÄN</t>
        </is>
      </c>
      <c r="E377" t="inlineStr">
        <is>
          <t>ÖREBRO</t>
        </is>
      </c>
      <c r="F377" t="inlineStr">
        <is>
          <t>Övriga Aktiebolag</t>
        </is>
      </c>
      <c r="G377" t="n">
        <v>4.7</v>
      </c>
      <c r="H377" t="n">
        <v>0</v>
      </c>
      <c r="I377" t="n">
        <v>0</v>
      </c>
      <c r="J377" t="n">
        <v>0</v>
      </c>
      <c r="K377" t="n">
        <v>0</v>
      </c>
      <c r="L377" t="n">
        <v>1</v>
      </c>
      <c r="M377" t="n">
        <v>0</v>
      </c>
      <c r="N377" t="n">
        <v>0</v>
      </c>
      <c r="O377" t="n">
        <v>1</v>
      </c>
      <c r="P377" t="n">
        <v>1</v>
      </c>
      <c r="Q377" t="n">
        <v>1</v>
      </c>
      <c r="R377" s="2" t="inlineStr">
        <is>
          <t>Bredgentiana</t>
        </is>
      </c>
      <c r="S377">
        <f>HYPERLINK("https://klasma.github.io/Logging_1880/artfynd/A 3866-2024 artfynd.xlsx", "A 3866-2024")</f>
        <v/>
      </c>
      <c r="T377">
        <f>HYPERLINK("https://klasma.github.io/Logging_1880/kartor/A 3866-2024 karta.png", "A 3866-2024")</f>
        <v/>
      </c>
      <c r="V377">
        <f>HYPERLINK("https://klasma.github.io/Logging_1880/klagomål/A 3866-2024 FSC-klagomål.docx", "A 3866-2024")</f>
        <v/>
      </c>
      <c r="W377">
        <f>HYPERLINK("https://klasma.github.io/Logging_1880/klagomålsmail/A 3866-2024 FSC-klagomål mail.docx", "A 3866-2024")</f>
        <v/>
      </c>
      <c r="X377">
        <f>HYPERLINK("https://klasma.github.io/Logging_1880/tillsyn/A 3866-2024 tillsynsbegäran.docx", "A 3866-2024")</f>
        <v/>
      </c>
      <c r="Y377">
        <f>HYPERLINK("https://klasma.github.io/Logging_1880/tillsynsmail/A 3866-2024 tillsynsbegäran mail.docx", "A 3866-2024")</f>
        <v/>
      </c>
    </row>
    <row r="378" ht="15" customHeight="1">
      <c r="A378" t="inlineStr">
        <is>
          <t>A 4508-2024</t>
        </is>
      </c>
      <c r="B378" s="1" t="n">
        <v>45327</v>
      </c>
      <c r="C378" s="1" t="n">
        <v>45360</v>
      </c>
      <c r="D378" t="inlineStr">
        <is>
          <t>ÖREBRO LÄN</t>
        </is>
      </c>
      <c r="E378" t="inlineStr">
        <is>
          <t>ASKERSUND</t>
        </is>
      </c>
      <c r="G378" t="n">
        <v>0.8</v>
      </c>
      <c r="H378" t="n">
        <v>0</v>
      </c>
      <c r="I378" t="n">
        <v>0</v>
      </c>
      <c r="J378" t="n">
        <v>1</v>
      </c>
      <c r="K378" t="n">
        <v>0</v>
      </c>
      <c r="L378" t="n">
        <v>0</v>
      </c>
      <c r="M378" t="n">
        <v>0</v>
      </c>
      <c r="N378" t="n">
        <v>0</v>
      </c>
      <c r="O378" t="n">
        <v>1</v>
      </c>
      <c r="P378" t="n">
        <v>0</v>
      </c>
      <c r="Q378" t="n">
        <v>1</v>
      </c>
      <c r="R378" s="2" t="inlineStr">
        <is>
          <t>Mindre bastardsvärmare</t>
        </is>
      </c>
      <c r="S378">
        <f>HYPERLINK("https://klasma.github.io/Logging_1882/artfynd/A 4508-2024 artfynd.xlsx", "A 4508-2024")</f>
        <v/>
      </c>
      <c r="T378">
        <f>HYPERLINK("https://klasma.github.io/Logging_1882/kartor/A 4508-2024 karta.png", "A 4508-2024")</f>
        <v/>
      </c>
      <c r="V378">
        <f>HYPERLINK("https://klasma.github.io/Logging_1882/klagomål/A 4508-2024 FSC-klagomål.docx", "A 4508-2024")</f>
        <v/>
      </c>
      <c r="W378">
        <f>HYPERLINK("https://klasma.github.io/Logging_1882/klagomålsmail/A 4508-2024 FSC-klagomål mail.docx", "A 4508-2024")</f>
        <v/>
      </c>
      <c r="X378">
        <f>HYPERLINK("https://klasma.github.io/Logging_1882/tillsyn/A 4508-2024 tillsynsbegäran.docx", "A 4508-2024")</f>
        <v/>
      </c>
      <c r="Y378">
        <f>HYPERLINK("https://klasma.github.io/Logging_1882/tillsynsmail/A 4508-2024 tillsynsbegäran mail.docx", "A 4508-2024")</f>
        <v/>
      </c>
    </row>
    <row r="379" ht="15" customHeight="1">
      <c r="A379" t="inlineStr">
        <is>
          <t>A 5123-2024</t>
        </is>
      </c>
      <c r="B379" s="1" t="n">
        <v>45330</v>
      </c>
      <c r="C379" s="1" t="n">
        <v>45360</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5123-2024 artfynd.xlsx", "A 5123-2024")</f>
        <v/>
      </c>
      <c r="T379">
        <f>HYPERLINK("https://klasma.github.io/Logging_1880/kartor/A 5123-2024 karta.png", "A 5123-2024")</f>
        <v/>
      </c>
      <c r="V379">
        <f>HYPERLINK("https://klasma.github.io/Logging_1880/klagomål/A 5123-2024 FSC-klagomål.docx", "A 5123-2024")</f>
        <v/>
      </c>
      <c r="W379">
        <f>HYPERLINK("https://klasma.github.io/Logging_1880/klagomålsmail/A 5123-2024 FSC-klagomål mail.docx", "A 5123-2024")</f>
        <v/>
      </c>
      <c r="X379">
        <f>HYPERLINK("https://klasma.github.io/Logging_1880/tillsyn/A 5123-2024 tillsynsbegäran.docx", "A 5123-2024")</f>
        <v/>
      </c>
      <c r="Y379">
        <f>HYPERLINK("https://klasma.github.io/Logging_1880/tillsynsmail/A 5123-2024 tillsynsbegäran mail.docx", "A 5123-2024")</f>
        <v/>
      </c>
    </row>
    <row r="380" ht="15" customHeight="1">
      <c r="A380" t="inlineStr">
        <is>
          <t>A 7069-2024</t>
        </is>
      </c>
      <c r="B380" s="1" t="n">
        <v>45343</v>
      </c>
      <c r="C380" s="1" t="n">
        <v>45360</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8795-2024</t>
        </is>
      </c>
      <c r="B381" s="1" t="n">
        <v>45356</v>
      </c>
      <c r="C381" s="1" t="n">
        <v>45360</v>
      </c>
      <c r="D381" t="inlineStr">
        <is>
          <t>ÖREBRO LÄN</t>
        </is>
      </c>
      <c r="E381" t="inlineStr">
        <is>
          <t>ÖREBRO</t>
        </is>
      </c>
      <c r="G381" t="n">
        <v>3.1</v>
      </c>
      <c r="H381" t="n">
        <v>0</v>
      </c>
      <c r="I381" t="n">
        <v>0</v>
      </c>
      <c r="J381" t="n">
        <v>0</v>
      </c>
      <c r="K381" t="n">
        <v>1</v>
      </c>
      <c r="L381" t="n">
        <v>0</v>
      </c>
      <c r="M381" t="n">
        <v>0</v>
      </c>
      <c r="N381" t="n">
        <v>0</v>
      </c>
      <c r="O381" t="n">
        <v>1</v>
      </c>
      <c r="P381" t="n">
        <v>1</v>
      </c>
      <c r="Q381" t="n">
        <v>1</v>
      </c>
      <c r="R381" s="2" t="inlineStr">
        <is>
          <t>Violgubbe</t>
        </is>
      </c>
      <c r="S381">
        <f>HYPERLINK("https://klasma.github.io/Logging_1880/artfynd/A 8795-2024 artfynd.xlsx", "A 8795-2024")</f>
        <v/>
      </c>
      <c r="T381">
        <f>HYPERLINK("https://klasma.github.io/Logging_1880/kartor/A 8795-2024 karta.png", "A 8795-2024")</f>
        <v/>
      </c>
      <c r="V381">
        <f>HYPERLINK("https://klasma.github.io/Logging_1880/klagomål/A 8795-2024 FSC-klagomål.docx", "A 8795-2024")</f>
        <v/>
      </c>
      <c r="W381">
        <f>HYPERLINK("https://klasma.github.io/Logging_1880/klagomålsmail/A 8795-2024 FSC-klagomål mail.docx", "A 8795-2024")</f>
        <v/>
      </c>
      <c r="X381">
        <f>HYPERLINK("https://klasma.github.io/Logging_1880/tillsyn/A 8795-2024 tillsynsbegäran.docx", "A 8795-2024")</f>
        <v/>
      </c>
      <c r="Y381">
        <f>HYPERLINK("https://klasma.github.io/Logging_1880/tillsynsmail/A 8795-2024 tillsynsbegäran mail.docx", "A 8795-2024")</f>
        <v/>
      </c>
    </row>
    <row r="382" ht="15" customHeight="1">
      <c r="A382" t="inlineStr">
        <is>
          <t>A 34306-2018</t>
        </is>
      </c>
      <c r="B382" s="1" t="n">
        <v>43318</v>
      </c>
      <c r="C382" s="1" t="n">
        <v>45360</v>
      </c>
      <c r="D382" t="inlineStr">
        <is>
          <t>ÖREBRO LÄN</t>
        </is>
      </c>
      <c r="E382" t="inlineStr">
        <is>
          <t>ASKERSUND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34900-2018</t>
        </is>
      </c>
      <c r="B383" s="1" t="n">
        <v>43321</v>
      </c>
      <c r="C383" s="1" t="n">
        <v>45360</v>
      </c>
      <c r="D383" t="inlineStr">
        <is>
          <t>ÖREBRO LÄN</t>
        </is>
      </c>
      <c r="E383" t="inlineStr">
        <is>
          <t>ÖREBRO</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35036-2018</t>
        </is>
      </c>
      <c r="B384" s="1" t="n">
        <v>43322</v>
      </c>
      <c r="C384" s="1" t="n">
        <v>45360</v>
      </c>
      <c r="D384" t="inlineStr">
        <is>
          <t>ÖREBRO LÄN</t>
        </is>
      </c>
      <c r="E384" t="inlineStr">
        <is>
          <t>HALLSBERG</t>
        </is>
      </c>
      <c r="G384" t="n">
        <v>1.9</v>
      </c>
      <c r="H384" t="n">
        <v>0</v>
      </c>
      <c r="I384" t="n">
        <v>0</v>
      </c>
      <c r="J384" t="n">
        <v>0</v>
      </c>
      <c r="K384" t="n">
        <v>0</v>
      </c>
      <c r="L384" t="n">
        <v>0</v>
      </c>
      <c r="M384" t="n">
        <v>0</v>
      </c>
      <c r="N384" t="n">
        <v>0</v>
      </c>
      <c r="O384" t="n">
        <v>0</v>
      </c>
      <c r="P384" t="n">
        <v>0</v>
      </c>
      <c r="Q384" t="n">
        <v>0</v>
      </c>
      <c r="R384" s="2" t="inlineStr"/>
    </row>
    <row r="385" ht="15" customHeight="1">
      <c r="A385" t="inlineStr">
        <is>
          <t>A 35327-2018</t>
        </is>
      </c>
      <c r="B385" s="1" t="n">
        <v>43325</v>
      </c>
      <c r="C385" s="1" t="n">
        <v>45360</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35930-2018</t>
        </is>
      </c>
      <c r="B386" s="1" t="n">
        <v>43327</v>
      </c>
      <c r="C386" s="1" t="n">
        <v>45360</v>
      </c>
      <c r="D386" t="inlineStr">
        <is>
          <t>ÖREBRO LÄN</t>
        </is>
      </c>
      <c r="E386" t="inlineStr">
        <is>
          <t>HALLSBERG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36149-2018</t>
        </is>
      </c>
      <c r="B387" s="1" t="n">
        <v>43327</v>
      </c>
      <c r="C387" s="1" t="n">
        <v>45360</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36159-2018</t>
        </is>
      </c>
      <c r="B388" s="1" t="n">
        <v>43327</v>
      </c>
      <c r="C388" s="1" t="n">
        <v>45360</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36405-2018</t>
        </is>
      </c>
      <c r="B389" s="1" t="n">
        <v>43329</v>
      </c>
      <c r="C389" s="1" t="n">
        <v>45360</v>
      </c>
      <c r="D389" t="inlineStr">
        <is>
          <t>ÖREBRO LÄN</t>
        </is>
      </c>
      <c r="E389" t="inlineStr">
        <is>
          <t>DEGERFORS</t>
        </is>
      </c>
      <c r="F389" t="inlineStr">
        <is>
          <t>Sveaskog</t>
        </is>
      </c>
      <c r="G389" t="n">
        <v>6.3</v>
      </c>
      <c r="H389" t="n">
        <v>0</v>
      </c>
      <c r="I389" t="n">
        <v>0</v>
      </c>
      <c r="J389" t="n">
        <v>0</v>
      </c>
      <c r="K389" t="n">
        <v>0</v>
      </c>
      <c r="L389" t="n">
        <v>0</v>
      </c>
      <c r="M389" t="n">
        <v>0</v>
      </c>
      <c r="N389" t="n">
        <v>0</v>
      </c>
      <c r="O389" t="n">
        <v>0</v>
      </c>
      <c r="P389" t="n">
        <v>0</v>
      </c>
      <c r="Q389" t="n">
        <v>0</v>
      </c>
      <c r="R389" s="2" t="inlineStr"/>
    </row>
    <row r="390" ht="15" customHeight="1">
      <c r="A390" t="inlineStr">
        <is>
          <t>A 36404-2018</t>
        </is>
      </c>
      <c r="B390" s="1" t="n">
        <v>43329</v>
      </c>
      <c r="C390" s="1" t="n">
        <v>45360</v>
      </c>
      <c r="D390" t="inlineStr">
        <is>
          <t>ÖREBRO LÄN</t>
        </is>
      </c>
      <c r="E390" t="inlineStr">
        <is>
          <t>DEGERFORS</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36458-2018</t>
        </is>
      </c>
      <c r="B391" s="1" t="n">
        <v>43329</v>
      </c>
      <c r="C391" s="1" t="n">
        <v>45360</v>
      </c>
      <c r="D391" t="inlineStr">
        <is>
          <t>ÖREBRO LÄN</t>
        </is>
      </c>
      <c r="E391" t="inlineStr">
        <is>
          <t>ÖREBRO</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36736-2018</t>
        </is>
      </c>
      <c r="B392" s="1" t="n">
        <v>43332</v>
      </c>
      <c r="C392" s="1" t="n">
        <v>45360</v>
      </c>
      <c r="D392" t="inlineStr">
        <is>
          <t>ÖREBRO LÄN</t>
        </is>
      </c>
      <c r="E392" t="inlineStr">
        <is>
          <t>DEGERFORS</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38850-2018</t>
        </is>
      </c>
      <c r="B393" s="1" t="n">
        <v>43336</v>
      </c>
      <c r="C393" s="1" t="n">
        <v>45360</v>
      </c>
      <c r="D393" t="inlineStr">
        <is>
          <t>ÖREBRO LÄN</t>
        </is>
      </c>
      <c r="E393" t="inlineStr">
        <is>
          <t>ÖREBRO</t>
        </is>
      </c>
      <c r="F393" t="inlineStr">
        <is>
          <t>Kommuner</t>
        </is>
      </c>
      <c r="G393" t="n">
        <v>2.7</v>
      </c>
      <c r="H393" t="n">
        <v>0</v>
      </c>
      <c r="I393" t="n">
        <v>0</v>
      </c>
      <c r="J393" t="n">
        <v>0</v>
      </c>
      <c r="K393" t="n">
        <v>0</v>
      </c>
      <c r="L393" t="n">
        <v>0</v>
      </c>
      <c r="M393" t="n">
        <v>0</v>
      </c>
      <c r="N393" t="n">
        <v>0</v>
      </c>
      <c r="O393" t="n">
        <v>0</v>
      </c>
      <c r="P393" t="n">
        <v>0</v>
      </c>
      <c r="Q393" t="n">
        <v>0</v>
      </c>
      <c r="R393" s="2" t="inlineStr"/>
    </row>
    <row r="394" ht="15" customHeight="1">
      <c r="A394" t="inlineStr">
        <is>
          <t>A 38814-2018</t>
        </is>
      </c>
      <c r="B394" s="1" t="n">
        <v>43336</v>
      </c>
      <c r="C394" s="1" t="n">
        <v>45360</v>
      </c>
      <c r="D394" t="inlineStr">
        <is>
          <t>ÖREBRO LÄN</t>
        </is>
      </c>
      <c r="E394" t="inlineStr">
        <is>
          <t>ÖREBRO</t>
        </is>
      </c>
      <c r="G394" t="n">
        <v>4.8</v>
      </c>
      <c r="H394" t="n">
        <v>0</v>
      </c>
      <c r="I394" t="n">
        <v>0</v>
      </c>
      <c r="J394" t="n">
        <v>0</v>
      </c>
      <c r="K394" t="n">
        <v>0</v>
      </c>
      <c r="L394" t="n">
        <v>0</v>
      </c>
      <c r="M394" t="n">
        <v>0</v>
      </c>
      <c r="N394" t="n">
        <v>0</v>
      </c>
      <c r="O394" t="n">
        <v>0</v>
      </c>
      <c r="P394" t="n">
        <v>0</v>
      </c>
      <c r="Q394" t="n">
        <v>0</v>
      </c>
      <c r="R394" s="2" t="inlineStr"/>
    </row>
    <row r="395" ht="15" customHeight="1">
      <c r="A395" t="inlineStr">
        <is>
          <t>A 38360-2018</t>
        </is>
      </c>
      <c r="B395" s="1" t="n">
        <v>43339</v>
      </c>
      <c r="C395" s="1" t="n">
        <v>45360</v>
      </c>
      <c r="D395" t="inlineStr">
        <is>
          <t>ÖREBRO LÄN</t>
        </is>
      </c>
      <c r="E395" t="inlineStr">
        <is>
          <t>LINDESBERG</t>
        </is>
      </c>
      <c r="G395" t="n">
        <v>4.8</v>
      </c>
      <c r="H395" t="n">
        <v>0</v>
      </c>
      <c r="I395" t="n">
        <v>0</v>
      </c>
      <c r="J395" t="n">
        <v>0</v>
      </c>
      <c r="K395" t="n">
        <v>0</v>
      </c>
      <c r="L395" t="n">
        <v>0</v>
      </c>
      <c r="M395" t="n">
        <v>0</v>
      </c>
      <c r="N395" t="n">
        <v>0</v>
      </c>
      <c r="O395" t="n">
        <v>0</v>
      </c>
      <c r="P395" t="n">
        <v>0</v>
      </c>
      <c r="Q395" t="n">
        <v>0</v>
      </c>
      <c r="R395" s="2" t="inlineStr"/>
    </row>
    <row r="396" ht="15" customHeight="1">
      <c r="A396" t="inlineStr">
        <is>
          <t>A 38322-2018</t>
        </is>
      </c>
      <c r="B396" s="1" t="n">
        <v>43339</v>
      </c>
      <c r="C396" s="1" t="n">
        <v>45360</v>
      </c>
      <c r="D396" t="inlineStr">
        <is>
          <t>ÖREBRO LÄN</t>
        </is>
      </c>
      <c r="E396" t="inlineStr">
        <is>
          <t>DEGERFORS</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39143-2018</t>
        </is>
      </c>
      <c r="B397" s="1" t="n">
        <v>43339</v>
      </c>
      <c r="C397" s="1" t="n">
        <v>45360</v>
      </c>
      <c r="D397" t="inlineStr">
        <is>
          <t>ÖREBRO LÄN</t>
        </is>
      </c>
      <c r="E397" t="inlineStr">
        <is>
          <t>KARLSKOGA</t>
        </is>
      </c>
      <c r="G397" t="n">
        <v>2.4</v>
      </c>
      <c r="H397" t="n">
        <v>0</v>
      </c>
      <c r="I397" t="n">
        <v>0</v>
      </c>
      <c r="J397" t="n">
        <v>0</v>
      </c>
      <c r="K397" t="n">
        <v>0</v>
      </c>
      <c r="L397" t="n">
        <v>0</v>
      </c>
      <c r="M397" t="n">
        <v>0</v>
      </c>
      <c r="N397" t="n">
        <v>0</v>
      </c>
      <c r="O397" t="n">
        <v>0</v>
      </c>
      <c r="P397" t="n">
        <v>0</v>
      </c>
      <c r="Q397" t="n">
        <v>0</v>
      </c>
      <c r="R397" s="2" t="inlineStr"/>
    </row>
    <row r="398" ht="15" customHeight="1">
      <c r="A398" t="inlineStr">
        <is>
          <t>A 39495-2018</t>
        </is>
      </c>
      <c r="B398" s="1" t="n">
        <v>43341</v>
      </c>
      <c r="C398" s="1" t="n">
        <v>45360</v>
      </c>
      <c r="D398" t="inlineStr">
        <is>
          <t>ÖREBRO LÄN</t>
        </is>
      </c>
      <c r="E398" t="inlineStr">
        <is>
          <t>KUMLA</t>
        </is>
      </c>
      <c r="G398" t="n">
        <v>0.9</v>
      </c>
      <c r="H398" t="n">
        <v>0</v>
      </c>
      <c r="I398" t="n">
        <v>0</v>
      </c>
      <c r="J398" t="n">
        <v>0</v>
      </c>
      <c r="K398" t="n">
        <v>0</v>
      </c>
      <c r="L398" t="n">
        <v>0</v>
      </c>
      <c r="M398" t="n">
        <v>0</v>
      </c>
      <c r="N398" t="n">
        <v>0</v>
      </c>
      <c r="O398" t="n">
        <v>0</v>
      </c>
      <c r="P398" t="n">
        <v>0</v>
      </c>
      <c r="Q398" t="n">
        <v>0</v>
      </c>
      <c r="R398" s="2" t="inlineStr"/>
    </row>
    <row r="399" ht="15" customHeight="1">
      <c r="A399" t="inlineStr">
        <is>
          <t>A 39986-2018</t>
        </is>
      </c>
      <c r="B399" s="1" t="n">
        <v>43343</v>
      </c>
      <c r="C399" s="1" t="n">
        <v>45360</v>
      </c>
      <c r="D399" t="inlineStr">
        <is>
          <t>ÖREBRO LÄN</t>
        </is>
      </c>
      <c r="E399" t="inlineStr">
        <is>
          <t>NORA</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40740-2018</t>
        </is>
      </c>
      <c r="B400" s="1" t="n">
        <v>43343</v>
      </c>
      <c r="C400" s="1" t="n">
        <v>45360</v>
      </c>
      <c r="D400" t="inlineStr">
        <is>
          <t>ÖREBRO LÄN</t>
        </is>
      </c>
      <c r="E400" t="inlineStr">
        <is>
          <t>ASKERSUND</t>
        </is>
      </c>
      <c r="G400" t="n">
        <v>4.3</v>
      </c>
      <c r="H400" t="n">
        <v>0</v>
      </c>
      <c r="I400" t="n">
        <v>0</v>
      </c>
      <c r="J400" t="n">
        <v>0</v>
      </c>
      <c r="K400" t="n">
        <v>0</v>
      </c>
      <c r="L400" t="n">
        <v>0</v>
      </c>
      <c r="M400" t="n">
        <v>0</v>
      </c>
      <c r="N400" t="n">
        <v>0</v>
      </c>
      <c r="O400" t="n">
        <v>0</v>
      </c>
      <c r="P400" t="n">
        <v>0</v>
      </c>
      <c r="Q400" t="n">
        <v>0</v>
      </c>
      <c r="R400" s="2" t="inlineStr"/>
    </row>
    <row r="401" ht="15" customHeight="1">
      <c r="A401" t="inlineStr">
        <is>
          <t>A 40635-2018</t>
        </is>
      </c>
      <c r="B401" s="1" t="n">
        <v>43346</v>
      </c>
      <c r="C401" s="1" t="n">
        <v>45360</v>
      </c>
      <c r="D401" t="inlineStr">
        <is>
          <t>ÖREBRO LÄN</t>
        </is>
      </c>
      <c r="E401" t="inlineStr">
        <is>
          <t>ASKERSUND</t>
        </is>
      </c>
      <c r="G401" t="n">
        <v>7.3</v>
      </c>
      <c r="H401" t="n">
        <v>0</v>
      </c>
      <c r="I401" t="n">
        <v>0</v>
      </c>
      <c r="J401" t="n">
        <v>0</v>
      </c>
      <c r="K401" t="n">
        <v>0</v>
      </c>
      <c r="L401" t="n">
        <v>0</v>
      </c>
      <c r="M401" t="n">
        <v>0</v>
      </c>
      <c r="N401" t="n">
        <v>0</v>
      </c>
      <c r="O401" t="n">
        <v>0</v>
      </c>
      <c r="P401" t="n">
        <v>0</v>
      </c>
      <c r="Q401" t="n">
        <v>0</v>
      </c>
      <c r="R401" s="2" t="inlineStr"/>
    </row>
    <row r="402" ht="15" customHeight="1">
      <c r="A402" t="inlineStr">
        <is>
          <t>A 41936-2018</t>
        </is>
      </c>
      <c r="B402" s="1" t="n">
        <v>43348</v>
      </c>
      <c r="C402" s="1" t="n">
        <v>45360</v>
      </c>
      <c r="D402" t="inlineStr">
        <is>
          <t>ÖREBRO LÄN</t>
        </is>
      </c>
      <c r="E402" t="inlineStr">
        <is>
          <t>ASKERSUND</t>
        </is>
      </c>
      <c r="G402" t="n">
        <v>3.9</v>
      </c>
      <c r="H402" t="n">
        <v>0</v>
      </c>
      <c r="I402" t="n">
        <v>0</v>
      </c>
      <c r="J402" t="n">
        <v>0</v>
      </c>
      <c r="K402" t="n">
        <v>0</v>
      </c>
      <c r="L402" t="n">
        <v>0</v>
      </c>
      <c r="M402" t="n">
        <v>0</v>
      </c>
      <c r="N402" t="n">
        <v>0</v>
      </c>
      <c r="O402" t="n">
        <v>0</v>
      </c>
      <c r="P402" t="n">
        <v>0</v>
      </c>
      <c r="Q402" t="n">
        <v>0</v>
      </c>
      <c r="R402" s="2" t="inlineStr"/>
    </row>
    <row r="403" ht="15" customHeight="1">
      <c r="A403" t="inlineStr">
        <is>
          <t>A 43034-2018</t>
        </is>
      </c>
      <c r="B403" s="1" t="n">
        <v>43353</v>
      </c>
      <c r="C403" s="1" t="n">
        <v>45360</v>
      </c>
      <c r="D403" t="inlineStr">
        <is>
          <t>ÖREBRO LÄN</t>
        </is>
      </c>
      <c r="E403" t="inlineStr">
        <is>
          <t>HALLSBERG</t>
        </is>
      </c>
      <c r="G403" t="n">
        <v>1.5</v>
      </c>
      <c r="H403" t="n">
        <v>0</v>
      </c>
      <c r="I403" t="n">
        <v>0</v>
      </c>
      <c r="J403" t="n">
        <v>0</v>
      </c>
      <c r="K403" t="n">
        <v>0</v>
      </c>
      <c r="L403" t="n">
        <v>0</v>
      </c>
      <c r="M403" t="n">
        <v>0</v>
      </c>
      <c r="N403" t="n">
        <v>0</v>
      </c>
      <c r="O403" t="n">
        <v>0</v>
      </c>
      <c r="P403" t="n">
        <v>0</v>
      </c>
      <c r="Q403" t="n">
        <v>0</v>
      </c>
      <c r="R403" s="2" t="inlineStr"/>
    </row>
    <row r="404" ht="15" customHeight="1">
      <c r="A404" t="inlineStr">
        <is>
          <t>A 43222-2018</t>
        </is>
      </c>
      <c r="B404" s="1" t="n">
        <v>43353</v>
      </c>
      <c r="C404" s="1" t="n">
        <v>45360</v>
      </c>
      <c r="D404" t="inlineStr">
        <is>
          <t>ÖREBRO LÄN</t>
        </is>
      </c>
      <c r="E404" t="inlineStr">
        <is>
          <t>ÖREBRO</t>
        </is>
      </c>
      <c r="G404" t="n">
        <v>3.7</v>
      </c>
      <c r="H404" t="n">
        <v>0</v>
      </c>
      <c r="I404" t="n">
        <v>0</v>
      </c>
      <c r="J404" t="n">
        <v>0</v>
      </c>
      <c r="K404" t="n">
        <v>0</v>
      </c>
      <c r="L404" t="n">
        <v>0</v>
      </c>
      <c r="M404" t="n">
        <v>0</v>
      </c>
      <c r="N404" t="n">
        <v>0</v>
      </c>
      <c r="O404" t="n">
        <v>0</v>
      </c>
      <c r="P404" t="n">
        <v>0</v>
      </c>
      <c r="Q404" t="n">
        <v>0</v>
      </c>
      <c r="R404" s="2" t="inlineStr"/>
    </row>
    <row r="405" ht="15" customHeight="1">
      <c r="A405" t="inlineStr">
        <is>
          <t>A 43041-2018</t>
        </is>
      </c>
      <c r="B405" s="1" t="n">
        <v>43353</v>
      </c>
      <c r="C405" s="1" t="n">
        <v>45360</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44536-2018</t>
        </is>
      </c>
      <c r="B406" s="1" t="n">
        <v>43355</v>
      </c>
      <c r="C406" s="1" t="n">
        <v>45360</v>
      </c>
      <c r="D406" t="inlineStr">
        <is>
          <t>ÖREBRO LÄN</t>
        </is>
      </c>
      <c r="E406" t="inlineStr">
        <is>
          <t>ASKERSUND</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44495-2018</t>
        </is>
      </c>
      <c r="B407" s="1" t="n">
        <v>43355</v>
      </c>
      <c r="C407" s="1" t="n">
        <v>45360</v>
      </c>
      <c r="D407" t="inlineStr">
        <is>
          <t>ÖREBRO LÄN</t>
        </is>
      </c>
      <c r="E407" t="inlineStr">
        <is>
          <t>ASKERSUND</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44430-2018</t>
        </is>
      </c>
      <c r="B408" s="1" t="n">
        <v>43356</v>
      </c>
      <c r="C408" s="1" t="n">
        <v>45360</v>
      </c>
      <c r="D408" t="inlineStr">
        <is>
          <t>ÖREBRO LÄN</t>
        </is>
      </c>
      <c r="E408" t="inlineStr">
        <is>
          <t>KARLSKOGA</t>
        </is>
      </c>
      <c r="F408" t="inlineStr">
        <is>
          <t>Övriga Aktiebolag</t>
        </is>
      </c>
      <c r="G408" t="n">
        <v>14.8</v>
      </c>
      <c r="H408" t="n">
        <v>0</v>
      </c>
      <c r="I408" t="n">
        <v>0</v>
      </c>
      <c r="J408" t="n">
        <v>0</v>
      </c>
      <c r="K408" t="n">
        <v>0</v>
      </c>
      <c r="L408" t="n">
        <v>0</v>
      </c>
      <c r="M408" t="n">
        <v>0</v>
      </c>
      <c r="N408" t="n">
        <v>0</v>
      </c>
      <c r="O408" t="n">
        <v>0</v>
      </c>
      <c r="P408" t="n">
        <v>0</v>
      </c>
      <c r="Q408" t="n">
        <v>0</v>
      </c>
      <c r="R408" s="2" t="inlineStr"/>
    </row>
    <row r="409" ht="15" customHeight="1">
      <c r="A409" t="inlineStr">
        <is>
          <t>A 44670-2018</t>
        </is>
      </c>
      <c r="B409" s="1" t="n">
        <v>43357</v>
      </c>
      <c r="C409" s="1" t="n">
        <v>45360</v>
      </c>
      <c r="D409" t="inlineStr">
        <is>
          <t>ÖREBRO LÄN</t>
        </is>
      </c>
      <c r="E409" t="inlineStr">
        <is>
          <t>LAXÅ</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43662-2018</t>
        </is>
      </c>
      <c r="B410" s="1" t="n">
        <v>43357</v>
      </c>
      <c r="C410" s="1" t="n">
        <v>45360</v>
      </c>
      <c r="D410" t="inlineStr">
        <is>
          <t>ÖREBRO LÄN</t>
        </is>
      </c>
      <c r="E410" t="inlineStr">
        <is>
          <t>ÖREBRO</t>
        </is>
      </c>
      <c r="G410" t="n">
        <v>4.6</v>
      </c>
      <c r="H410" t="n">
        <v>0</v>
      </c>
      <c r="I410" t="n">
        <v>0</v>
      </c>
      <c r="J410" t="n">
        <v>0</v>
      </c>
      <c r="K410" t="n">
        <v>0</v>
      </c>
      <c r="L410" t="n">
        <v>0</v>
      </c>
      <c r="M410" t="n">
        <v>0</v>
      </c>
      <c r="N410" t="n">
        <v>0</v>
      </c>
      <c r="O410" t="n">
        <v>0</v>
      </c>
      <c r="P410" t="n">
        <v>0</v>
      </c>
      <c r="Q410" t="n">
        <v>0</v>
      </c>
      <c r="R410" s="2" t="inlineStr"/>
    </row>
    <row r="411" ht="15" customHeight="1">
      <c r="A411" t="inlineStr">
        <is>
          <t>A 44665-2018</t>
        </is>
      </c>
      <c r="B411" s="1" t="n">
        <v>43357</v>
      </c>
      <c r="C411" s="1" t="n">
        <v>45360</v>
      </c>
      <c r="D411" t="inlineStr">
        <is>
          <t>ÖREBRO LÄN</t>
        </is>
      </c>
      <c r="E411" t="inlineStr">
        <is>
          <t>DEGERFORS</t>
        </is>
      </c>
      <c r="G411" t="n">
        <v>0.9</v>
      </c>
      <c r="H411" t="n">
        <v>0</v>
      </c>
      <c r="I411" t="n">
        <v>0</v>
      </c>
      <c r="J411" t="n">
        <v>0</v>
      </c>
      <c r="K411" t="n">
        <v>0</v>
      </c>
      <c r="L411" t="n">
        <v>0</v>
      </c>
      <c r="M411" t="n">
        <v>0</v>
      </c>
      <c r="N411" t="n">
        <v>0</v>
      </c>
      <c r="O411" t="n">
        <v>0</v>
      </c>
      <c r="P411" t="n">
        <v>0</v>
      </c>
      <c r="Q411" t="n">
        <v>0</v>
      </c>
      <c r="R411" s="2" t="inlineStr"/>
    </row>
    <row r="412" ht="15" customHeight="1">
      <c r="A412" t="inlineStr">
        <is>
          <t>A 44693-2018</t>
        </is>
      </c>
      <c r="B412" s="1" t="n">
        <v>43361</v>
      </c>
      <c r="C412" s="1" t="n">
        <v>45360</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44754-2018</t>
        </is>
      </c>
      <c r="B413" s="1" t="n">
        <v>43361</v>
      </c>
      <c r="C413" s="1" t="n">
        <v>45360</v>
      </c>
      <c r="D413" t="inlineStr">
        <is>
          <t>ÖREBRO LÄN</t>
        </is>
      </c>
      <c r="E413" t="inlineStr">
        <is>
          <t>ÖREBRO</t>
        </is>
      </c>
      <c r="G413" t="n">
        <v>5.3</v>
      </c>
      <c r="H413" t="n">
        <v>0</v>
      </c>
      <c r="I413" t="n">
        <v>0</v>
      </c>
      <c r="J413" t="n">
        <v>0</v>
      </c>
      <c r="K413" t="n">
        <v>0</v>
      </c>
      <c r="L413" t="n">
        <v>0</v>
      </c>
      <c r="M413" t="n">
        <v>0</v>
      </c>
      <c r="N413" t="n">
        <v>0</v>
      </c>
      <c r="O413" t="n">
        <v>0</v>
      </c>
      <c r="P413" t="n">
        <v>0</v>
      </c>
      <c r="Q413" t="n">
        <v>0</v>
      </c>
      <c r="R413" s="2" t="inlineStr"/>
    </row>
    <row r="414" ht="15" customHeight="1">
      <c r="A414" t="inlineStr">
        <is>
          <t>A 44741-2018</t>
        </is>
      </c>
      <c r="B414" s="1" t="n">
        <v>43361</v>
      </c>
      <c r="C414" s="1" t="n">
        <v>45360</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row>
    <row r="415" ht="15" customHeight="1">
      <c r="A415" t="inlineStr">
        <is>
          <t>A 45692-2018</t>
        </is>
      </c>
      <c r="B415" s="1" t="n">
        <v>43362</v>
      </c>
      <c r="C415" s="1" t="n">
        <v>45360</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45744-2018</t>
        </is>
      </c>
      <c r="B416" s="1" t="n">
        <v>43362</v>
      </c>
      <c r="C416" s="1" t="n">
        <v>45360</v>
      </c>
      <c r="D416" t="inlineStr">
        <is>
          <t>ÖREBRO LÄN</t>
        </is>
      </c>
      <c r="E416" t="inlineStr">
        <is>
          <t>ASKERSUND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46340-2018</t>
        </is>
      </c>
      <c r="B417" s="1" t="n">
        <v>43363</v>
      </c>
      <c r="C417" s="1" t="n">
        <v>45360</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45544-2018</t>
        </is>
      </c>
      <c r="B418" s="1" t="n">
        <v>43363</v>
      </c>
      <c r="C418" s="1" t="n">
        <v>45360</v>
      </c>
      <c r="D418" t="inlineStr">
        <is>
          <t>ÖREBRO LÄN</t>
        </is>
      </c>
      <c r="E418" t="inlineStr">
        <is>
          <t>LEKEBERG</t>
        </is>
      </c>
      <c r="G418" t="n">
        <v>1.2</v>
      </c>
      <c r="H418" t="n">
        <v>0</v>
      </c>
      <c r="I418" t="n">
        <v>0</v>
      </c>
      <c r="J418" t="n">
        <v>0</v>
      </c>
      <c r="K418" t="n">
        <v>0</v>
      </c>
      <c r="L418" t="n">
        <v>0</v>
      </c>
      <c r="M418" t="n">
        <v>0</v>
      </c>
      <c r="N418" t="n">
        <v>0</v>
      </c>
      <c r="O418" t="n">
        <v>0</v>
      </c>
      <c r="P418" t="n">
        <v>0</v>
      </c>
      <c r="Q418" t="n">
        <v>0</v>
      </c>
      <c r="R418" s="2" t="inlineStr"/>
    </row>
    <row r="419" ht="15" customHeight="1">
      <c r="A419" t="inlineStr">
        <is>
          <t>A 46230-2018</t>
        </is>
      </c>
      <c r="B419" s="1" t="n">
        <v>43367</v>
      </c>
      <c r="C419" s="1" t="n">
        <v>45360</v>
      </c>
      <c r="D419" t="inlineStr">
        <is>
          <t>ÖREBRO LÄN</t>
        </is>
      </c>
      <c r="E419" t="inlineStr">
        <is>
          <t>DEGERFORS</t>
        </is>
      </c>
      <c r="G419" t="n">
        <v>10.6</v>
      </c>
      <c r="H419" t="n">
        <v>0</v>
      </c>
      <c r="I419" t="n">
        <v>0</v>
      </c>
      <c r="J419" t="n">
        <v>0</v>
      </c>
      <c r="K419" t="n">
        <v>0</v>
      </c>
      <c r="L419" t="n">
        <v>0</v>
      </c>
      <c r="M419" t="n">
        <v>0</v>
      </c>
      <c r="N419" t="n">
        <v>0</v>
      </c>
      <c r="O419" t="n">
        <v>0</v>
      </c>
      <c r="P419" t="n">
        <v>0</v>
      </c>
      <c r="Q419" t="n">
        <v>0</v>
      </c>
      <c r="R419" s="2" t="inlineStr"/>
    </row>
    <row r="420" ht="15" customHeight="1">
      <c r="A420" t="inlineStr">
        <is>
          <t>A 48101-2018</t>
        </is>
      </c>
      <c r="B420" s="1" t="n">
        <v>43368</v>
      </c>
      <c r="C420" s="1" t="n">
        <v>45360</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46576-2018</t>
        </is>
      </c>
      <c r="B421" s="1" t="n">
        <v>43368</v>
      </c>
      <c r="C421" s="1" t="n">
        <v>45360</v>
      </c>
      <c r="D421" t="inlineStr">
        <is>
          <t>ÖREBRO LÄN</t>
        </is>
      </c>
      <c r="E421" t="inlineStr">
        <is>
          <t>HÄLLEFORS</t>
        </is>
      </c>
      <c r="F421" t="inlineStr">
        <is>
          <t>Bergvik skog väst AB</t>
        </is>
      </c>
      <c r="G421" t="n">
        <v>5.4</v>
      </c>
      <c r="H421" t="n">
        <v>0</v>
      </c>
      <c r="I421" t="n">
        <v>0</v>
      </c>
      <c r="J421" t="n">
        <v>0</v>
      </c>
      <c r="K421" t="n">
        <v>0</v>
      </c>
      <c r="L421" t="n">
        <v>0</v>
      </c>
      <c r="M421" t="n">
        <v>0</v>
      </c>
      <c r="N421" t="n">
        <v>0</v>
      </c>
      <c r="O421" t="n">
        <v>0</v>
      </c>
      <c r="P421" t="n">
        <v>0</v>
      </c>
      <c r="Q421" t="n">
        <v>0</v>
      </c>
      <c r="R421" s="2" t="inlineStr"/>
    </row>
    <row r="422" ht="15" customHeight="1">
      <c r="A422" t="inlineStr">
        <is>
          <t>A 46522-2018</t>
        </is>
      </c>
      <c r="B422" s="1" t="n">
        <v>43368</v>
      </c>
      <c r="C422" s="1" t="n">
        <v>45360</v>
      </c>
      <c r="D422" t="inlineStr">
        <is>
          <t>ÖREBRO LÄN</t>
        </is>
      </c>
      <c r="E422" t="inlineStr">
        <is>
          <t>LEKEBERG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47998-2018</t>
        </is>
      </c>
      <c r="B423" s="1" t="n">
        <v>43370</v>
      </c>
      <c r="C423" s="1" t="n">
        <v>45360</v>
      </c>
      <c r="D423" t="inlineStr">
        <is>
          <t>ÖREBRO LÄN</t>
        </is>
      </c>
      <c r="E423" t="inlineStr">
        <is>
          <t>KUMLA</t>
        </is>
      </c>
      <c r="G423" t="n">
        <v>5.2</v>
      </c>
      <c r="H423" t="n">
        <v>0</v>
      </c>
      <c r="I423" t="n">
        <v>0</v>
      </c>
      <c r="J423" t="n">
        <v>0</v>
      </c>
      <c r="K423" t="n">
        <v>0</v>
      </c>
      <c r="L423" t="n">
        <v>0</v>
      </c>
      <c r="M423" t="n">
        <v>0</v>
      </c>
      <c r="N423" t="n">
        <v>0</v>
      </c>
      <c r="O423" t="n">
        <v>0</v>
      </c>
      <c r="P423" t="n">
        <v>0</v>
      </c>
      <c r="Q423" t="n">
        <v>0</v>
      </c>
      <c r="R423" s="2" t="inlineStr"/>
    </row>
    <row r="424" ht="15" customHeight="1">
      <c r="A424" t="inlineStr">
        <is>
          <t>A 48099-2018</t>
        </is>
      </c>
      <c r="B424" s="1" t="n">
        <v>43370</v>
      </c>
      <c r="C424" s="1" t="n">
        <v>45360</v>
      </c>
      <c r="D424" t="inlineStr">
        <is>
          <t>ÖREBRO LÄN</t>
        </is>
      </c>
      <c r="E424" t="inlineStr">
        <is>
          <t>LJUSNARSBERG</t>
        </is>
      </c>
      <c r="G424" t="n">
        <v>2.2</v>
      </c>
      <c r="H424" t="n">
        <v>0</v>
      </c>
      <c r="I424" t="n">
        <v>0</v>
      </c>
      <c r="J424" t="n">
        <v>0</v>
      </c>
      <c r="K424" t="n">
        <v>0</v>
      </c>
      <c r="L424" t="n">
        <v>0</v>
      </c>
      <c r="M424" t="n">
        <v>0</v>
      </c>
      <c r="N424" t="n">
        <v>0</v>
      </c>
      <c r="O424" t="n">
        <v>0</v>
      </c>
      <c r="P424" t="n">
        <v>0</v>
      </c>
      <c r="Q424" t="n">
        <v>0</v>
      </c>
      <c r="R424" s="2" t="inlineStr"/>
    </row>
    <row r="425" ht="15" customHeight="1">
      <c r="A425" t="inlineStr">
        <is>
          <t>A 48052-2018</t>
        </is>
      </c>
      <c r="B425" s="1" t="n">
        <v>43371</v>
      </c>
      <c r="C425" s="1" t="n">
        <v>45360</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48553-2018</t>
        </is>
      </c>
      <c r="B426" s="1" t="n">
        <v>43374</v>
      </c>
      <c r="C426" s="1" t="n">
        <v>45360</v>
      </c>
      <c r="D426" t="inlineStr">
        <is>
          <t>ÖREBRO LÄN</t>
        </is>
      </c>
      <c r="E426" t="inlineStr">
        <is>
          <t>LINDESBERG</t>
        </is>
      </c>
      <c r="G426" t="n">
        <v>6.3</v>
      </c>
      <c r="H426" t="n">
        <v>0</v>
      </c>
      <c r="I426" t="n">
        <v>0</v>
      </c>
      <c r="J426" t="n">
        <v>0</v>
      </c>
      <c r="K426" t="n">
        <v>0</v>
      </c>
      <c r="L426" t="n">
        <v>0</v>
      </c>
      <c r="M426" t="n">
        <v>0</v>
      </c>
      <c r="N426" t="n">
        <v>0</v>
      </c>
      <c r="O426" t="n">
        <v>0</v>
      </c>
      <c r="P426" t="n">
        <v>0</v>
      </c>
      <c r="Q426" t="n">
        <v>0</v>
      </c>
      <c r="R426" s="2" t="inlineStr"/>
    </row>
    <row r="427" ht="15" customHeight="1">
      <c r="A427" t="inlineStr">
        <is>
          <t>A 48895-2018</t>
        </is>
      </c>
      <c r="B427" s="1" t="n">
        <v>43375</v>
      </c>
      <c r="C427" s="1" t="n">
        <v>45360</v>
      </c>
      <c r="D427" t="inlineStr">
        <is>
          <t>ÖREBRO LÄN</t>
        </is>
      </c>
      <c r="E427" t="inlineStr">
        <is>
          <t>ÖREBRO</t>
        </is>
      </c>
      <c r="G427" t="n">
        <v>25.2</v>
      </c>
      <c r="H427" t="n">
        <v>0</v>
      </c>
      <c r="I427" t="n">
        <v>0</v>
      </c>
      <c r="J427" t="n">
        <v>0</v>
      </c>
      <c r="K427" t="n">
        <v>0</v>
      </c>
      <c r="L427" t="n">
        <v>0</v>
      </c>
      <c r="M427" t="n">
        <v>0</v>
      </c>
      <c r="N427" t="n">
        <v>0</v>
      </c>
      <c r="O427" t="n">
        <v>0</v>
      </c>
      <c r="P427" t="n">
        <v>0</v>
      </c>
      <c r="Q427" t="n">
        <v>0</v>
      </c>
      <c r="R427" s="2" t="inlineStr"/>
    </row>
    <row r="428" ht="15" customHeight="1">
      <c r="A428" t="inlineStr">
        <is>
          <t>A 49718-2018</t>
        </is>
      </c>
      <c r="B428" s="1" t="n">
        <v>43375</v>
      </c>
      <c r="C428" s="1" t="n">
        <v>45360</v>
      </c>
      <c r="D428" t="inlineStr">
        <is>
          <t>ÖREBRO LÄN</t>
        </is>
      </c>
      <c r="E428" t="inlineStr">
        <is>
          <t>LINDESBERG</t>
        </is>
      </c>
      <c r="G428" t="n">
        <v>3</v>
      </c>
      <c r="H428" t="n">
        <v>0</v>
      </c>
      <c r="I428" t="n">
        <v>0</v>
      </c>
      <c r="J428" t="n">
        <v>0</v>
      </c>
      <c r="K428" t="n">
        <v>0</v>
      </c>
      <c r="L428" t="n">
        <v>0</v>
      </c>
      <c r="M428" t="n">
        <v>0</v>
      </c>
      <c r="N428" t="n">
        <v>0</v>
      </c>
      <c r="O428" t="n">
        <v>0</v>
      </c>
      <c r="P428" t="n">
        <v>0</v>
      </c>
      <c r="Q428" t="n">
        <v>0</v>
      </c>
      <c r="R428" s="2" t="inlineStr"/>
    </row>
    <row r="429" ht="15" customHeight="1">
      <c r="A429" t="inlineStr">
        <is>
          <t>A 49915-2018</t>
        </is>
      </c>
      <c r="B429" s="1" t="n">
        <v>43376</v>
      </c>
      <c r="C429" s="1" t="n">
        <v>45360</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49646-2018</t>
        </is>
      </c>
      <c r="B430" s="1" t="n">
        <v>43377</v>
      </c>
      <c r="C430" s="1" t="n">
        <v>45360</v>
      </c>
      <c r="D430" t="inlineStr">
        <is>
          <t>ÖREBRO LÄN</t>
        </is>
      </c>
      <c r="E430" t="inlineStr">
        <is>
          <t>DEGERFORS</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50841-2018</t>
        </is>
      </c>
      <c r="B431" s="1" t="n">
        <v>43377</v>
      </c>
      <c r="C431" s="1" t="n">
        <v>45360</v>
      </c>
      <c r="D431" t="inlineStr">
        <is>
          <t>ÖREBRO LÄN</t>
        </is>
      </c>
      <c r="E431" t="inlineStr">
        <is>
          <t>HÄLLEFORS</t>
        </is>
      </c>
      <c r="G431" t="n">
        <v>1.9</v>
      </c>
      <c r="H431" t="n">
        <v>0</v>
      </c>
      <c r="I431" t="n">
        <v>0</v>
      </c>
      <c r="J431" t="n">
        <v>0</v>
      </c>
      <c r="K431" t="n">
        <v>0</v>
      </c>
      <c r="L431" t="n">
        <v>0</v>
      </c>
      <c r="M431" t="n">
        <v>0</v>
      </c>
      <c r="N431" t="n">
        <v>0</v>
      </c>
      <c r="O431" t="n">
        <v>0</v>
      </c>
      <c r="P431" t="n">
        <v>0</v>
      </c>
      <c r="Q431" t="n">
        <v>0</v>
      </c>
      <c r="R431" s="2" t="inlineStr"/>
    </row>
    <row r="432" ht="15" customHeight="1">
      <c r="A432" t="inlineStr">
        <is>
          <t>A 50965-2018</t>
        </is>
      </c>
      <c r="B432" s="1" t="n">
        <v>43377</v>
      </c>
      <c r="C432" s="1" t="n">
        <v>45360</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51056-2018</t>
        </is>
      </c>
      <c r="B433" s="1" t="n">
        <v>43377</v>
      </c>
      <c r="C433" s="1" t="n">
        <v>45360</v>
      </c>
      <c r="D433" t="inlineStr">
        <is>
          <t>ÖREBRO LÄN</t>
        </is>
      </c>
      <c r="E433" t="inlineStr">
        <is>
          <t>KUMLA</t>
        </is>
      </c>
      <c r="G433" t="n">
        <v>3.5</v>
      </c>
      <c r="H433" t="n">
        <v>0</v>
      </c>
      <c r="I433" t="n">
        <v>0</v>
      </c>
      <c r="J433" t="n">
        <v>0</v>
      </c>
      <c r="K433" t="n">
        <v>0</v>
      </c>
      <c r="L433" t="n">
        <v>0</v>
      </c>
      <c r="M433" t="n">
        <v>0</v>
      </c>
      <c r="N433" t="n">
        <v>0</v>
      </c>
      <c r="O433" t="n">
        <v>0</v>
      </c>
      <c r="P433" t="n">
        <v>0</v>
      </c>
      <c r="Q433" t="n">
        <v>0</v>
      </c>
      <c r="R433" s="2" t="inlineStr"/>
    </row>
    <row r="434" ht="15" customHeight="1">
      <c r="A434" t="inlineStr">
        <is>
          <t>A 49648-2018</t>
        </is>
      </c>
      <c r="B434" s="1" t="n">
        <v>43377</v>
      </c>
      <c r="C434" s="1" t="n">
        <v>45360</v>
      </c>
      <c r="D434" t="inlineStr">
        <is>
          <t>ÖREBRO LÄN</t>
        </is>
      </c>
      <c r="E434" t="inlineStr">
        <is>
          <t>DEGERFORS</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50844-2018</t>
        </is>
      </c>
      <c r="B435" s="1" t="n">
        <v>43377</v>
      </c>
      <c r="C435" s="1" t="n">
        <v>45360</v>
      </c>
      <c r="D435" t="inlineStr">
        <is>
          <t>ÖREBRO LÄN</t>
        </is>
      </c>
      <c r="E435" t="inlineStr">
        <is>
          <t>HÄLLEFORS</t>
        </is>
      </c>
      <c r="G435" t="n">
        <v>2.2</v>
      </c>
      <c r="H435" t="n">
        <v>0</v>
      </c>
      <c r="I435" t="n">
        <v>0</v>
      </c>
      <c r="J435" t="n">
        <v>0</v>
      </c>
      <c r="K435" t="n">
        <v>0</v>
      </c>
      <c r="L435" t="n">
        <v>0</v>
      </c>
      <c r="M435" t="n">
        <v>0</v>
      </c>
      <c r="N435" t="n">
        <v>0</v>
      </c>
      <c r="O435" t="n">
        <v>0</v>
      </c>
      <c r="P435" t="n">
        <v>0</v>
      </c>
      <c r="Q435" t="n">
        <v>0</v>
      </c>
      <c r="R435" s="2" t="inlineStr"/>
    </row>
    <row r="436" ht="15" customHeight="1">
      <c r="A436" t="inlineStr">
        <is>
          <t>A 50846-2018</t>
        </is>
      </c>
      <c r="B436" s="1" t="n">
        <v>43377</v>
      </c>
      <c r="C436" s="1" t="n">
        <v>45360</v>
      </c>
      <c r="D436" t="inlineStr">
        <is>
          <t>ÖREBRO LÄN</t>
        </is>
      </c>
      <c r="E436" t="inlineStr">
        <is>
          <t>HÄLLEFORS</t>
        </is>
      </c>
      <c r="G436" t="n">
        <v>0.1</v>
      </c>
      <c r="H436" t="n">
        <v>0</v>
      </c>
      <c r="I436" t="n">
        <v>0</v>
      </c>
      <c r="J436" t="n">
        <v>0</v>
      </c>
      <c r="K436" t="n">
        <v>0</v>
      </c>
      <c r="L436" t="n">
        <v>0</v>
      </c>
      <c r="M436" t="n">
        <v>0</v>
      </c>
      <c r="N436" t="n">
        <v>0</v>
      </c>
      <c r="O436" t="n">
        <v>0</v>
      </c>
      <c r="P436" t="n">
        <v>0</v>
      </c>
      <c r="Q436" t="n">
        <v>0</v>
      </c>
      <c r="R436" s="2" t="inlineStr"/>
    </row>
    <row r="437" ht="15" customHeight="1">
      <c r="A437" t="inlineStr">
        <is>
          <t>A 51053-2018</t>
        </is>
      </c>
      <c r="B437" s="1" t="n">
        <v>43377</v>
      </c>
      <c r="C437" s="1" t="n">
        <v>45360</v>
      </c>
      <c r="D437" t="inlineStr">
        <is>
          <t>ÖREBRO LÄN</t>
        </is>
      </c>
      <c r="E437" t="inlineStr">
        <is>
          <t>KUMLA</t>
        </is>
      </c>
      <c r="G437" t="n">
        <v>2.6</v>
      </c>
      <c r="H437" t="n">
        <v>0</v>
      </c>
      <c r="I437" t="n">
        <v>0</v>
      </c>
      <c r="J437" t="n">
        <v>0</v>
      </c>
      <c r="K437" t="n">
        <v>0</v>
      </c>
      <c r="L437" t="n">
        <v>0</v>
      </c>
      <c r="M437" t="n">
        <v>0</v>
      </c>
      <c r="N437" t="n">
        <v>0</v>
      </c>
      <c r="O437" t="n">
        <v>0</v>
      </c>
      <c r="P437" t="n">
        <v>0</v>
      </c>
      <c r="Q437" t="n">
        <v>0</v>
      </c>
      <c r="R437" s="2" t="inlineStr"/>
    </row>
    <row r="438" ht="15" customHeight="1">
      <c r="A438" t="inlineStr">
        <is>
          <t>A 51394-2018</t>
        </is>
      </c>
      <c r="B438" s="1" t="n">
        <v>43378</v>
      </c>
      <c r="C438" s="1" t="n">
        <v>45360</v>
      </c>
      <c r="D438" t="inlineStr">
        <is>
          <t>ÖREBRO LÄN</t>
        </is>
      </c>
      <c r="E438" t="inlineStr">
        <is>
          <t>LINDESBERG</t>
        </is>
      </c>
      <c r="G438" t="n">
        <v>7.9</v>
      </c>
      <c r="H438" t="n">
        <v>0</v>
      </c>
      <c r="I438" t="n">
        <v>0</v>
      </c>
      <c r="J438" t="n">
        <v>0</v>
      </c>
      <c r="K438" t="n">
        <v>0</v>
      </c>
      <c r="L438" t="n">
        <v>0</v>
      </c>
      <c r="M438" t="n">
        <v>0</v>
      </c>
      <c r="N438" t="n">
        <v>0</v>
      </c>
      <c r="O438" t="n">
        <v>0</v>
      </c>
      <c r="P438" t="n">
        <v>0</v>
      </c>
      <c r="Q438" t="n">
        <v>0</v>
      </c>
      <c r="R438" s="2" t="inlineStr"/>
    </row>
    <row r="439" ht="15" customHeight="1">
      <c r="A439" t="inlineStr">
        <is>
          <t>A 51133-2018</t>
        </is>
      </c>
      <c r="B439" s="1" t="n">
        <v>43378</v>
      </c>
      <c r="C439" s="1" t="n">
        <v>45360</v>
      </c>
      <c r="D439" t="inlineStr">
        <is>
          <t>ÖREBRO LÄN</t>
        </is>
      </c>
      <c r="E439" t="inlineStr">
        <is>
          <t>LEKEBERG</t>
        </is>
      </c>
      <c r="G439" t="n">
        <v>0.9</v>
      </c>
      <c r="H439" t="n">
        <v>0</v>
      </c>
      <c r="I439" t="n">
        <v>0</v>
      </c>
      <c r="J439" t="n">
        <v>0</v>
      </c>
      <c r="K439" t="n">
        <v>0</v>
      </c>
      <c r="L439" t="n">
        <v>0</v>
      </c>
      <c r="M439" t="n">
        <v>0</v>
      </c>
      <c r="N439" t="n">
        <v>0</v>
      </c>
      <c r="O439" t="n">
        <v>0</v>
      </c>
      <c r="P439" t="n">
        <v>0</v>
      </c>
      <c r="Q439" t="n">
        <v>0</v>
      </c>
      <c r="R439" s="2" t="inlineStr"/>
    </row>
    <row r="440" ht="15" customHeight="1">
      <c r="A440" t="inlineStr">
        <is>
          <t>A 51492-2018</t>
        </is>
      </c>
      <c r="B440" s="1" t="n">
        <v>43381</v>
      </c>
      <c r="C440" s="1" t="n">
        <v>45360</v>
      </c>
      <c r="D440" t="inlineStr">
        <is>
          <t>ÖREBRO LÄN</t>
        </is>
      </c>
      <c r="E440" t="inlineStr">
        <is>
          <t>ÖREBRO</t>
        </is>
      </c>
      <c r="G440" t="n">
        <v>3.5</v>
      </c>
      <c r="H440" t="n">
        <v>0</v>
      </c>
      <c r="I440" t="n">
        <v>0</v>
      </c>
      <c r="J440" t="n">
        <v>0</v>
      </c>
      <c r="K440" t="n">
        <v>0</v>
      </c>
      <c r="L440" t="n">
        <v>0</v>
      </c>
      <c r="M440" t="n">
        <v>0</v>
      </c>
      <c r="N440" t="n">
        <v>0</v>
      </c>
      <c r="O440" t="n">
        <v>0</v>
      </c>
      <c r="P440" t="n">
        <v>0</v>
      </c>
      <c r="Q440" t="n">
        <v>0</v>
      </c>
      <c r="R440" s="2" t="inlineStr"/>
    </row>
    <row r="441" ht="15" customHeight="1">
      <c r="A441" t="inlineStr">
        <is>
          <t>A 51714-2018</t>
        </is>
      </c>
      <c r="B441" s="1" t="n">
        <v>43381</v>
      </c>
      <c r="C441" s="1" t="n">
        <v>45360</v>
      </c>
      <c r="D441" t="inlineStr">
        <is>
          <t>ÖREBRO LÄN</t>
        </is>
      </c>
      <c r="E441" t="inlineStr">
        <is>
          <t>HALLSBERG</t>
        </is>
      </c>
      <c r="G441" t="n">
        <v>1.2</v>
      </c>
      <c r="H441" t="n">
        <v>0</v>
      </c>
      <c r="I441" t="n">
        <v>0</v>
      </c>
      <c r="J441" t="n">
        <v>0</v>
      </c>
      <c r="K441" t="n">
        <v>0</v>
      </c>
      <c r="L441" t="n">
        <v>0</v>
      </c>
      <c r="M441" t="n">
        <v>0</v>
      </c>
      <c r="N441" t="n">
        <v>0</v>
      </c>
      <c r="O441" t="n">
        <v>0</v>
      </c>
      <c r="P441" t="n">
        <v>0</v>
      </c>
      <c r="Q441" t="n">
        <v>0</v>
      </c>
      <c r="R441" s="2" t="inlineStr"/>
    </row>
    <row r="442" ht="15" customHeight="1">
      <c r="A442" t="inlineStr">
        <is>
          <t>A 50993-2018</t>
        </is>
      </c>
      <c r="B442" s="1" t="n">
        <v>43382</v>
      </c>
      <c r="C442" s="1" t="n">
        <v>45360</v>
      </c>
      <c r="D442" t="inlineStr">
        <is>
          <t>ÖREBRO LÄN</t>
        </is>
      </c>
      <c r="E442" t="inlineStr">
        <is>
          <t>LEKEBERG</t>
        </is>
      </c>
      <c r="G442" t="n">
        <v>5.1</v>
      </c>
      <c r="H442" t="n">
        <v>0</v>
      </c>
      <c r="I442" t="n">
        <v>0</v>
      </c>
      <c r="J442" t="n">
        <v>0</v>
      </c>
      <c r="K442" t="n">
        <v>0</v>
      </c>
      <c r="L442" t="n">
        <v>0</v>
      </c>
      <c r="M442" t="n">
        <v>0</v>
      </c>
      <c r="N442" t="n">
        <v>0</v>
      </c>
      <c r="O442" t="n">
        <v>0</v>
      </c>
      <c r="P442" t="n">
        <v>0</v>
      </c>
      <c r="Q442" t="n">
        <v>0</v>
      </c>
      <c r="R442" s="2" t="inlineStr"/>
    </row>
    <row r="443" ht="15" customHeight="1">
      <c r="A443" t="inlineStr">
        <is>
          <t>A 52734-2018</t>
        </is>
      </c>
      <c r="B443" s="1" t="n">
        <v>43384</v>
      </c>
      <c r="C443" s="1" t="n">
        <v>45360</v>
      </c>
      <c r="D443" t="inlineStr">
        <is>
          <t>ÖREBRO LÄN</t>
        </is>
      </c>
      <c r="E443" t="inlineStr">
        <is>
          <t>HALLSBERG</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53485-2018</t>
        </is>
      </c>
      <c r="B444" s="1" t="n">
        <v>43385</v>
      </c>
      <c r="C444" s="1" t="n">
        <v>45360</v>
      </c>
      <c r="D444" t="inlineStr">
        <is>
          <t>ÖREBRO LÄN</t>
        </is>
      </c>
      <c r="E444" t="inlineStr">
        <is>
          <t>ASKERSUND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53498-2018</t>
        </is>
      </c>
      <c r="B445" s="1" t="n">
        <v>43385</v>
      </c>
      <c r="C445" s="1" t="n">
        <v>45360</v>
      </c>
      <c r="D445" t="inlineStr">
        <is>
          <t>ÖREBRO LÄN</t>
        </is>
      </c>
      <c r="E445" t="inlineStr">
        <is>
          <t>ASKERSUND</t>
        </is>
      </c>
      <c r="G445" t="n">
        <v>3.2</v>
      </c>
      <c r="H445" t="n">
        <v>0</v>
      </c>
      <c r="I445" t="n">
        <v>0</v>
      </c>
      <c r="J445" t="n">
        <v>0</v>
      </c>
      <c r="K445" t="n">
        <v>0</v>
      </c>
      <c r="L445" t="n">
        <v>0</v>
      </c>
      <c r="M445" t="n">
        <v>0</v>
      </c>
      <c r="N445" t="n">
        <v>0</v>
      </c>
      <c r="O445" t="n">
        <v>0</v>
      </c>
      <c r="P445" t="n">
        <v>0</v>
      </c>
      <c r="Q445" t="n">
        <v>0</v>
      </c>
      <c r="R445" s="2" t="inlineStr"/>
    </row>
    <row r="446" ht="15" customHeight="1">
      <c r="A446" t="inlineStr">
        <is>
          <t>A 54149-2018</t>
        </is>
      </c>
      <c r="B446" s="1" t="n">
        <v>43389</v>
      </c>
      <c r="C446" s="1" t="n">
        <v>45360</v>
      </c>
      <c r="D446" t="inlineStr">
        <is>
          <t>ÖREBRO LÄN</t>
        </is>
      </c>
      <c r="E446" t="inlineStr">
        <is>
          <t>ÖREBRO</t>
        </is>
      </c>
      <c r="G446" t="n">
        <v>6.9</v>
      </c>
      <c r="H446" t="n">
        <v>0</v>
      </c>
      <c r="I446" t="n">
        <v>0</v>
      </c>
      <c r="J446" t="n">
        <v>0</v>
      </c>
      <c r="K446" t="n">
        <v>0</v>
      </c>
      <c r="L446" t="n">
        <v>0</v>
      </c>
      <c r="M446" t="n">
        <v>0</v>
      </c>
      <c r="N446" t="n">
        <v>0</v>
      </c>
      <c r="O446" t="n">
        <v>0</v>
      </c>
      <c r="P446" t="n">
        <v>0</v>
      </c>
      <c r="Q446" t="n">
        <v>0</v>
      </c>
      <c r="R446" s="2" t="inlineStr"/>
    </row>
    <row r="447" ht="15" customHeight="1">
      <c r="A447" t="inlineStr">
        <is>
          <t>A 53110-2018</t>
        </is>
      </c>
      <c r="B447" s="1" t="n">
        <v>43390</v>
      </c>
      <c r="C447" s="1" t="n">
        <v>45360</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53113-2018</t>
        </is>
      </c>
      <c r="B448" s="1" t="n">
        <v>43390</v>
      </c>
      <c r="C448" s="1" t="n">
        <v>45360</v>
      </c>
      <c r="D448" t="inlineStr">
        <is>
          <t>ÖREBRO LÄN</t>
        </is>
      </c>
      <c r="E448" t="inlineStr">
        <is>
          <t>LINDESBERG</t>
        </is>
      </c>
      <c r="G448" t="n">
        <v>8.4</v>
      </c>
      <c r="H448" t="n">
        <v>0</v>
      </c>
      <c r="I448" t="n">
        <v>0</v>
      </c>
      <c r="J448" t="n">
        <v>0</v>
      </c>
      <c r="K448" t="n">
        <v>0</v>
      </c>
      <c r="L448" t="n">
        <v>0</v>
      </c>
      <c r="M448" t="n">
        <v>0</v>
      </c>
      <c r="N448" t="n">
        <v>0</v>
      </c>
      <c r="O448" t="n">
        <v>0</v>
      </c>
      <c r="P448" t="n">
        <v>0</v>
      </c>
      <c r="Q448" t="n">
        <v>0</v>
      </c>
      <c r="R448" s="2" t="inlineStr"/>
    </row>
    <row r="449" ht="15" customHeight="1">
      <c r="A449" t="inlineStr">
        <is>
          <t>A 53819-2018</t>
        </is>
      </c>
      <c r="B449" s="1" t="n">
        <v>43391</v>
      </c>
      <c r="C449" s="1" t="n">
        <v>45360</v>
      </c>
      <c r="D449" t="inlineStr">
        <is>
          <t>ÖREBRO LÄN</t>
        </is>
      </c>
      <c r="E449" t="inlineStr">
        <is>
          <t>LEKEBERG</t>
        </is>
      </c>
      <c r="G449" t="n">
        <v>3.1</v>
      </c>
      <c r="H449" t="n">
        <v>0</v>
      </c>
      <c r="I449" t="n">
        <v>0</v>
      </c>
      <c r="J449" t="n">
        <v>0</v>
      </c>
      <c r="K449" t="n">
        <v>0</v>
      </c>
      <c r="L449" t="n">
        <v>0</v>
      </c>
      <c r="M449" t="n">
        <v>0</v>
      </c>
      <c r="N449" t="n">
        <v>0</v>
      </c>
      <c r="O449" t="n">
        <v>0</v>
      </c>
      <c r="P449" t="n">
        <v>0</v>
      </c>
      <c r="Q449" t="n">
        <v>0</v>
      </c>
      <c r="R449" s="2" t="inlineStr"/>
    </row>
    <row r="450" ht="15" customHeight="1">
      <c r="A450" t="inlineStr">
        <is>
          <t>A 55675-2018</t>
        </is>
      </c>
      <c r="B450" s="1" t="n">
        <v>43391</v>
      </c>
      <c r="C450" s="1" t="n">
        <v>45360</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54714-2018</t>
        </is>
      </c>
      <c r="B451" s="1" t="n">
        <v>43395</v>
      </c>
      <c r="C451" s="1" t="n">
        <v>45360</v>
      </c>
      <c r="D451" t="inlineStr">
        <is>
          <t>ÖREBRO LÄN</t>
        </is>
      </c>
      <c r="E451" t="inlineStr">
        <is>
          <t>NORA</t>
        </is>
      </c>
      <c r="G451" t="n">
        <v>1</v>
      </c>
      <c r="H451" t="n">
        <v>0</v>
      </c>
      <c r="I451" t="n">
        <v>0</v>
      </c>
      <c r="J451" t="n">
        <v>0</v>
      </c>
      <c r="K451" t="n">
        <v>0</v>
      </c>
      <c r="L451" t="n">
        <v>0</v>
      </c>
      <c r="M451" t="n">
        <v>0</v>
      </c>
      <c r="N451" t="n">
        <v>0</v>
      </c>
      <c r="O451" t="n">
        <v>0</v>
      </c>
      <c r="P451" t="n">
        <v>0</v>
      </c>
      <c r="Q451" t="n">
        <v>0</v>
      </c>
      <c r="R451" s="2" t="inlineStr"/>
    </row>
    <row r="452" ht="15" customHeight="1">
      <c r="A452" t="inlineStr">
        <is>
          <t>A 55042-2018</t>
        </is>
      </c>
      <c r="B452" s="1" t="n">
        <v>43396</v>
      </c>
      <c r="C452" s="1" t="n">
        <v>45360</v>
      </c>
      <c r="D452" t="inlineStr">
        <is>
          <t>ÖREBRO LÄN</t>
        </is>
      </c>
      <c r="E452" t="inlineStr">
        <is>
          <t>HÄLLEFORS</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56968-2018</t>
        </is>
      </c>
      <c r="B453" s="1" t="n">
        <v>43396</v>
      </c>
      <c r="C453" s="1" t="n">
        <v>45360</v>
      </c>
      <c r="D453" t="inlineStr">
        <is>
          <t>ÖREBRO LÄN</t>
        </is>
      </c>
      <c r="E453" t="inlineStr">
        <is>
          <t>LAXÅ</t>
        </is>
      </c>
      <c r="G453" t="n">
        <v>1.5</v>
      </c>
      <c r="H453" t="n">
        <v>0</v>
      </c>
      <c r="I453" t="n">
        <v>0</v>
      </c>
      <c r="J453" t="n">
        <v>0</v>
      </c>
      <c r="K453" t="n">
        <v>0</v>
      </c>
      <c r="L453" t="n">
        <v>0</v>
      </c>
      <c r="M453" t="n">
        <v>0</v>
      </c>
      <c r="N453" t="n">
        <v>0</v>
      </c>
      <c r="O453" t="n">
        <v>0</v>
      </c>
      <c r="P453" t="n">
        <v>0</v>
      </c>
      <c r="Q453" t="n">
        <v>0</v>
      </c>
      <c r="R453" s="2" t="inlineStr"/>
    </row>
    <row r="454" ht="15" customHeight="1">
      <c r="A454" t="inlineStr">
        <is>
          <t>A 56937-2018</t>
        </is>
      </c>
      <c r="B454" s="1" t="n">
        <v>43396</v>
      </c>
      <c r="C454" s="1" t="n">
        <v>45360</v>
      </c>
      <c r="D454" t="inlineStr">
        <is>
          <t>ÖREBRO LÄN</t>
        </is>
      </c>
      <c r="E454" t="inlineStr">
        <is>
          <t>LAXÅ</t>
        </is>
      </c>
      <c r="G454" t="n">
        <v>3.3</v>
      </c>
      <c r="H454" t="n">
        <v>0</v>
      </c>
      <c r="I454" t="n">
        <v>0</v>
      </c>
      <c r="J454" t="n">
        <v>0</v>
      </c>
      <c r="K454" t="n">
        <v>0</v>
      </c>
      <c r="L454" t="n">
        <v>0</v>
      </c>
      <c r="M454" t="n">
        <v>0</v>
      </c>
      <c r="N454" t="n">
        <v>0</v>
      </c>
      <c r="O454" t="n">
        <v>0</v>
      </c>
      <c r="P454" t="n">
        <v>0</v>
      </c>
      <c r="Q454" t="n">
        <v>0</v>
      </c>
      <c r="R454" s="2" t="inlineStr"/>
    </row>
    <row r="455" ht="15" customHeight="1">
      <c r="A455" t="inlineStr">
        <is>
          <t>A 55148-2018</t>
        </is>
      </c>
      <c r="B455" s="1" t="n">
        <v>43396</v>
      </c>
      <c r="C455" s="1" t="n">
        <v>45360</v>
      </c>
      <c r="D455" t="inlineStr">
        <is>
          <t>ÖREBRO LÄN</t>
        </is>
      </c>
      <c r="E455" t="inlineStr">
        <is>
          <t>LEKEBERG</t>
        </is>
      </c>
      <c r="G455" t="n">
        <v>5.2</v>
      </c>
      <c r="H455" t="n">
        <v>0</v>
      </c>
      <c r="I455" t="n">
        <v>0</v>
      </c>
      <c r="J455" t="n">
        <v>0</v>
      </c>
      <c r="K455" t="n">
        <v>0</v>
      </c>
      <c r="L455" t="n">
        <v>0</v>
      </c>
      <c r="M455" t="n">
        <v>0</v>
      </c>
      <c r="N455" t="n">
        <v>0</v>
      </c>
      <c r="O455" t="n">
        <v>0</v>
      </c>
      <c r="P455" t="n">
        <v>0</v>
      </c>
      <c r="Q455" t="n">
        <v>0</v>
      </c>
      <c r="R455" s="2" t="inlineStr"/>
    </row>
    <row r="456" ht="15" customHeight="1">
      <c r="A456" t="inlineStr">
        <is>
          <t>A 55557-2018</t>
        </is>
      </c>
      <c r="B456" s="1" t="n">
        <v>43397</v>
      </c>
      <c r="C456" s="1" t="n">
        <v>45360</v>
      </c>
      <c r="D456" t="inlineStr">
        <is>
          <t>ÖREBRO LÄN</t>
        </is>
      </c>
      <c r="E456" t="inlineStr">
        <is>
          <t>HALLSBERG</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55274-2018</t>
        </is>
      </c>
      <c r="B457" s="1" t="n">
        <v>43397</v>
      </c>
      <c r="C457" s="1" t="n">
        <v>45360</v>
      </c>
      <c r="D457" t="inlineStr">
        <is>
          <t>ÖREBRO LÄN</t>
        </is>
      </c>
      <c r="E457" t="inlineStr">
        <is>
          <t>LINDESBERG</t>
        </is>
      </c>
      <c r="G457" t="n">
        <v>5.8</v>
      </c>
      <c r="H457" t="n">
        <v>0</v>
      </c>
      <c r="I457" t="n">
        <v>0</v>
      </c>
      <c r="J457" t="n">
        <v>0</v>
      </c>
      <c r="K457" t="n">
        <v>0</v>
      </c>
      <c r="L457" t="n">
        <v>0</v>
      </c>
      <c r="M457" t="n">
        <v>0</v>
      </c>
      <c r="N457" t="n">
        <v>0</v>
      </c>
      <c r="O457" t="n">
        <v>0</v>
      </c>
      <c r="P457" t="n">
        <v>0</v>
      </c>
      <c r="Q457" t="n">
        <v>0</v>
      </c>
      <c r="R457" s="2" t="inlineStr"/>
    </row>
    <row r="458" ht="15" customHeight="1">
      <c r="A458" t="inlineStr">
        <is>
          <t>A 55535-2018</t>
        </is>
      </c>
      <c r="B458" s="1" t="n">
        <v>43397</v>
      </c>
      <c r="C458" s="1" t="n">
        <v>45360</v>
      </c>
      <c r="D458" t="inlineStr">
        <is>
          <t>ÖREBRO LÄN</t>
        </is>
      </c>
      <c r="E458" t="inlineStr">
        <is>
          <t>HALLSBERG</t>
        </is>
      </c>
      <c r="G458" t="n">
        <v>1.6</v>
      </c>
      <c r="H458" t="n">
        <v>0</v>
      </c>
      <c r="I458" t="n">
        <v>0</v>
      </c>
      <c r="J458" t="n">
        <v>0</v>
      </c>
      <c r="K458" t="n">
        <v>0</v>
      </c>
      <c r="L458" t="n">
        <v>0</v>
      </c>
      <c r="M458" t="n">
        <v>0</v>
      </c>
      <c r="N458" t="n">
        <v>0</v>
      </c>
      <c r="O458" t="n">
        <v>0</v>
      </c>
      <c r="P458" t="n">
        <v>0</v>
      </c>
      <c r="Q458" t="n">
        <v>0</v>
      </c>
      <c r="R458" s="2" t="inlineStr"/>
    </row>
    <row r="459" ht="15" customHeight="1">
      <c r="A459" t="inlineStr">
        <is>
          <t>A 55558-2018</t>
        </is>
      </c>
      <c r="B459" s="1" t="n">
        <v>43397</v>
      </c>
      <c r="C459" s="1" t="n">
        <v>45360</v>
      </c>
      <c r="D459" t="inlineStr">
        <is>
          <t>ÖREBRO LÄN</t>
        </is>
      </c>
      <c r="E459" t="inlineStr">
        <is>
          <t>HALLSBERG</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57740-2018</t>
        </is>
      </c>
      <c r="B460" s="1" t="n">
        <v>43397</v>
      </c>
      <c r="C460" s="1" t="n">
        <v>45360</v>
      </c>
      <c r="D460" t="inlineStr">
        <is>
          <t>ÖREBRO LÄN</t>
        </is>
      </c>
      <c r="E460" t="inlineStr">
        <is>
          <t>LEKEBERG</t>
        </is>
      </c>
      <c r="G460" t="n">
        <v>1.4</v>
      </c>
      <c r="H460" t="n">
        <v>0</v>
      </c>
      <c r="I460" t="n">
        <v>0</v>
      </c>
      <c r="J460" t="n">
        <v>0</v>
      </c>
      <c r="K460" t="n">
        <v>0</v>
      </c>
      <c r="L460" t="n">
        <v>0</v>
      </c>
      <c r="M460" t="n">
        <v>0</v>
      </c>
      <c r="N460" t="n">
        <v>0</v>
      </c>
      <c r="O460" t="n">
        <v>0</v>
      </c>
      <c r="P460" t="n">
        <v>0</v>
      </c>
      <c r="Q460" t="n">
        <v>0</v>
      </c>
      <c r="R460" s="2" t="inlineStr"/>
    </row>
    <row r="461" ht="15" customHeight="1">
      <c r="A461" t="inlineStr">
        <is>
          <t>A 57778-2018</t>
        </is>
      </c>
      <c r="B461" s="1" t="n">
        <v>43397</v>
      </c>
      <c r="C461" s="1" t="n">
        <v>45360</v>
      </c>
      <c r="D461" t="inlineStr">
        <is>
          <t>ÖREBRO LÄN</t>
        </is>
      </c>
      <c r="E461" t="inlineStr">
        <is>
          <t>LINDESBERG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55279-2018</t>
        </is>
      </c>
      <c r="B462" s="1" t="n">
        <v>43397</v>
      </c>
      <c r="C462" s="1" t="n">
        <v>45360</v>
      </c>
      <c r="D462" t="inlineStr">
        <is>
          <t>ÖREBRO LÄN</t>
        </is>
      </c>
      <c r="E462" t="inlineStr">
        <is>
          <t>NORA</t>
        </is>
      </c>
      <c r="G462" t="n">
        <v>0.3</v>
      </c>
      <c r="H462" t="n">
        <v>0</v>
      </c>
      <c r="I462" t="n">
        <v>0</v>
      </c>
      <c r="J462" t="n">
        <v>0</v>
      </c>
      <c r="K462" t="n">
        <v>0</v>
      </c>
      <c r="L462" t="n">
        <v>0</v>
      </c>
      <c r="M462" t="n">
        <v>0</v>
      </c>
      <c r="N462" t="n">
        <v>0</v>
      </c>
      <c r="O462" t="n">
        <v>0</v>
      </c>
      <c r="P462" t="n">
        <v>0</v>
      </c>
      <c r="Q462" t="n">
        <v>0</v>
      </c>
      <c r="R462" s="2" t="inlineStr"/>
    </row>
    <row r="463" ht="15" customHeight="1">
      <c r="A463" t="inlineStr">
        <is>
          <t>A 55556-2018</t>
        </is>
      </c>
      <c r="B463" s="1" t="n">
        <v>43397</v>
      </c>
      <c r="C463" s="1" t="n">
        <v>45360</v>
      </c>
      <c r="D463" t="inlineStr">
        <is>
          <t>ÖREBRO LÄN</t>
        </is>
      </c>
      <c r="E463" t="inlineStr">
        <is>
          <t>HALLSBERG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55843-2018</t>
        </is>
      </c>
      <c r="B464" s="1" t="n">
        <v>43398</v>
      </c>
      <c r="C464" s="1" t="n">
        <v>45360</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56056-2018</t>
        </is>
      </c>
      <c r="B465" s="1" t="n">
        <v>43398</v>
      </c>
      <c r="C465" s="1" t="n">
        <v>45360</v>
      </c>
      <c r="D465" t="inlineStr">
        <is>
          <t>ÖREBRO LÄN</t>
        </is>
      </c>
      <c r="E465" t="inlineStr">
        <is>
          <t>ASKERSUND</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58427-2018</t>
        </is>
      </c>
      <c r="B466" s="1" t="n">
        <v>43398</v>
      </c>
      <c r="C466" s="1" t="n">
        <v>45360</v>
      </c>
      <c r="D466" t="inlineStr">
        <is>
          <t>ÖREBRO LÄN</t>
        </is>
      </c>
      <c r="E466" t="inlineStr">
        <is>
          <t>LAXÅ</t>
        </is>
      </c>
      <c r="G466" t="n">
        <v>8.5</v>
      </c>
      <c r="H466" t="n">
        <v>0</v>
      </c>
      <c r="I466" t="n">
        <v>0</v>
      </c>
      <c r="J466" t="n">
        <v>0</v>
      </c>
      <c r="K466" t="n">
        <v>0</v>
      </c>
      <c r="L466" t="n">
        <v>0</v>
      </c>
      <c r="M466" t="n">
        <v>0</v>
      </c>
      <c r="N466" t="n">
        <v>0</v>
      </c>
      <c r="O466" t="n">
        <v>0</v>
      </c>
      <c r="P466" t="n">
        <v>0</v>
      </c>
      <c r="Q466" t="n">
        <v>0</v>
      </c>
      <c r="R466" s="2" t="inlineStr"/>
    </row>
    <row r="467" ht="15" customHeight="1">
      <c r="A467" t="inlineStr">
        <is>
          <t>A 55670-2018</t>
        </is>
      </c>
      <c r="B467" s="1" t="n">
        <v>43398</v>
      </c>
      <c r="C467" s="1" t="n">
        <v>45360</v>
      </c>
      <c r="D467" t="inlineStr">
        <is>
          <t>ÖREBRO LÄN</t>
        </is>
      </c>
      <c r="E467" t="inlineStr">
        <is>
          <t>HÄLLEFORS</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58426-2018</t>
        </is>
      </c>
      <c r="B468" s="1" t="n">
        <v>43398</v>
      </c>
      <c r="C468" s="1" t="n">
        <v>45360</v>
      </c>
      <c r="D468" t="inlineStr">
        <is>
          <t>ÖREBRO LÄN</t>
        </is>
      </c>
      <c r="E468" t="inlineStr">
        <is>
          <t>LAXÅ</t>
        </is>
      </c>
      <c r="G468" t="n">
        <v>1.6</v>
      </c>
      <c r="H468" t="n">
        <v>0</v>
      </c>
      <c r="I468" t="n">
        <v>0</v>
      </c>
      <c r="J468" t="n">
        <v>0</v>
      </c>
      <c r="K468" t="n">
        <v>0</v>
      </c>
      <c r="L468" t="n">
        <v>0</v>
      </c>
      <c r="M468" t="n">
        <v>0</v>
      </c>
      <c r="N468" t="n">
        <v>0</v>
      </c>
      <c r="O468" t="n">
        <v>0</v>
      </c>
      <c r="P468" t="n">
        <v>0</v>
      </c>
      <c r="Q468" t="n">
        <v>0</v>
      </c>
      <c r="R468" s="2" t="inlineStr"/>
    </row>
    <row r="469" ht="15" customHeight="1">
      <c r="A469" t="inlineStr">
        <is>
          <t>A 55765-2018</t>
        </is>
      </c>
      <c r="B469" s="1" t="n">
        <v>43398</v>
      </c>
      <c r="C469" s="1" t="n">
        <v>45360</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56064-2018</t>
        </is>
      </c>
      <c r="B470" s="1" t="n">
        <v>43398</v>
      </c>
      <c r="C470" s="1" t="n">
        <v>45360</v>
      </c>
      <c r="D470" t="inlineStr">
        <is>
          <t>ÖREBRO LÄN</t>
        </is>
      </c>
      <c r="E470" t="inlineStr">
        <is>
          <t>ASKERSUND</t>
        </is>
      </c>
      <c r="F470" t="inlineStr">
        <is>
          <t>Sveaskog</t>
        </is>
      </c>
      <c r="G470" t="n">
        <v>0.9</v>
      </c>
      <c r="H470" t="n">
        <v>0</v>
      </c>
      <c r="I470" t="n">
        <v>0</v>
      </c>
      <c r="J470" t="n">
        <v>0</v>
      </c>
      <c r="K470" t="n">
        <v>0</v>
      </c>
      <c r="L470" t="n">
        <v>0</v>
      </c>
      <c r="M470" t="n">
        <v>0</v>
      </c>
      <c r="N470" t="n">
        <v>0</v>
      </c>
      <c r="O470" t="n">
        <v>0</v>
      </c>
      <c r="P470" t="n">
        <v>0</v>
      </c>
      <c r="Q470" t="n">
        <v>0</v>
      </c>
      <c r="R470" s="2" t="inlineStr"/>
    </row>
    <row r="471" ht="15" customHeight="1">
      <c r="A471" t="inlineStr">
        <is>
          <t>A 56067-2018</t>
        </is>
      </c>
      <c r="B471" s="1" t="n">
        <v>43398</v>
      </c>
      <c r="C471" s="1" t="n">
        <v>45360</v>
      </c>
      <c r="D471" t="inlineStr">
        <is>
          <t>ÖREBRO LÄN</t>
        </is>
      </c>
      <c r="E471" t="inlineStr">
        <is>
          <t>LAXÅ</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58424-2018</t>
        </is>
      </c>
      <c r="B472" s="1" t="n">
        <v>43398</v>
      </c>
      <c r="C472" s="1" t="n">
        <v>45360</v>
      </c>
      <c r="D472" t="inlineStr">
        <is>
          <t>ÖREBRO LÄN</t>
        </is>
      </c>
      <c r="E472" t="inlineStr">
        <is>
          <t>LAXÅ</t>
        </is>
      </c>
      <c r="G472" t="n">
        <v>1.2</v>
      </c>
      <c r="H472" t="n">
        <v>0</v>
      </c>
      <c r="I472" t="n">
        <v>0</v>
      </c>
      <c r="J472" t="n">
        <v>0</v>
      </c>
      <c r="K472" t="n">
        <v>0</v>
      </c>
      <c r="L472" t="n">
        <v>0</v>
      </c>
      <c r="M472" t="n">
        <v>0</v>
      </c>
      <c r="N472" t="n">
        <v>0</v>
      </c>
      <c r="O472" t="n">
        <v>0</v>
      </c>
      <c r="P472" t="n">
        <v>0</v>
      </c>
      <c r="Q472" t="n">
        <v>0</v>
      </c>
      <c r="R472" s="2" t="inlineStr"/>
    </row>
    <row r="473" ht="15" customHeight="1">
      <c r="A473" t="inlineStr">
        <is>
          <t>A 56417-2018</t>
        </is>
      </c>
      <c r="B473" s="1" t="n">
        <v>43399</v>
      </c>
      <c r="C473" s="1" t="n">
        <v>45360</v>
      </c>
      <c r="D473" t="inlineStr">
        <is>
          <t>ÖREBRO LÄN</t>
        </is>
      </c>
      <c r="E473" t="inlineStr">
        <is>
          <t>ÖREBRO</t>
        </is>
      </c>
      <c r="G473" t="n">
        <v>2.6</v>
      </c>
      <c r="H473" t="n">
        <v>0</v>
      </c>
      <c r="I473" t="n">
        <v>0</v>
      </c>
      <c r="J473" t="n">
        <v>0</v>
      </c>
      <c r="K473" t="n">
        <v>0</v>
      </c>
      <c r="L473" t="n">
        <v>0</v>
      </c>
      <c r="M473" t="n">
        <v>0</v>
      </c>
      <c r="N473" t="n">
        <v>0</v>
      </c>
      <c r="O473" t="n">
        <v>0</v>
      </c>
      <c r="P473" t="n">
        <v>0</v>
      </c>
      <c r="Q473" t="n">
        <v>0</v>
      </c>
      <c r="R473" s="2" t="inlineStr"/>
    </row>
    <row r="474" ht="15" customHeight="1">
      <c r="A474" t="inlineStr">
        <is>
          <t>A 58856-2018</t>
        </is>
      </c>
      <c r="B474" s="1" t="n">
        <v>43400</v>
      </c>
      <c r="C474" s="1" t="n">
        <v>45360</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56569-2018</t>
        </is>
      </c>
      <c r="B475" s="1" t="n">
        <v>43402</v>
      </c>
      <c r="C475" s="1" t="n">
        <v>45360</v>
      </c>
      <c r="D475" t="inlineStr">
        <is>
          <t>ÖREBRO LÄN</t>
        </is>
      </c>
      <c r="E475" t="inlineStr">
        <is>
          <t>LEKEBERG</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56820-2018</t>
        </is>
      </c>
      <c r="B476" s="1" t="n">
        <v>43402</v>
      </c>
      <c r="C476" s="1" t="n">
        <v>45360</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57089-2018</t>
        </is>
      </c>
      <c r="B477" s="1" t="n">
        <v>43403</v>
      </c>
      <c r="C477" s="1" t="n">
        <v>45360</v>
      </c>
      <c r="D477" t="inlineStr">
        <is>
          <t>ÖREBRO LÄN</t>
        </is>
      </c>
      <c r="E477" t="inlineStr">
        <is>
          <t>HÄLLEFORS</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57448-2018</t>
        </is>
      </c>
      <c r="B478" s="1" t="n">
        <v>43404</v>
      </c>
      <c r="C478" s="1" t="n">
        <v>45360</v>
      </c>
      <c r="D478" t="inlineStr">
        <is>
          <t>ÖREBRO LÄN</t>
        </is>
      </c>
      <c r="E478" t="inlineStr">
        <is>
          <t>ASKERSUND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57590-2018</t>
        </is>
      </c>
      <c r="B479" s="1" t="n">
        <v>43404</v>
      </c>
      <c r="C479" s="1" t="n">
        <v>45360</v>
      </c>
      <c r="D479" t="inlineStr">
        <is>
          <t>ÖREBRO LÄN</t>
        </is>
      </c>
      <c r="E479" t="inlineStr">
        <is>
          <t>LEKEBERG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60308-2018</t>
        </is>
      </c>
      <c r="B480" s="1" t="n">
        <v>43405</v>
      </c>
      <c r="C480" s="1" t="n">
        <v>45360</v>
      </c>
      <c r="D480" t="inlineStr">
        <is>
          <t>ÖREBRO LÄN</t>
        </is>
      </c>
      <c r="E480" t="inlineStr">
        <is>
          <t>KARLSKOGA</t>
        </is>
      </c>
      <c r="F480" t="inlineStr">
        <is>
          <t>Övriga Aktiebolag</t>
        </is>
      </c>
      <c r="G480" t="n">
        <v>7.9</v>
      </c>
      <c r="H480" t="n">
        <v>0</v>
      </c>
      <c r="I480" t="n">
        <v>0</v>
      </c>
      <c r="J480" t="n">
        <v>0</v>
      </c>
      <c r="K480" t="n">
        <v>0</v>
      </c>
      <c r="L480" t="n">
        <v>0</v>
      </c>
      <c r="M480" t="n">
        <v>0</v>
      </c>
      <c r="N480" t="n">
        <v>0</v>
      </c>
      <c r="O480" t="n">
        <v>0</v>
      </c>
      <c r="P480" t="n">
        <v>0</v>
      </c>
      <c r="Q480" t="n">
        <v>0</v>
      </c>
      <c r="R480" s="2" t="inlineStr"/>
    </row>
    <row r="481" ht="15" customHeight="1">
      <c r="A481" t="inlineStr">
        <is>
          <t>A 58089-2018</t>
        </is>
      </c>
      <c r="B481" s="1" t="n">
        <v>43406</v>
      </c>
      <c r="C481" s="1" t="n">
        <v>45360</v>
      </c>
      <c r="D481" t="inlineStr">
        <is>
          <t>ÖREBRO LÄN</t>
        </is>
      </c>
      <c r="E481" t="inlineStr">
        <is>
          <t>HÄLLEFORS</t>
        </is>
      </c>
      <c r="F481" t="inlineStr">
        <is>
          <t>Bergvik skog väst AB</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58137-2018</t>
        </is>
      </c>
      <c r="B482" s="1" t="n">
        <v>43406</v>
      </c>
      <c r="C482" s="1" t="n">
        <v>45360</v>
      </c>
      <c r="D482" t="inlineStr">
        <is>
          <t>ÖREBRO LÄN</t>
        </is>
      </c>
      <c r="E482" t="inlineStr">
        <is>
          <t>LINDESBERG</t>
        </is>
      </c>
      <c r="G482" t="n">
        <v>0.6</v>
      </c>
      <c r="H482" t="n">
        <v>0</v>
      </c>
      <c r="I482" t="n">
        <v>0</v>
      </c>
      <c r="J482" t="n">
        <v>0</v>
      </c>
      <c r="K482" t="n">
        <v>0</v>
      </c>
      <c r="L482" t="n">
        <v>0</v>
      </c>
      <c r="M482" t="n">
        <v>0</v>
      </c>
      <c r="N482" t="n">
        <v>0</v>
      </c>
      <c r="O482" t="n">
        <v>0</v>
      </c>
      <c r="P482" t="n">
        <v>0</v>
      </c>
      <c r="Q482" t="n">
        <v>0</v>
      </c>
      <c r="R482" s="2" t="inlineStr"/>
    </row>
    <row r="483" ht="15" customHeight="1">
      <c r="A483" t="inlineStr">
        <is>
          <t>A 60741-2018</t>
        </is>
      </c>
      <c r="B483" s="1" t="n">
        <v>43409</v>
      </c>
      <c r="C483" s="1" t="n">
        <v>45360</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58385-2018</t>
        </is>
      </c>
      <c r="B484" s="1" t="n">
        <v>43409</v>
      </c>
      <c r="C484" s="1" t="n">
        <v>45360</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58279-2018</t>
        </is>
      </c>
      <c r="B485" s="1" t="n">
        <v>43409</v>
      </c>
      <c r="C485" s="1" t="n">
        <v>45360</v>
      </c>
      <c r="D485" t="inlineStr">
        <is>
          <t>ÖREBRO LÄN</t>
        </is>
      </c>
      <c r="E485" t="inlineStr">
        <is>
          <t>LAXÅ</t>
        </is>
      </c>
      <c r="G485" t="n">
        <v>0.7</v>
      </c>
      <c r="H485" t="n">
        <v>0</v>
      </c>
      <c r="I485" t="n">
        <v>0</v>
      </c>
      <c r="J485" t="n">
        <v>0</v>
      </c>
      <c r="K485" t="n">
        <v>0</v>
      </c>
      <c r="L485" t="n">
        <v>0</v>
      </c>
      <c r="M485" t="n">
        <v>0</v>
      </c>
      <c r="N485" t="n">
        <v>0</v>
      </c>
      <c r="O485" t="n">
        <v>0</v>
      </c>
      <c r="P485" t="n">
        <v>0</v>
      </c>
      <c r="Q485" t="n">
        <v>0</v>
      </c>
      <c r="R485" s="2" t="inlineStr"/>
    </row>
    <row r="486" ht="15" customHeight="1">
      <c r="A486" t="inlineStr">
        <is>
          <t>A 58286-2018</t>
        </is>
      </c>
      <c r="B486" s="1" t="n">
        <v>43409</v>
      </c>
      <c r="C486" s="1" t="n">
        <v>45360</v>
      </c>
      <c r="D486" t="inlineStr">
        <is>
          <t>ÖREBRO LÄN</t>
        </is>
      </c>
      <c r="E486" t="inlineStr">
        <is>
          <t>LEKEBERG</t>
        </is>
      </c>
      <c r="G486" t="n">
        <v>10.6</v>
      </c>
      <c r="H486" t="n">
        <v>0</v>
      </c>
      <c r="I486" t="n">
        <v>0</v>
      </c>
      <c r="J486" t="n">
        <v>0</v>
      </c>
      <c r="K486" t="n">
        <v>0</v>
      </c>
      <c r="L486" t="n">
        <v>0</v>
      </c>
      <c r="M486" t="n">
        <v>0</v>
      </c>
      <c r="N486" t="n">
        <v>0</v>
      </c>
      <c r="O486" t="n">
        <v>0</v>
      </c>
      <c r="P486" t="n">
        <v>0</v>
      </c>
      <c r="Q486" t="n">
        <v>0</v>
      </c>
      <c r="R486" s="2" t="inlineStr"/>
    </row>
    <row r="487" ht="15" customHeight="1">
      <c r="A487" t="inlineStr">
        <is>
          <t>A 60742-2018</t>
        </is>
      </c>
      <c r="B487" s="1" t="n">
        <v>43409</v>
      </c>
      <c r="C487" s="1" t="n">
        <v>45360</v>
      </c>
      <c r="D487" t="inlineStr">
        <is>
          <t>ÖREBRO LÄN</t>
        </is>
      </c>
      <c r="E487" t="inlineStr">
        <is>
          <t>LINDESBERG</t>
        </is>
      </c>
      <c r="G487" t="n">
        <v>0.7</v>
      </c>
      <c r="H487" t="n">
        <v>0</v>
      </c>
      <c r="I487" t="n">
        <v>0</v>
      </c>
      <c r="J487" t="n">
        <v>0</v>
      </c>
      <c r="K487" t="n">
        <v>0</v>
      </c>
      <c r="L487" t="n">
        <v>0</v>
      </c>
      <c r="M487" t="n">
        <v>0</v>
      </c>
      <c r="N487" t="n">
        <v>0</v>
      </c>
      <c r="O487" t="n">
        <v>0</v>
      </c>
      <c r="P487" t="n">
        <v>0</v>
      </c>
      <c r="Q487" t="n">
        <v>0</v>
      </c>
      <c r="R487" s="2" t="inlineStr"/>
    </row>
    <row r="488" ht="15" customHeight="1">
      <c r="A488" t="inlineStr">
        <is>
          <t>A 58306-2018</t>
        </is>
      </c>
      <c r="B488" s="1" t="n">
        <v>43409</v>
      </c>
      <c r="C488" s="1" t="n">
        <v>45360</v>
      </c>
      <c r="D488" t="inlineStr">
        <is>
          <t>ÖREBRO LÄN</t>
        </is>
      </c>
      <c r="E488" t="inlineStr">
        <is>
          <t>ASKERSUND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58593-2018</t>
        </is>
      </c>
      <c r="B489" s="1" t="n">
        <v>43410</v>
      </c>
      <c r="C489" s="1" t="n">
        <v>45360</v>
      </c>
      <c r="D489" t="inlineStr">
        <is>
          <t>ÖREBRO LÄN</t>
        </is>
      </c>
      <c r="E489" t="inlineStr">
        <is>
          <t>LINDESBERG</t>
        </is>
      </c>
      <c r="F489" t="inlineStr">
        <is>
          <t>Kommuner</t>
        </is>
      </c>
      <c r="G489" t="n">
        <v>7.9</v>
      </c>
      <c r="H489" t="n">
        <v>0</v>
      </c>
      <c r="I489" t="n">
        <v>0</v>
      </c>
      <c r="J489" t="n">
        <v>0</v>
      </c>
      <c r="K489" t="n">
        <v>0</v>
      </c>
      <c r="L489" t="n">
        <v>0</v>
      </c>
      <c r="M489" t="n">
        <v>0</v>
      </c>
      <c r="N489" t="n">
        <v>0</v>
      </c>
      <c r="O489" t="n">
        <v>0</v>
      </c>
      <c r="P489" t="n">
        <v>0</v>
      </c>
      <c r="Q489" t="n">
        <v>0</v>
      </c>
      <c r="R489" s="2" t="inlineStr"/>
    </row>
    <row r="490" ht="15" customHeight="1">
      <c r="A490" t="inlineStr">
        <is>
          <t>A 58596-2018</t>
        </is>
      </c>
      <c r="B490" s="1" t="n">
        <v>43410</v>
      </c>
      <c r="C490" s="1" t="n">
        <v>45360</v>
      </c>
      <c r="D490" t="inlineStr">
        <is>
          <t>ÖREBRO LÄN</t>
        </is>
      </c>
      <c r="E490" t="inlineStr">
        <is>
          <t>LINDESBERG</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58595-2018</t>
        </is>
      </c>
      <c r="B491" s="1" t="n">
        <v>43410</v>
      </c>
      <c r="C491" s="1" t="n">
        <v>45360</v>
      </c>
      <c r="D491" t="inlineStr">
        <is>
          <t>ÖREBRO LÄN</t>
        </is>
      </c>
      <c r="E491" t="inlineStr">
        <is>
          <t>LINDESBERG</t>
        </is>
      </c>
      <c r="F491" t="inlineStr">
        <is>
          <t>Kommuner</t>
        </is>
      </c>
      <c r="G491" t="n">
        <v>6.3</v>
      </c>
      <c r="H491" t="n">
        <v>0</v>
      </c>
      <c r="I491" t="n">
        <v>0</v>
      </c>
      <c r="J491" t="n">
        <v>0</v>
      </c>
      <c r="K491" t="n">
        <v>0</v>
      </c>
      <c r="L491" t="n">
        <v>0</v>
      </c>
      <c r="M491" t="n">
        <v>0</v>
      </c>
      <c r="N491" t="n">
        <v>0</v>
      </c>
      <c r="O491" t="n">
        <v>0</v>
      </c>
      <c r="P491" t="n">
        <v>0</v>
      </c>
      <c r="Q491" t="n">
        <v>0</v>
      </c>
      <c r="R491" s="2" t="inlineStr"/>
    </row>
    <row r="492" ht="15" customHeight="1">
      <c r="A492" t="inlineStr">
        <is>
          <t>A 60858-2018</t>
        </is>
      </c>
      <c r="B492" s="1" t="n">
        <v>43410</v>
      </c>
      <c r="C492" s="1" t="n">
        <v>45360</v>
      </c>
      <c r="D492" t="inlineStr">
        <is>
          <t>ÖREBRO LÄN</t>
        </is>
      </c>
      <c r="E492" t="inlineStr">
        <is>
          <t>NORA</t>
        </is>
      </c>
      <c r="G492" t="n">
        <v>3.8</v>
      </c>
      <c r="H492" t="n">
        <v>0</v>
      </c>
      <c r="I492" t="n">
        <v>0</v>
      </c>
      <c r="J492" t="n">
        <v>0</v>
      </c>
      <c r="K492" t="n">
        <v>0</v>
      </c>
      <c r="L492" t="n">
        <v>0</v>
      </c>
      <c r="M492" t="n">
        <v>0</v>
      </c>
      <c r="N492" t="n">
        <v>0</v>
      </c>
      <c r="O492" t="n">
        <v>0</v>
      </c>
      <c r="P492" t="n">
        <v>0</v>
      </c>
      <c r="Q492" t="n">
        <v>0</v>
      </c>
      <c r="R492" s="2" t="inlineStr"/>
    </row>
    <row r="493" ht="15" customHeight="1">
      <c r="A493" t="inlineStr">
        <is>
          <t>A 59784-2018</t>
        </is>
      </c>
      <c r="B493" s="1" t="n">
        <v>43411</v>
      </c>
      <c r="C493" s="1" t="n">
        <v>45360</v>
      </c>
      <c r="D493" t="inlineStr">
        <is>
          <t>ÖREBRO LÄN</t>
        </is>
      </c>
      <c r="E493" t="inlineStr">
        <is>
          <t>ASKERSUND</t>
        </is>
      </c>
      <c r="G493" t="n">
        <v>3</v>
      </c>
      <c r="H493" t="n">
        <v>0</v>
      </c>
      <c r="I493" t="n">
        <v>0</v>
      </c>
      <c r="J493" t="n">
        <v>0</v>
      </c>
      <c r="K493" t="n">
        <v>0</v>
      </c>
      <c r="L493" t="n">
        <v>0</v>
      </c>
      <c r="M493" t="n">
        <v>0</v>
      </c>
      <c r="N493" t="n">
        <v>0</v>
      </c>
      <c r="O493" t="n">
        <v>0</v>
      </c>
      <c r="P493" t="n">
        <v>0</v>
      </c>
      <c r="Q493" t="n">
        <v>0</v>
      </c>
      <c r="R493" s="2" t="inlineStr"/>
    </row>
    <row r="494" ht="15" customHeight="1">
      <c r="A494" t="inlineStr">
        <is>
          <t>A 61123-2018</t>
        </is>
      </c>
      <c r="B494" s="1" t="n">
        <v>43412</v>
      </c>
      <c r="C494" s="1" t="n">
        <v>45360</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61947-2018</t>
        </is>
      </c>
      <c r="B495" s="1" t="n">
        <v>43413</v>
      </c>
      <c r="C495" s="1" t="n">
        <v>45360</v>
      </c>
      <c r="D495" t="inlineStr">
        <is>
          <t>ÖREBRO LÄN</t>
        </is>
      </c>
      <c r="E495" t="inlineStr">
        <is>
          <t>LJUSNARSBERG</t>
        </is>
      </c>
      <c r="G495" t="n">
        <v>7</v>
      </c>
      <c r="H495" t="n">
        <v>0</v>
      </c>
      <c r="I495" t="n">
        <v>0</v>
      </c>
      <c r="J495" t="n">
        <v>0</v>
      </c>
      <c r="K495" t="n">
        <v>0</v>
      </c>
      <c r="L495" t="n">
        <v>0</v>
      </c>
      <c r="M495" t="n">
        <v>0</v>
      </c>
      <c r="N495" t="n">
        <v>0</v>
      </c>
      <c r="O495" t="n">
        <v>0</v>
      </c>
      <c r="P495" t="n">
        <v>0</v>
      </c>
      <c r="Q495" t="n">
        <v>0</v>
      </c>
      <c r="R495" s="2" t="inlineStr"/>
    </row>
    <row r="496" ht="15" customHeight="1">
      <c r="A496" t="inlineStr">
        <is>
          <t>A 62496-2018</t>
        </is>
      </c>
      <c r="B496" s="1" t="n">
        <v>43414</v>
      </c>
      <c r="C496" s="1" t="n">
        <v>45360</v>
      </c>
      <c r="D496" t="inlineStr">
        <is>
          <t>ÖREBRO LÄN</t>
        </is>
      </c>
      <c r="E496" t="inlineStr">
        <is>
          <t>LAXÅ</t>
        </is>
      </c>
      <c r="G496" t="n">
        <v>1</v>
      </c>
      <c r="H496" t="n">
        <v>0</v>
      </c>
      <c r="I496" t="n">
        <v>0</v>
      </c>
      <c r="J496" t="n">
        <v>0</v>
      </c>
      <c r="K496" t="n">
        <v>0</v>
      </c>
      <c r="L496" t="n">
        <v>0</v>
      </c>
      <c r="M496" t="n">
        <v>0</v>
      </c>
      <c r="N496" t="n">
        <v>0</v>
      </c>
      <c r="O496" t="n">
        <v>0</v>
      </c>
      <c r="P496" t="n">
        <v>0</v>
      </c>
      <c r="Q496" t="n">
        <v>0</v>
      </c>
      <c r="R496" s="2" t="inlineStr"/>
    </row>
    <row r="497" ht="15" customHeight="1">
      <c r="A497" t="inlineStr">
        <is>
          <t>A 63244-2018</t>
        </is>
      </c>
      <c r="B497" s="1" t="n">
        <v>43416</v>
      </c>
      <c r="C497" s="1" t="n">
        <v>45360</v>
      </c>
      <c r="D497" t="inlineStr">
        <is>
          <t>ÖREBRO LÄN</t>
        </is>
      </c>
      <c r="E497" t="inlineStr">
        <is>
          <t>NORA</t>
        </is>
      </c>
      <c r="G497" t="n">
        <v>2.2</v>
      </c>
      <c r="H497" t="n">
        <v>0</v>
      </c>
      <c r="I497" t="n">
        <v>0</v>
      </c>
      <c r="J497" t="n">
        <v>0</v>
      </c>
      <c r="K497" t="n">
        <v>0</v>
      </c>
      <c r="L497" t="n">
        <v>0</v>
      </c>
      <c r="M497" t="n">
        <v>0</v>
      </c>
      <c r="N497" t="n">
        <v>0</v>
      </c>
      <c r="O497" t="n">
        <v>0</v>
      </c>
      <c r="P497" t="n">
        <v>0</v>
      </c>
      <c r="Q497" t="n">
        <v>0</v>
      </c>
      <c r="R497" s="2" t="inlineStr"/>
    </row>
    <row r="498" ht="15" customHeight="1">
      <c r="A498" t="inlineStr">
        <is>
          <t>A 62132-2018</t>
        </is>
      </c>
      <c r="B498" s="1" t="n">
        <v>43416</v>
      </c>
      <c r="C498" s="1" t="n">
        <v>45360</v>
      </c>
      <c r="D498" t="inlineStr">
        <is>
          <t>ÖREBRO LÄN</t>
        </is>
      </c>
      <c r="E498" t="inlineStr">
        <is>
          <t>LINDESBERG</t>
        </is>
      </c>
      <c r="G498" t="n">
        <v>2.7</v>
      </c>
      <c r="H498" t="n">
        <v>0</v>
      </c>
      <c r="I498" t="n">
        <v>0</v>
      </c>
      <c r="J498" t="n">
        <v>0</v>
      </c>
      <c r="K498" t="n">
        <v>0</v>
      </c>
      <c r="L498" t="n">
        <v>0</v>
      </c>
      <c r="M498" t="n">
        <v>0</v>
      </c>
      <c r="N498" t="n">
        <v>0</v>
      </c>
      <c r="O498" t="n">
        <v>0</v>
      </c>
      <c r="P498" t="n">
        <v>0</v>
      </c>
      <c r="Q498" t="n">
        <v>0</v>
      </c>
      <c r="R498" s="2" t="inlineStr"/>
    </row>
    <row r="499" ht="15" customHeight="1">
      <c r="A499" t="inlineStr">
        <is>
          <t>A 62327-2018</t>
        </is>
      </c>
      <c r="B499" s="1" t="n">
        <v>43416</v>
      </c>
      <c r="C499" s="1" t="n">
        <v>45360</v>
      </c>
      <c r="D499" t="inlineStr">
        <is>
          <t>ÖREBRO LÄN</t>
        </is>
      </c>
      <c r="E499" t="inlineStr">
        <is>
          <t>ASKERSUND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63241-2018</t>
        </is>
      </c>
      <c r="B500" s="1" t="n">
        <v>43416</v>
      </c>
      <c r="C500" s="1" t="n">
        <v>45360</v>
      </c>
      <c r="D500" t="inlineStr">
        <is>
          <t>ÖREBRO LÄN</t>
        </is>
      </c>
      <c r="E500" t="inlineStr">
        <is>
          <t>NORA</t>
        </is>
      </c>
      <c r="G500" t="n">
        <v>1.6</v>
      </c>
      <c r="H500" t="n">
        <v>0</v>
      </c>
      <c r="I500" t="n">
        <v>0</v>
      </c>
      <c r="J500" t="n">
        <v>0</v>
      </c>
      <c r="K500" t="n">
        <v>0</v>
      </c>
      <c r="L500" t="n">
        <v>0</v>
      </c>
      <c r="M500" t="n">
        <v>0</v>
      </c>
      <c r="N500" t="n">
        <v>0</v>
      </c>
      <c r="O500" t="n">
        <v>0</v>
      </c>
      <c r="P500" t="n">
        <v>0</v>
      </c>
      <c r="Q500" t="n">
        <v>0</v>
      </c>
      <c r="R500" s="2" t="inlineStr"/>
    </row>
    <row r="501" ht="15" customHeight="1">
      <c r="A501" t="inlineStr">
        <is>
          <t>A 62920-2018</t>
        </is>
      </c>
      <c r="B501" s="1" t="n">
        <v>43416</v>
      </c>
      <c r="C501" s="1" t="n">
        <v>45360</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63762-2018</t>
        </is>
      </c>
      <c r="B502" s="1" t="n">
        <v>43418</v>
      </c>
      <c r="C502" s="1" t="n">
        <v>45360</v>
      </c>
      <c r="D502" t="inlineStr">
        <is>
          <t>ÖREBRO LÄN</t>
        </is>
      </c>
      <c r="E502" t="inlineStr">
        <is>
          <t>ÖREBRO</t>
        </is>
      </c>
      <c r="G502" t="n">
        <v>4</v>
      </c>
      <c r="H502" t="n">
        <v>0</v>
      </c>
      <c r="I502" t="n">
        <v>0</v>
      </c>
      <c r="J502" t="n">
        <v>0</v>
      </c>
      <c r="K502" t="n">
        <v>0</v>
      </c>
      <c r="L502" t="n">
        <v>0</v>
      </c>
      <c r="M502" t="n">
        <v>0</v>
      </c>
      <c r="N502" t="n">
        <v>0</v>
      </c>
      <c r="O502" t="n">
        <v>0</v>
      </c>
      <c r="P502" t="n">
        <v>0</v>
      </c>
      <c r="Q502" t="n">
        <v>0</v>
      </c>
      <c r="R502" s="2" t="inlineStr"/>
    </row>
    <row r="503" ht="15" customHeight="1">
      <c r="A503" t="inlineStr">
        <is>
          <t>A 63175-2018</t>
        </is>
      </c>
      <c r="B503" s="1" t="n">
        <v>43418</v>
      </c>
      <c r="C503" s="1" t="n">
        <v>45360</v>
      </c>
      <c r="D503" t="inlineStr">
        <is>
          <t>ÖREBRO LÄN</t>
        </is>
      </c>
      <c r="E503" t="inlineStr">
        <is>
          <t>LJUSNARSBERG</t>
        </is>
      </c>
      <c r="F503" t="inlineStr">
        <is>
          <t>Bergvik skog väst AB</t>
        </is>
      </c>
      <c r="G503" t="n">
        <v>0.7</v>
      </c>
      <c r="H503" t="n">
        <v>0</v>
      </c>
      <c r="I503" t="n">
        <v>0</v>
      </c>
      <c r="J503" t="n">
        <v>0</v>
      </c>
      <c r="K503" t="n">
        <v>0</v>
      </c>
      <c r="L503" t="n">
        <v>0</v>
      </c>
      <c r="M503" t="n">
        <v>0</v>
      </c>
      <c r="N503" t="n">
        <v>0</v>
      </c>
      <c r="O503" t="n">
        <v>0</v>
      </c>
      <c r="P503" t="n">
        <v>0</v>
      </c>
      <c r="Q503" t="n">
        <v>0</v>
      </c>
      <c r="R503" s="2" t="inlineStr"/>
    </row>
    <row r="504" ht="15" customHeight="1">
      <c r="A504" t="inlineStr">
        <is>
          <t>A 59655-2018</t>
        </is>
      </c>
      <c r="B504" s="1" t="n">
        <v>43419</v>
      </c>
      <c r="C504" s="1" t="n">
        <v>45360</v>
      </c>
      <c r="D504" t="inlineStr">
        <is>
          <t>ÖREBRO LÄN</t>
        </is>
      </c>
      <c r="E504" t="inlineStr">
        <is>
          <t>LAXÅ</t>
        </is>
      </c>
      <c r="F504" t="inlineStr">
        <is>
          <t>Övriga statliga verk och myndigheter</t>
        </is>
      </c>
      <c r="G504" t="n">
        <v>2.5</v>
      </c>
      <c r="H504" t="n">
        <v>0</v>
      </c>
      <c r="I504" t="n">
        <v>0</v>
      </c>
      <c r="J504" t="n">
        <v>0</v>
      </c>
      <c r="K504" t="n">
        <v>0</v>
      </c>
      <c r="L504" t="n">
        <v>0</v>
      </c>
      <c r="M504" t="n">
        <v>0</v>
      </c>
      <c r="N504" t="n">
        <v>0</v>
      </c>
      <c r="O504" t="n">
        <v>0</v>
      </c>
      <c r="P504" t="n">
        <v>0</v>
      </c>
      <c r="Q504" t="n">
        <v>0</v>
      </c>
      <c r="R504" s="2" t="inlineStr"/>
    </row>
    <row r="505" ht="15" customHeight="1">
      <c r="A505" t="inlineStr">
        <is>
          <t>A 59871-2018</t>
        </is>
      </c>
      <c r="B505" s="1" t="n">
        <v>43419</v>
      </c>
      <c r="C505" s="1" t="n">
        <v>45360</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59845-2018</t>
        </is>
      </c>
      <c r="B506" s="1" t="n">
        <v>43419</v>
      </c>
      <c r="C506" s="1" t="n">
        <v>45360</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59720-2018</t>
        </is>
      </c>
      <c r="B507" s="1" t="n">
        <v>43419</v>
      </c>
      <c r="C507" s="1" t="n">
        <v>45360</v>
      </c>
      <c r="D507" t="inlineStr">
        <is>
          <t>ÖREBRO LÄN</t>
        </is>
      </c>
      <c r="E507" t="inlineStr">
        <is>
          <t>LAXÅ</t>
        </is>
      </c>
      <c r="F507" t="inlineStr">
        <is>
          <t>Övriga statliga verk och myndigheter</t>
        </is>
      </c>
      <c r="G507" t="n">
        <v>4.4</v>
      </c>
      <c r="H507" t="n">
        <v>0</v>
      </c>
      <c r="I507" t="n">
        <v>0</v>
      </c>
      <c r="J507" t="n">
        <v>0</v>
      </c>
      <c r="K507" t="n">
        <v>0</v>
      </c>
      <c r="L507" t="n">
        <v>0</v>
      </c>
      <c r="M507" t="n">
        <v>0</v>
      </c>
      <c r="N507" t="n">
        <v>0</v>
      </c>
      <c r="O507" t="n">
        <v>0</v>
      </c>
      <c r="P507" t="n">
        <v>0</v>
      </c>
      <c r="Q507" t="n">
        <v>0</v>
      </c>
      <c r="R507" s="2" t="inlineStr"/>
    </row>
    <row r="508" ht="15" customHeight="1">
      <c r="A508" t="inlineStr">
        <is>
          <t>A 59849-2018</t>
        </is>
      </c>
      <c r="B508" s="1" t="n">
        <v>43419</v>
      </c>
      <c r="C508" s="1" t="n">
        <v>45360</v>
      </c>
      <c r="D508" t="inlineStr">
        <is>
          <t>ÖREBRO LÄN</t>
        </is>
      </c>
      <c r="E508" t="inlineStr">
        <is>
          <t>LINDESBERG</t>
        </is>
      </c>
      <c r="G508" t="n">
        <v>6.8</v>
      </c>
      <c r="H508" t="n">
        <v>0</v>
      </c>
      <c r="I508" t="n">
        <v>0</v>
      </c>
      <c r="J508" t="n">
        <v>0</v>
      </c>
      <c r="K508" t="n">
        <v>0</v>
      </c>
      <c r="L508" t="n">
        <v>0</v>
      </c>
      <c r="M508" t="n">
        <v>0</v>
      </c>
      <c r="N508" t="n">
        <v>0</v>
      </c>
      <c r="O508" t="n">
        <v>0</v>
      </c>
      <c r="P508" t="n">
        <v>0</v>
      </c>
      <c r="Q508" t="n">
        <v>0</v>
      </c>
      <c r="R508" s="2" t="inlineStr"/>
    </row>
    <row r="509" ht="15" customHeight="1">
      <c r="A509" t="inlineStr">
        <is>
          <t>A 59673-2018</t>
        </is>
      </c>
      <c r="B509" s="1" t="n">
        <v>43419</v>
      </c>
      <c r="C509" s="1" t="n">
        <v>45360</v>
      </c>
      <c r="D509" t="inlineStr">
        <is>
          <t>ÖREBRO LÄN</t>
        </is>
      </c>
      <c r="E509" t="inlineStr">
        <is>
          <t>LAXÅ</t>
        </is>
      </c>
      <c r="F509" t="inlineStr">
        <is>
          <t>Övriga statliga verk och myndigheter</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60052-2018</t>
        </is>
      </c>
      <c r="B510" s="1" t="n">
        <v>43420</v>
      </c>
      <c r="C510" s="1" t="n">
        <v>45360</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60635-2018</t>
        </is>
      </c>
      <c r="B511" s="1" t="n">
        <v>43420</v>
      </c>
      <c r="C511" s="1" t="n">
        <v>45360</v>
      </c>
      <c r="D511" t="inlineStr">
        <is>
          <t>ÖREBRO LÄN</t>
        </is>
      </c>
      <c r="E511" t="inlineStr">
        <is>
          <t>ASKERSUND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60546-2018</t>
        </is>
      </c>
      <c r="B512" s="1" t="n">
        <v>43420</v>
      </c>
      <c r="C512" s="1" t="n">
        <v>45360</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59987-2018</t>
        </is>
      </c>
      <c r="B513" s="1" t="n">
        <v>43420</v>
      </c>
      <c r="C513" s="1" t="n">
        <v>45360</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60359-2018</t>
        </is>
      </c>
      <c r="B514" s="1" t="n">
        <v>43420</v>
      </c>
      <c r="C514" s="1" t="n">
        <v>45360</v>
      </c>
      <c r="D514" t="inlineStr">
        <is>
          <t>ÖREBRO LÄN</t>
        </is>
      </c>
      <c r="E514" t="inlineStr">
        <is>
          <t>LAXÅ</t>
        </is>
      </c>
      <c r="F514" t="inlineStr">
        <is>
          <t>Övriga statliga verk och myndigheter</t>
        </is>
      </c>
      <c r="G514" t="n">
        <v>1.5</v>
      </c>
      <c r="H514" t="n">
        <v>0</v>
      </c>
      <c r="I514" t="n">
        <v>0</v>
      </c>
      <c r="J514" t="n">
        <v>0</v>
      </c>
      <c r="K514" t="n">
        <v>0</v>
      </c>
      <c r="L514" t="n">
        <v>0</v>
      </c>
      <c r="M514" t="n">
        <v>0</v>
      </c>
      <c r="N514" t="n">
        <v>0</v>
      </c>
      <c r="O514" t="n">
        <v>0</v>
      </c>
      <c r="P514" t="n">
        <v>0</v>
      </c>
      <c r="Q514" t="n">
        <v>0</v>
      </c>
      <c r="R514" s="2" t="inlineStr"/>
    </row>
    <row r="515" ht="15" customHeight="1">
      <c r="A515" t="inlineStr">
        <is>
          <t>A 60814-2018</t>
        </is>
      </c>
      <c r="B515" s="1" t="n">
        <v>43422</v>
      </c>
      <c r="C515" s="1" t="n">
        <v>45360</v>
      </c>
      <c r="D515" t="inlineStr">
        <is>
          <t>ÖREBRO LÄN</t>
        </is>
      </c>
      <c r="E515" t="inlineStr">
        <is>
          <t>LEKEBERG</t>
        </is>
      </c>
      <c r="G515" t="n">
        <v>0.5</v>
      </c>
      <c r="H515" t="n">
        <v>0</v>
      </c>
      <c r="I515" t="n">
        <v>0</v>
      </c>
      <c r="J515" t="n">
        <v>0</v>
      </c>
      <c r="K515" t="n">
        <v>0</v>
      </c>
      <c r="L515" t="n">
        <v>0</v>
      </c>
      <c r="M515" t="n">
        <v>0</v>
      </c>
      <c r="N515" t="n">
        <v>0</v>
      </c>
      <c r="O515" t="n">
        <v>0</v>
      </c>
      <c r="P515" t="n">
        <v>0</v>
      </c>
      <c r="Q515" t="n">
        <v>0</v>
      </c>
      <c r="R515" s="2" t="inlineStr"/>
    </row>
    <row r="516" ht="15" customHeight="1">
      <c r="A516" t="inlineStr">
        <is>
          <t>A 60894-2018</t>
        </is>
      </c>
      <c r="B516" s="1" t="n">
        <v>43423</v>
      </c>
      <c r="C516" s="1" t="n">
        <v>45360</v>
      </c>
      <c r="D516" t="inlineStr">
        <is>
          <t>ÖREBRO LÄN</t>
        </is>
      </c>
      <c r="E516" t="inlineStr">
        <is>
          <t>KARLSKOGA</t>
        </is>
      </c>
      <c r="G516" t="n">
        <v>1.5</v>
      </c>
      <c r="H516" t="n">
        <v>0</v>
      </c>
      <c r="I516" t="n">
        <v>0</v>
      </c>
      <c r="J516" t="n">
        <v>0</v>
      </c>
      <c r="K516" t="n">
        <v>0</v>
      </c>
      <c r="L516" t="n">
        <v>0</v>
      </c>
      <c r="M516" t="n">
        <v>0</v>
      </c>
      <c r="N516" t="n">
        <v>0</v>
      </c>
      <c r="O516" t="n">
        <v>0</v>
      </c>
      <c r="P516" t="n">
        <v>0</v>
      </c>
      <c r="Q516" t="n">
        <v>0</v>
      </c>
      <c r="R516" s="2" t="inlineStr"/>
    </row>
    <row r="517" ht="15" customHeight="1">
      <c r="A517" t="inlineStr">
        <is>
          <t>A 61143-2018</t>
        </is>
      </c>
      <c r="B517" s="1" t="n">
        <v>43423</v>
      </c>
      <c r="C517" s="1" t="n">
        <v>45360</v>
      </c>
      <c r="D517" t="inlineStr">
        <is>
          <t>ÖREBRO LÄN</t>
        </is>
      </c>
      <c r="E517" t="inlineStr">
        <is>
          <t>ASKERSUND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65087-2018</t>
        </is>
      </c>
      <c r="B518" s="1" t="n">
        <v>43423</v>
      </c>
      <c r="C518" s="1" t="n">
        <v>45360</v>
      </c>
      <c r="D518" t="inlineStr">
        <is>
          <t>ÖREBRO LÄN</t>
        </is>
      </c>
      <c r="E518" t="inlineStr">
        <is>
          <t>LINDESBERG</t>
        </is>
      </c>
      <c r="G518" t="n">
        <v>9.1</v>
      </c>
      <c r="H518" t="n">
        <v>0</v>
      </c>
      <c r="I518" t="n">
        <v>0</v>
      </c>
      <c r="J518" t="n">
        <v>0</v>
      </c>
      <c r="K518" t="n">
        <v>0</v>
      </c>
      <c r="L518" t="n">
        <v>0</v>
      </c>
      <c r="M518" t="n">
        <v>0</v>
      </c>
      <c r="N518" t="n">
        <v>0</v>
      </c>
      <c r="O518" t="n">
        <v>0</v>
      </c>
      <c r="P518" t="n">
        <v>0</v>
      </c>
      <c r="Q518" t="n">
        <v>0</v>
      </c>
      <c r="R518" s="2" t="inlineStr"/>
    </row>
    <row r="519" ht="15" customHeight="1">
      <c r="A519" t="inlineStr">
        <is>
          <t>A 64771-2018</t>
        </is>
      </c>
      <c r="B519" s="1" t="n">
        <v>43423</v>
      </c>
      <c r="C519" s="1" t="n">
        <v>45360</v>
      </c>
      <c r="D519" t="inlineStr">
        <is>
          <t>ÖREBRO LÄN</t>
        </is>
      </c>
      <c r="E519" t="inlineStr">
        <is>
          <t>ASKERSUND</t>
        </is>
      </c>
      <c r="G519" t="n">
        <v>1.9</v>
      </c>
      <c r="H519" t="n">
        <v>0</v>
      </c>
      <c r="I519" t="n">
        <v>0</v>
      </c>
      <c r="J519" t="n">
        <v>0</v>
      </c>
      <c r="K519" t="n">
        <v>0</v>
      </c>
      <c r="L519" t="n">
        <v>0</v>
      </c>
      <c r="M519" t="n">
        <v>0</v>
      </c>
      <c r="N519" t="n">
        <v>0</v>
      </c>
      <c r="O519" t="n">
        <v>0</v>
      </c>
      <c r="P519" t="n">
        <v>0</v>
      </c>
      <c r="Q519" t="n">
        <v>0</v>
      </c>
      <c r="R519" s="2" t="inlineStr"/>
    </row>
    <row r="520" ht="15" customHeight="1">
      <c r="A520" t="inlineStr">
        <is>
          <t>A 61072-2018</t>
        </is>
      </c>
      <c r="B520" s="1" t="n">
        <v>43423</v>
      </c>
      <c r="C520" s="1" t="n">
        <v>45360</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65063-2018</t>
        </is>
      </c>
      <c r="B521" s="1" t="n">
        <v>43423</v>
      </c>
      <c r="C521" s="1" t="n">
        <v>45360</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60934-2018</t>
        </is>
      </c>
      <c r="B522" s="1" t="n">
        <v>43423</v>
      </c>
      <c r="C522" s="1" t="n">
        <v>45360</v>
      </c>
      <c r="D522" t="inlineStr">
        <is>
          <t>ÖREBRO LÄN</t>
        </is>
      </c>
      <c r="E522" t="inlineStr">
        <is>
          <t>LJUSNARSBERG</t>
        </is>
      </c>
      <c r="F522" t="inlineStr">
        <is>
          <t>Kyrkan</t>
        </is>
      </c>
      <c r="G522" t="n">
        <v>3.8</v>
      </c>
      <c r="H522" t="n">
        <v>0</v>
      </c>
      <c r="I522" t="n">
        <v>0</v>
      </c>
      <c r="J522" t="n">
        <v>0</v>
      </c>
      <c r="K522" t="n">
        <v>0</v>
      </c>
      <c r="L522" t="n">
        <v>0</v>
      </c>
      <c r="M522" t="n">
        <v>0</v>
      </c>
      <c r="N522" t="n">
        <v>0</v>
      </c>
      <c r="O522" t="n">
        <v>0</v>
      </c>
      <c r="P522" t="n">
        <v>0</v>
      </c>
      <c r="Q522" t="n">
        <v>0</v>
      </c>
      <c r="R522" s="2" t="inlineStr"/>
    </row>
    <row r="523" ht="15" customHeight="1">
      <c r="A523" t="inlineStr">
        <is>
          <t>A 61430-2018</t>
        </is>
      </c>
      <c r="B523" s="1" t="n">
        <v>43424</v>
      </c>
      <c r="C523" s="1" t="n">
        <v>45360</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61425-2018</t>
        </is>
      </c>
      <c r="B524" s="1" t="n">
        <v>43424</v>
      </c>
      <c r="C524" s="1" t="n">
        <v>45360</v>
      </c>
      <c r="D524" t="inlineStr">
        <is>
          <t>ÖREBRO LÄN</t>
        </is>
      </c>
      <c r="E524" t="inlineStr">
        <is>
          <t>LINDESBERG</t>
        </is>
      </c>
      <c r="G524" t="n">
        <v>6.4</v>
      </c>
      <c r="H524" t="n">
        <v>0</v>
      </c>
      <c r="I524" t="n">
        <v>0</v>
      </c>
      <c r="J524" t="n">
        <v>0</v>
      </c>
      <c r="K524" t="n">
        <v>0</v>
      </c>
      <c r="L524" t="n">
        <v>0</v>
      </c>
      <c r="M524" t="n">
        <v>0</v>
      </c>
      <c r="N524" t="n">
        <v>0</v>
      </c>
      <c r="O524" t="n">
        <v>0</v>
      </c>
      <c r="P524" t="n">
        <v>0</v>
      </c>
      <c r="Q524" t="n">
        <v>0</v>
      </c>
      <c r="R524" s="2" t="inlineStr"/>
    </row>
    <row r="525" ht="15" customHeight="1">
      <c r="A525" t="inlineStr">
        <is>
          <t>A 62237-2018</t>
        </is>
      </c>
      <c r="B525" s="1" t="n">
        <v>43425</v>
      </c>
      <c r="C525" s="1" t="n">
        <v>45360</v>
      </c>
      <c r="D525" t="inlineStr">
        <is>
          <t>ÖREBRO LÄN</t>
        </is>
      </c>
      <c r="E525" t="inlineStr">
        <is>
          <t>LINDESBERG</t>
        </is>
      </c>
      <c r="G525" t="n">
        <v>6.5</v>
      </c>
      <c r="H525" t="n">
        <v>0</v>
      </c>
      <c r="I525" t="n">
        <v>0</v>
      </c>
      <c r="J525" t="n">
        <v>0</v>
      </c>
      <c r="K525" t="n">
        <v>0</v>
      </c>
      <c r="L525" t="n">
        <v>0</v>
      </c>
      <c r="M525" t="n">
        <v>0</v>
      </c>
      <c r="N525" t="n">
        <v>0</v>
      </c>
      <c r="O525" t="n">
        <v>0</v>
      </c>
      <c r="P525" t="n">
        <v>0</v>
      </c>
      <c r="Q525" t="n">
        <v>0</v>
      </c>
      <c r="R525" s="2" t="inlineStr"/>
    </row>
    <row r="526" ht="15" customHeight="1">
      <c r="A526" t="inlineStr">
        <is>
          <t>A 62933-2018</t>
        </is>
      </c>
      <c r="B526" s="1" t="n">
        <v>43426</v>
      </c>
      <c r="C526" s="1" t="n">
        <v>45360</v>
      </c>
      <c r="D526" t="inlineStr">
        <is>
          <t>ÖREBRO LÄN</t>
        </is>
      </c>
      <c r="E526" t="inlineStr">
        <is>
          <t>HÄLLEFORS</t>
        </is>
      </c>
      <c r="G526" t="n">
        <v>1.9</v>
      </c>
      <c r="H526" t="n">
        <v>0</v>
      </c>
      <c r="I526" t="n">
        <v>0</v>
      </c>
      <c r="J526" t="n">
        <v>0</v>
      </c>
      <c r="K526" t="n">
        <v>0</v>
      </c>
      <c r="L526" t="n">
        <v>0</v>
      </c>
      <c r="M526" t="n">
        <v>0</v>
      </c>
      <c r="N526" t="n">
        <v>0</v>
      </c>
      <c r="O526" t="n">
        <v>0</v>
      </c>
      <c r="P526" t="n">
        <v>0</v>
      </c>
      <c r="Q526" t="n">
        <v>0</v>
      </c>
      <c r="R526" s="2" t="inlineStr"/>
    </row>
    <row r="527" ht="15" customHeight="1">
      <c r="A527" t="inlineStr">
        <is>
          <t>A 63284-2018</t>
        </is>
      </c>
      <c r="B527" s="1" t="n">
        <v>43426</v>
      </c>
      <c r="C527" s="1" t="n">
        <v>45360</v>
      </c>
      <c r="D527" t="inlineStr">
        <is>
          <t>ÖREBRO LÄN</t>
        </is>
      </c>
      <c r="E527" t="inlineStr">
        <is>
          <t>HÄLLEFORS</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63264-2018</t>
        </is>
      </c>
      <c r="B528" s="1" t="n">
        <v>43426</v>
      </c>
      <c r="C528" s="1" t="n">
        <v>45360</v>
      </c>
      <c r="D528" t="inlineStr">
        <is>
          <t>ÖREBRO LÄN</t>
        </is>
      </c>
      <c r="E528" t="inlineStr">
        <is>
          <t>HÄLLEFORS</t>
        </is>
      </c>
      <c r="G528" t="n">
        <v>2.3</v>
      </c>
      <c r="H528" t="n">
        <v>0</v>
      </c>
      <c r="I528" t="n">
        <v>0</v>
      </c>
      <c r="J528" t="n">
        <v>0</v>
      </c>
      <c r="K528" t="n">
        <v>0</v>
      </c>
      <c r="L528" t="n">
        <v>0</v>
      </c>
      <c r="M528" t="n">
        <v>0</v>
      </c>
      <c r="N528" t="n">
        <v>0</v>
      </c>
      <c r="O528" t="n">
        <v>0</v>
      </c>
      <c r="P528" t="n">
        <v>0</v>
      </c>
      <c r="Q528" t="n">
        <v>0</v>
      </c>
      <c r="R528" s="2" t="inlineStr"/>
    </row>
    <row r="529" ht="15" customHeight="1">
      <c r="A529" t="inlineStr">
        <is>
          <t>A 66406-2018</t>
        </is>
      </c>
      <c r="B529" s="1" t="n">
        <v>43427</v>
      </c>
      <c r="C529" s="1" t="n">
        <v>45360</v>
      </c>
      <c r="D529" t="inlineStr">
        <is>
          <t>ÖREBRO LÄN</t>
        </is>
      </c>
      <c r="E529" t="inlineStr">
        <is>
          <t>LAXÅ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63429-2018</t>
        </is>
      </c>
      <c r="B530" s="1" t="n">
        <v>43427</v>
      </c>
      <c r="C530" s="1" t="n">
        <v>45360</v>
      </c>
      <c r="D530" t="inlineStr">
        <is>
          <t>ÖREBRO LÄN</t>
        </is>
      </c>
      <c r="E530" t="inlineStr">
        <is>
          <t>LINDESBERG</t>
        </is>
      </c>
      <c r="G530" t="n">
        <v>7</v>
      </c>
      <c r="H530" t="n">
        <v>0</v>
      </c>
      <c r="I530" t="n">
        <v>0</v>
      </c>
      <c r="J530" t="n">
        <v>0</v>
      </c>
      <c r="K530" t="n">
        <v>0</v>
      </c>
      <c r="L530" t="n">
        <v>0</v>
      </c>
      <c r="M530" t="n">
        <v>0</v>
      </c>
      <c r="N530" t="n">
        <v>0</v>
      </c>
      <c r="O530" t="n">
        <v>0</v>
      </c>
      <c r="P530" t="n">
        <v>0</v>
      </c>
      <c r="Q530" t="n">
        <v>0</v>
      </c>
      <c r="R530" s="2" t="inlineStr"/>
    </row>
    <row r="531" ht="15" customHeight="1">
      <c r="A531" t="inlineStr">
        <is>
          <t>A 63719-2018</t>
        </is>
      </c>
      <c r="B531" s="1" t="n">
        <v>43428</v>
      </c>
      <c r="C531" s="1" t="n">
        <v>45360</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63784-2018</t>
        </is>
      </c>
      <c r="B532" s="1" t="n">
        <v>43429</v>
      </c>
      <c r="C532" s="1" t="n">
        <v>45360</v>
      </c>
      <c r="D532" t="inlineStr">
        <is>
          <t>ÖREBRO LÄN</t>
        </is>
      </c>
      <c r="E532" t="inlineStr">
        <is>
          <t>LINDESBERG</t>
        </is>
      </c>
      <c r="G532" t="n">
        <v>6.2</v>
      </c>
      <c r="H532" t="n">
        <v>0</v>
      </c>
      <c r="I532" t="n">
        <v>0</v>
      </c>
      <c r="J532" t="n">
        <v>0</v>
      </c>
      <c r="K532" t="n">
        <v>0</v>
      </c>
      <c r="L532" t="n">
        <v>0</v>
      </c>
      <c r="M532" t="n">
        <v>0</v>
      </c>
      <c r="N532" t="n">
        <v>0</v>
      </c>
      <c r="O532" t="n">
        <v>0</v>
      </c>
      <c r="P532" t="n">
        <v>0</v>
      </c>
      <c r="Q532" t="n">
        <v>0</v>
      </c>
      <c r="R532" s="2" t="inlineStr"/>
    </row>
    <row r="533" ht="15" customHeight="1">
      <c r="A533" t="inlineStr">
        <is>
          <t>A 63869-2018</t>
        </is>
      </c>
      <c r="B533" s="1" t="n">
        <v>43430</v>
      </c>
      <c r="C533" s="1" t="n">
        <v>45360</v>
      </c>
      <c r="D533" t="inlineStr">
        <is>
          <t>ÖREBRO LÄN</t>
        </is>
      </c>
      <c r="E533" t="inlineStr">
        <is>
          <t>LINDESBERG</t>
        </is>
      </c>
      <c r="G533" t="n">
        <v>9</v>
      </c>
      <c r="H533" t="n">
        <v>0</v>
      </c>
      <c r="I533" t="n">
        <v>0</v>
      </c>
      <c r="J533" t="n">
        <v>0</v>
      </c>
      <c r="K533" t="n">
        <v>0</v>
      </c>
      <c r="L533" t="n">
        <v>0</v>
      </c>
      <c r="M533" t="n">
        <v>0</v>
      </c>
      <c r="N533" t="n">
        <v>0</v>
      </c>
      <c r="O533" t="n">
        <v>0</v>
      </c>
      <c r="P533" t="n">
        <v>0</v>
      </c>
      <c r="Q533" t="n">
        <v>0</v>
      </c>
      <c r="R533" s="2" t="inlineStr"/>
    </row>
    <row r="534" ht="15" customHeight="1">
      <c r="A534" t="inlineStr">
        <is>
          <t>A 64395-2018</t>
        </is>
      </c>
      <c r="B534" s="1" t="n">
        <v>43430</v>
      </c>
      <c r="C534" s="1" t="n">
        <v>45360</v>
      </c>
      <c r="D534" t="inlineStr">
        <is>
          <t>ÖREBRO LÄN</t>
        </is>
      </c>
      <c r="E534" t="inlineStr">
        <is>
          <t>ÖREBRO</t>
        </is>
      </c>
      <c r="G534" t="n">
        <v>10.4</v>
      </c>
      <c r="H534" t="n">
        <v>0</v>
      </c>
      <c r="I534" t="n">
        <v>0</v>
      </c>
      <c r="J534" t="n">
        <v>0</v>
      </c>
      <c r="K534" t="n">
        <v>0</v>
      </c>
      <c r="L534" t="n">
        <v>0</v>
      </c>
      <c r="M534" t="n">
        <v>0</v>
      </c>
      <c r="N534" t="n">
        <v>0</v>
      </c>
      <c r="O534" t="n">
        <v>0</v>
      </c>
      <c r="P534" t="n">
        <v>0</v>
      </c>
      <c r="Q534" t="n">
        <v>0</v>
      </c>
      <c r="R534" s="2" t="inlineStr"/>
    </row>
    <row r="535" ht="15" customHeight="1">
      <c r="A535" t="inlineStr">
        <is>
          <t>A 66426-2018</t>
        </is>
      </c>
      <c r="B535" s="1" t="n">
        <v>43430</v>
      </c>
      <c r="C535" s="1" t="n">
        <v>45360</v>
      </c>
      <c r="D535" t="inlineStr">
        <is>
          <t>ÖREBRO LÄN</t>
        </is>
      </c>
      <c r="E535" t="inlineStr">
        <is>
          <t>LINDESBERG</t>
        </is>
      </c>
      <c r="G535" t="n">
        <v>5.8</v>
      </c>
      <c r="H535" t="n">
        <v>0</v>
      </c>
      <c r="I535" t="n">
        <v>0</v>
      </c>
      <c r="J535" t="n">
        <v>0</v>
      </c>
      <c r="K535" t="n">
        <v>0</v>
      </c>
      <c r="L535" t="n">
        <v>0</v>
      </c>
      <c r="M535" t="n">
        <v>0</v>
      </c>
      <c r="N535" t="n">
        <v>0</v>
      </c>
      <c r="O535" t="n">
        <v>0</v>
      </c>
      <c r="P535" t="n">
        <v>0</v>
      </c>
      <c r="Q535" t="n">
        <v>0</v>
      </c>
      <c r="R535" s="2" t="inlineStr"/>
    </row>
    <row r="536" ht="15" customHeight="1">
      <c r="A536" t="inlineStr">
        <is>
          <t>A 66495-2018</t>
        </is>
      </c>
      <c r="B536" s="1" t="n">
        <v>43430</v>
      </c>
      <c r="C536" s="1" t="n">
        <v>45360</v>
      </c>
      <c r="D536" t="inlineStr">
        <is>
          <t>ÖREBRO LÄN</t>
        </is>
      </c>
      <c r="E536" t="inlineStr">
        <is>
          <t>LINDESBERG</t>
        </is>
      </c>
      <c r="G536" t="n">
        <v>5.4</v>
      </c>
      <c r="H536" t="n">
        <v>0</v>
      </c>
      <c r="I536" t="n">
        <v>0</v>
      </c>
      <c r="J536" t="n">
        <v>0</v>
      </c>
      <c r="K536" t="n">
        <v>0</v>
      </c>
      <c r="L536" t="n">
        <v>0</v>
      </c>
      <c r="M536" t="n">
        <v>0</v>
      </c>
      <c r="N536" t="n">
        <v>0</v>
      </c>
      <c r="O536" t="n">
        <v>0</v>
      </c>
      <c r="P536" t="n">
        <v>0</v>
      </c>
      <c r="Q536" t="n">
        <v>0</v>
      </c>
      <c r="R536" s="2" t="inlineStr"/>
    </row>
    <row r="537" ht="15" customHeight="1">
      <c r="A537" t="inlineStr">
        <is>
          <t>A 66440-2018</t>
        </is>
      </c>
      <c r="B537" s="1" t="n">
        <v>43430</v>
      </c>
      <c r="C537" s="1" t="n">
        <v>45360</v>
      </c>
      <c r="D537" t="inlineStr">
        <is>
          <t>ÖREBRO LÄN</t>
        </is>
      </c>
      <c r="E537" t="inlineStr">
        <is>
          <t>ÖREBRO</t>
        </is>
      </c>
      <c r="G537" t="n">
        <v>0.4</v>
      </c>
      <c r="H537" t="n">
        <v>0</v>
      </c>
      <c r="I537" t="n">
        <v>0</v>
      </c>
      <c r="J537" t="n">
        <v>0</v>
      </c>
      <c r="K537" t="n">
        <v>0</v>
      </c>
      <c r="L537" t="n">
        <v>0</v>
      </c>
      <c r="M537" t="n">
        <v>0</v>
      </c>
      <c r="N537" t="n">
        <v>0</v>
      </c>
      <c r="O537" t="n">
        <v>0</v>
      </c>
      <c r="P537" t="n">
        <v>0</v>
      </c>
      <c r="Q537" t="n">
        <v>0</v>
      </c>
      <c r="R537" s="2" t="inlineStr"/>
    </row>
    <row r="538" ht="15" customHeight="1">
      <c r="A538" t="inlineStr">
        <is>
          <t>A 64066-2018</t>
        </is>
      </c>
      <c r="B538" s="1" t="n">
        <v>43430</v>
      </c>
      <c r="C538" s="1" t="n">
        <v>45360</v>
      </c>
      <c r="D538" t="inlineStr">
        <is>
          <t>ÖREBRO LÄN</t>
        </is>
      </c>
      <c r="E538" t="inlineStr">
        <is>
          <t>LEKEBERG</t>
        </is>
      </c>
      <c r="G538" t="n">
        <v>1.2</v>
      </c>
      <c r="H538" t="n">
        <v>0</v>
      </c>
      <c r="I538" t="n">
        <v>0</v>
      </c>
      <c r="J538" t="n">
        <v>0</v>
      </c>
      <c r="K538" t="n">
        <v>0</v>
      </c>
      <c r="L538" t="n">
        <v>0</v>
      </c>
      <c r="M538" t="n">
        <v>0</v>
      </c>
      <c r="N538" t="n">
        <v>0</v>
      </c>
      <c r="O538" t="n">
        <v>0</v>
      </c>
      <c r="P538" t="n">
        <v>0</v>
      </c>
      <c r="Q538" t="n">
        <v>0</v>
      </c>
      <c r="R538" s="2" t="inlineStr"/>
    </row>
    <row r="539" ht="15" customHeight="1">
      <c r="A539" t="inlineStr">
        <is>
          <t>A 64069-2018</t>
        </is>
      </c>
      <c r="B539" s="1" t="n">
        <v>43430</v>
      </c>
      <c r="C539" s="1" t="n">
        <v>45360</v>
      </c>
      <c r="D539" t="inlineStr">
        <is>
          <t>ÖREBRO LÄN</t>
        </is>
      </c>
      <c r="E539" t="inlineStr">
        <is>
          <t>LEKEBERG</t>
        </is>
      </c>
      <c r="G539" t="n">
        <v>0.9</v>
      </c>
      <c r="H539" t="n">
        <v>0</v>
      </c>
      <c r="I539" t="n">
        <v>0</v>
      </c>
      <c r="J539" t="n">
        <v>0</v>
      </c>
      <c r="K539" t="n">
        <v>0</v>
      </c>
      <c r="L539" t="n">
        <v>0</v>
      </c>
      <c r="M539" t="n">
        <v>0</v>
      </c>
      <c r="N539" t="n">
        <v>0</v>
      </c>
      <c r="O539" t="n">
        <v>0</v>
      </c>
      <c r="P539" t="n">
        <v>0</v>
      </c>
      <c r="Q539" t="n">
        <v>0</v>
      </c>
      <c r="R539" s="2" t="inlineStr"/>
    </row>
    <row r="540" ht="15" customHeight="1">
      <c r="A540" t="inlineStr">
        <is>
          <t>A 63910-2018</t>
        </is>
      </c>
      <c r="B540" s="1" t="n">
        <v>43430</v>
      </c>
      <c r="C540" s="1" t="n">
        <v>45360</v>
      </c>
      <c r="D540" t="inlineStr">
        <is>
          <t>ÖREBRO LÄN</t>
        </is>
      </c>
      <c r="E540" t="inlineStr">
        <is>
          <t>NORA</t>
        </is>
      </c>
      <c r="G540" t="n">
        <v>0.9</v>
      </c>
      <c r="H540" t="n">
        <v>0</v>
      </c>
      <c r="I540" t="n">
        <v>0</v>
      </c>
      <c r="J540" t="n">
        <v>0</v>
      </c>
      <c r="K540" t="n">
        <v>0</v>
      </c>
      <c r="L540" t="n">
        <v>0</v>
      </c>
      <c r="M540" t="n">
        <v>0</v>
      </c>
      <c r="N540" t="n">
        <v>0</v>
      </c>
      <c r="O540" t="n">
        <v>0</v>
      </c>
      <c r="P540" t="n">
        <v>0</v>
      </c>
      <c r="Q540" t="n">
        <v>0</v>
      </c>
      <c r="R540" s="2" t="inlineStr"/>
    </row>
    <row r="541" ht="15" customHeight="1">
      <c r="A541" t="inlineStr">
        <is>
          <t>A 63829-2018</t>
        </is>
      </c>
      <c r="B541" s="1" t="n">
        <v>43430</v>
      </c>
      <c r="C541" s="1" t="n">
        <v>45360</v>
      </c>
      <c r="D541" t="inlineStr">
        <is>
          <t>ÖREBRO LÄN</t>
        </is>
      </c>
      <c r="E541" t="inlineStr">
        <is>
          <t>DEGERFORS</t>
        </is>
      </c>
      <c r="G541" t="n">
        <v>5.9</v>
      </c>
      <c r="H541" t="n">
        <v>0</v>
      </c>
      <c r="I541" t="n">
        <v>0</v>
      </c>
      <c r="J541" t="n">
        <v>0</v>
      </c>
      <c r="K541" t="n">
        <v>0</v>
      </c>
      <c r="L541" t="n">
        <v>0</v>
      </c>
      <c r="M541" t="n">
        <v>0</v>
      </c>
      <c r="N541" t="n">
        <v>0</v>
      </c>
      <c r="O541" t="n">
        <v>0</v>
      </c>
      <c r="P541" t="n">
        <v>0</v>
      </c>
      <c r="Q541" t="n">
        <v>0</v>
      </c>
      <c r="R541" s="2" t="inlineStr"/>
    </row>
    <row r="542" ht="15" customHeight="1">
      <c r="A542" t="inlineStr">
        <is>
          <t>A 63892-2018</t>
        </is>
      </c>
      <c r="B542" s="1" t="n">
        <v>43430</v>
      </c>
      <c r="C542" s="1" t="n">
        <v>45360</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63832-2018</t>
        </is>
      </c>
      <c r="B543" s="1" t="n">
        <v>43430</v>
      </c>
      <c r="C543" s="1" t="n">
        <v>45360</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64663-2018</t>
        </is>
      </c>
      <c r="B544" s="1" t="n">
        <v>43431</v>
      </c>
      <c r="C544" s="1" t="n">
        <v>45360</v>
      </c>
      <c r="D544" t="inlineStr">
        <is>
          <t>ÖREBRO LÄN</t>
        </is>
      </c>
      <c r="E544" t="inlineStr">
        <is>
          <t>LAXÅ</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64904-2018</t>
        </is>
      </c>
      <c r="B545" s="1" t="n">
        <v>43431</v>
      </c>
      <c r="C545" s="1" t="n">
        <v>45360</v>
      </c>
      <c r="D545" t="inlineStr">
        <is>
          <t>ÖREBRO LÄN</t>
        </is>
      </c>
      <c r="E545" t="inlineStr">
        <is>
          <t>LINDESBERG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64906-2018</t>
        </is>
      </c>
      <c r="B546" s="1" t="n">
        <v>43431</v>
      </c>
      <c r="C546" s="1" t="n">
        <v>45360</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64886-2018</t>
        </is>
      </c>
      <c r="B547" s="1" t="n">
        <v>43431</v>
      </c>
      <c r="C547" s="1" t="n">
        <v>45360</v>
      </c>
      <c r="D547" t="inlineStr">
        <is>
          <t>ÖREBRO LÄN</t>
        </is>
      </c>
      <c r="E547" t="inlineStr">
        <is>
          <t>HÄLLEFORS</t>
        </is>
      </c>
      <c r="G547" t="n">
        <v>13.2</v>
      </c>
      <c r="H547" t="n">
        <v>0</v>
      </c>
      <c r="I547" t="n">
        <v>0</v>
      </c>
      <c r="J547" t="n">
        <v>0</v>
      </c>
      <c r="K547" t="n">
        <v>0</v>
      </c>
      <c r="L547" t="n">
        <v>0</v>
      </c>
      <c r="M547" t="n">
        <v>0</v>
      </c>
      <c r="N547" t="n">
        <v>0</v>
      </c>
      <c r="O547" t="n">
        <v>0</v>
      </c>
      <c r="P547" t="n">
        <v>0</v>
      </c>
      <c r="Q547" t="n">
        <v>0</v>
      </c>
      <c r="R547" s="2" t="inlineStr"/>
    </row>
    <row r="548" ht="15" customHeight="1">
      <c r="A548" t="inlineStr">
        <is>
          <t>A 64862-2018</t>
        </is>
      </c>
      <c r="B548" s="1" t="n">
        <v>43431</v>
      </c>
      <c r="C548" s="1" t="n">
        <v>45360</v>
      </c>
      <c r="D548" t="inlineStr">
        <is>
          <t>ÖREBRO LÄN</t>
        </is>
      </c>
      <c r="E548" t="inlineStr">
        <is>
          <t>LEKEBERG</t>
        </is>
      </c>
      <c r="G548" t="n">
        <v>4.2</v>
      </c>
      <c r="H548" t="n">
        <v>0</v>
      </c>
      <c r="I548" t="n">
        <v>0</v>
      </c>
      <c r="J548" t="n">
        <v>0</v>
      </c>
      <c r="K548" t="n">
        <v>0</v>
      </c>
      <c r="L548" t="n">
        <v>0</v>
      </c>
      <c r="M548" t="n">
        <v>0</v>
      </c>
      <c r="N548" t="n">
        <v>0</v>
      </c>
      <c r="O548" t="n">
        <v>0</v>
      </c>
      <c r="P548" t="n">
        <v>0</v>
      </c>
      <c r="Q548" t="n">
        <v>0</v>
      </c>
      <c r="R548" s="2" t="inlineStr"/>
    </row>
    <row r="549" ht="15" customHeight="1">
      <c r="A549" t="inlineStr">
        <is>
          <t>A 64905-2018</t>
        </is>
      </c>
      <c r="B549" s="1" t="n">
        <v>43431</v>
      </c>
      <c r="C549" s="1" t="n">
        <v>45360</v>
      </c>
      <c r="D549" t="inlineStr">
        <is>
          <t>ÖREBRO LÄN</t>
        </is>
      </c>
      <c r="E549" t="inlineStr">
        <is>
          <t>LINDESBERG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64673-2018</t>
        </is>
      </c>
      <c r="B550" s="1" t="n">
        <v>43431</v>
      </c>
      <c r="C550" s="1" t="n">
        <v>45360</v>
      </c>
      <c r="D550" t="inlineStr">
        <is>
          <t>ÖREBRO LÄN</t>
        </is>
      </c>
      <c r="E550" t="inlineStr">
        <is>
          <t>LAXÅ</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67115-2018</t>
        </is>
      </c>
      <c r="B551" s="1" t="n">
        <v>43431</v>
      </c>
      <c r="C551" s="1" t="n">
        <v>45360</v>
      </c>
      <c r="D551" t="inlineStr">
        <is>
          <t>ÖREBRO LÄN</t>
        </is>
      </c>
      <c r="E551" t="inlineStr">
        <is>
          <t>LINDESBERG</t>
        </is>
      </c>
      <c r="G551" t="n">
        <v>5.6</v>
      </c>
      <c r="H551" t="n">
        <v>0</v>
      </c>
      <c r="I551" t="n">
        <v>0</v>
      </c>
      <c r="J551" t="n">
        <v>0</v>
      </c>
      <c r="K551" t="n">
        <v>0</v>
      </c>
      <c r="L551" t="n">
        <v>0</v>
      </c>
      <c r="M551" t="n">
        <v>0</v>
      </c>
      <c r="N551" t="n">
        <v>0</v>
      </c>
      <c r="O551" t="n">
        <v>0</v>
      </c>
      <c r="P551" t="n">
        <v>0</v>
      </c>
      <c r="Q551" t="n">
        <v>0</v>
      </c>
      <c r="R551" s="2" t="inlineStr"/>
    </row>
    <row r="552" ht="15" customHeight="1">
      <c r="A552" t="inlineStr">
        <is>
          <t>A 65098-2018</t>
        </is>
      </c>
      <c r="B552" s="1" t="n">
        <v>43432</v>
      </c>
      <c r="C552" s="1" t="n">
        <v>45360</v>
      </c>
      <c r="D552" t="inlineStr">
        <is>
          <t>ÖREBRO LÄN</t>
        </is>
      </c>
      <c r="E552" t="inlineStr">
        <is>
          <t>LAXÅ</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65092-2018</t>
        </is>
      </c>
      <c r="B553" s="1" t="n">
        <v>43432</v>
      </c>
      <c r="C553" s="1" t="n">
        <v>45360</v>
      </c>
      <c r="D553" t="inlineStr">
        <is>
          <t>ÖREBRO LÄN</t>
        </is>
      </c>
      <c r="E553" t="inlineStr">
        <is>
          <t>LAXÅ</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65211-2018</t>
        </is>
      </c>
      <c r="B554" s="1" t="n">
        <v>43432</v>
      </c>
      <c r="C554" s="1" t="n">
        <v>45360</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65260-2018</t>
        </is>
      </c>
      <c r="B555" s="1" t="n">
        <v>43432</v>
      </c>
      <c r="C555" s="1" t="n">
        <v>45360</v>
      </c>
      <c r="D555" t="inlineStr">
        <is>
          <t>ÖREBRO LÄN</t>
        </is>
      </c>
      <c r="E555" t="inlineStr">
        <is>
          <t>HALLSBERG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65103-2018</t>
        </is>
      </c>
      <c r="B556" s="1" t="n">
        <v>43432</v>
      </c>
      <c r="C556" s="1" t="n">
        <v>45360</v>
      </c>
      <c r="D556" t="inlineStr">
        <is>
          <t>ÖREBRO LÄN</t>
        </is>
      </c>
      <c r="E556" t="inlineStr">
        <is>
          <t>LAXÅ</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65094-2018</t>
        </is>
      </c>
      <c r="B557" s="1" t="n">
        <v>43432</v>
      </c>
      <c r="C557" s="1" t="n">
        <v>45360</v>
      </c>
      <c r="D557" t="inlineStr">
        <is>
          <t>ÖREBRO LÄN</t>
        </is>
      </c>
      <c r="E557" t="inlineStr">
        <is>
          <t>LAXÅ</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65119-2018</t>
        </is>
      </c>
      <c r="B558" s="1" t="n">
        <v>43432</v>
      </c>
      <c r="C558" s="1" t="n">
        <v>45360</v>
      </c>
      <c r="D558" t="inlineStr">
        <is>
          <t>ÖREBRO LÄN</t>
        </is>
      </c>
      <c r="E558" t="inlineStr">
        <is>
          <t>ASKERSUND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65192-2018</t>
        </is>
      </c>
      <c r="B559" s="1" t="n">
        <v>43432</v>
      </c>
      <c r="C559" s="1" t="n">
        <v>45360</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65288-2018</t>
        </is>
      </c>
      <c r="B560" s="1" t="n">
        <v>43432</v>
      </c>
      <c r="C560" s="1" t="n">
        <v>45360</v>
      </c>
      <c r="D560" t="inlineStr">
        <is>
          <t>ÖREBRO LÄN</t>
        </is>
      </c>
      <c r="E560" t="inlineStr">
        <is>
          <t>LEKEBERG</t>
        </is>
      </c>
      <c r="G560" t="n">
        <v>1.8</v>
      </c>
      <c r="H560" t="n">
        <v>0</v>
      </c>
      <c r="I560" t="n">
        <v>0</v>
      </c>
      <c r="J560" t="n">
        <v>0</v>
      </c>
      <c r="K560" t="n">
        <v>0</v>
      </c>
      <c r="L560" t="n">
        <v>0</v>
      </c>
      <c r="M560" t="n">
        <v>0</v>
      </c>
      <c r="N560" t="n">
        <v>0</v>
      </c>
      <c r="O560" t="n">
        <v>0</v>
      </c>
      <c r="P560" t="n">
        <v>0</v>
      </c>
      <c r="Q560" t="n">
        <v>0</v>
      </c>
      <c r="R560" s="2" t="inlineStr"/>
    </row>
    <row r="561" ht="15" customHeight="1">
      <c r="A561" t="inlineStr">
        <is>
          <t>A 65226-2018</t>
        </is>
      </c>
      <c r="B561" s="1" t="n">
        <v>43432</v>
      </c>
      <c r="C561" s="1" t="n">
        <v>45360</v>
      </c>
      <c r="D561" t="inlineStr">
        <is>
          <t>ÖREBRO LÄN</t>
        </is>
      </c>
      <c r="E561" t="inlineStr">
        <is>
          <t>HALLSBERG</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68096-2018</t>
        </is>
      </c>
      <c r="B562" s="1" t="n">
        <v>43433</v>
      </c>
      <c r="C562" s="1" t="n">
        <v>45360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67432-2018</t>
        </is>
      </c>
      <c r="B563" s="1" t="n">
        <v>43433</v>
      </c>
      <c r="C563" s="1" t="n">
        <v>45360</v>
      </c>
      <c r="D563" t="inlineStr">
        <is>
          <t>ÖREBRO LÄN</t>
        </is>
      </c>
      <c r="E563" t="inlineStr">
        <is>
          <t>LAXÅ</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67448-2018</t>
        </is>
      </c>
      <c r="B564" s="1" t="n">
        <v>43433</v>
      </c>
      <c r="C564" s="1" t="n">
        <v>45360</v>
      </c>
      <c r="D564" t="inlineStr">
        <is>
          <t>ÖREBRO LÄN</t>
        </is>
      </c>
      <c r="E564" t="inlineStr">
        <is>
          <t>NORA</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65351-2018</t>
        </is>
      </c>
      <c r="B565" s="1" t="n">
        <v>43433</v>
      </c>
      <c r="C565" s="1" t="n">
        <v>45360</v>
      </c>
      <c r="D565" t="inlineStr">
        <is>
          <t>ÖREBRO LÄN</t>
        </is>
      </c>
      <c r="E565" t="inlineStr">
        <is>
          <t>HALLSBERG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67748-2018</t>
        </is>
      </c>
      <c r="B566" s="1" t="n">
        <v>43433</v>
      </c>
      <c r="C566" s="1" t="n">
        <v>45360</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67638-2018</t>
        </is>
      </c>
      <c r="B567" s="1" t="n">
        <v>43433</v>
      </c>
      <c r="C567" s="1" t="n">
        <v>45360</v>
      </c>
      <c r="D567" t="inlineStr">
        <is>
          <t>ÖREBRO LÄN</t>
        </is>
      </c>
      <c r="E567" t="inlineStr">
        <is>
          <t>LINDESBERG</t>
        </is>
      </c>
      <c r="G567" t="n">
        <v>5.1</v>
      </c>
      <c r="H567" t="n">
        <v>0</v>
      </c>
      <c r="I567" t="n">
        <v>0</v>
      </c>
      <c r="J567" t="n">
        <v>0</v>
      </c>
      <c r="K567" t="n">
        <v>0</v>
      </c>
      <c r="L567" t="n">
        <v>0</v>
      </c>
      <c r="M567" t="n">
        <v>0</v>
      </c>
      <c r="N567" t="n">
        <v>0</v>
      </c>
      <c r="O567" t="n">
        <v>0</v>
      </c>
      <c r="P567" t="n">
        <v>0</v>
      </c>
      <c r="Q567" t="n">
        <v>0</v>
      </c>
      <c r="R567" s="2" t="inlineStr"/>
    </row>
    <row r="568" ht="15" customHeight="1">
      <c r="A568" t="inlineStr">
        <is>
          <t>A 65853-2018</t>
        </is>
      </c>
      <c r="B568" s="1" t="n">
        <v>43434</v>
      </c>
      <c r="C568" s="1" t="n">
        <v>45360</v>
      </c>
      <c r="D568" t="inlineStr">
        <is>
          <t>ÖREBRO LÄN</t>
        </is>
      </c>
      <c r="E568" t="inlineStr">
        <is>
          <t>ASKERSUND</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65953-2018</t>
        </is>
      </c>
      <c r="B569" s="1" t="n">
        <v>43434</v>
      </c>
      <c r="C569" s="1" t="n">
        <v>45360</v>
      </c>
      <c r="D569" t="inlineStr">
        <is>
          <t>ÖREBRO LÄN</t>
        </is>
      </c>
      <c r="E569" t="inlineStr">
        <is>
          <t>KARLSKOGA</t>
        </is>
      </c>
      <c r="G569" t="n">
        <v>6.1</v>
      </c>
      <c r="H569" t="n">
        <v>0</v>
      </c>
      <c r="I569" t="n">
        <v>0</v>
      </c>
      <c r="J569" t="n">
        <v>0</v>
      </c>
      <c r="K569" t="n">
        <v>0</v>
      </c>
      <c r="L569" t="n">
        <v>0</v>
      </c>
      <c r="M569" t="n">
        <v>0</v>
      </c>
      <c r="N569" t="n">
        <v>0</v>
      </c>
      <c r="O569" t="n">
        <v>0</v>
      </c>
      <c r="P569" t="n">
        <v>0</v>
      </c>
      <c r="Q569" t="n">
        <v>0</v>
      </c>
      <c r="R569" s="2" t="inlineStr"/>
    </row>
    <row r="570" ht="15" customHeight="1">
      <c r="A570" t="inlineStr">
        <is>
          <t>A 66010-2018</t>
        </is>
      </c>
      <c r="B570" s="1" t="n">
        <v>43434</v>
      </c>
      <c r="C570" s="1" t="n">
        <v>45360</v>
      </c>
      <c r="D570" t="inlineStr">
        <is>
          <t>ÖREBRO LÄN</t>
        </is>
      </c>
      <c r="E570" t="inlineStr">
        <is>
          <t>DEGERFORS</t>
        </is>
      </c>
      <c r="F570" t="inlineStr">
        <is>
          <t>Sveaskog</t>
        </is>
      </c>
      <c r="G570" t="n">
        <v>6.3</v>
      </c>
      <c r="H570" t="n">
        <v>0</v>
      </c>
      <c r="I570" t="n">
        <v>0</v>
      </c>
      <c r="J570" t="n">
        <v>0</v>
      </c>
      <c r="K570" t="n">
        <v>0</v>
      </c>
      <c r="L570" t="n">
        <v>0</v>
      </c>
      <c r="M570" t="n">
        <v>0</v>
      </c>
      <c r="N570" t="n">
        <v>0</v>
      </c>
      <c r="O570" t="n">
        <v>0</v>
      </c>
      <c r="P570" t="n">
        <v>0</v>
      </c>
      <c r="Q570" t="n">
        <v>0</v>
      </c>
      <c r="R570" s="2" t="inlineStr"/>
    </row>
    <row r="571" ht="15" customHeight="1">
      <c r="A571" t="inlineStr">
        <is>
          <t>A 66016-2018</t>
        </is>
      </c>
      <c r="B571" s="1" t="n">
        <v>43434</v>
      </c>
      <c r="C571" s="1" t="n">
        <v>45360</v>
      </c>
      <c r="D571" t="inlineStr">
        <is>
          <t>ÖREBRO LÄN</t>
        </is>
      </c>
      <c r="E571" t="inlineStr">
        <is>
          <t>DEGERFORS</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65998-2018</t>
        </is>
      </c>
      <c r="B572" s="1" t="n">
        <v>43434</v>
      </c>
      <c r="C572" s="1" t="n">
        <v>45360</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65999-2018</t>
        </is>
      </c>
      <c r="B573" s="1" t="n">
        <v>43434</v>
      </c>
      <c r="C573" s="1" t="n">
        <v>45360</v>
      </c>
      <c r="D573" t="inlineStr">
        <is>
          <t>ÖREBRO LÄN</t>
        </is>
      </c>
      <c r="E573" t="inlineStr">
        <is>
          <t>DEGERFORS</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65855-2018</t>
        </is>
      </c>
      <c r="B574" s="1" t="n">
        <v>43434</v>
      </c>
      <c r="C574" s="1" t="n">
        <v>45360</v>
      </c>
      <c r="D574" t="inlineStr">
        <is>
          <t>ÖREBRO LÄN</t>
        </is>
      </c>
      <c r="E574" t="inlineStr">
        <is>
          <t>ASKERSUND</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66348-2018</t>
        </is>
      </c>
      <c r="B575" s="1" t="n">
        <v>43436</v>
      </c>
      <c r="C575" s="1" t="n">
        <v>45360</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66677-2018</t>
        </is>
      </c>
      <c r="B576" s="1" t="n">
        <v>43437</v>
      </c>
      <c r="C576" s="1" t="n">
        <v>45360</v>
      </c>
      <c r="D576" t="inlineStr">
        <is>
          <t>ÖREBRO LÄN</t>
        </is>
      </c>
      <c r="E576" t="inlineStr">
        <is>
          <t>LJUSNARSBERG</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66557-2018</t>
        </is>
      </c>
      <c r="B577" s="1" t="n">
        <v>43437</v>
      </c>
      <c r="C577" s="1" t="n">
        <v>45360</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66482-2018</t>
        </is>
      </c>
      <c r="B578" s="1" t="n">
        <v>43437</v>
      </c>
      <c r="C578" s="1" t="n">
        <v>45360</v>
      </c>
      <c r="D578" t="inlineStr">
        <is>
          <t>ÖREBRO LÄN</t>
        </is>
      </c>
      <c r="E578" t="inlineStr">
        <is>
          <t>LEKEBERG</t>
        </is>
      </c>
      <c r="G578" t="n">
        <v>2.4</v>
      </c>
      <c r="H578" t="n">
        <v>0</v>
      </c>
      <c r="I578" t="n">
        <v>0</v>
      </c>
      <c r="J578" t="n">
        <v>0</v>
      </c>
      <c r="K578" t="n">
        <v>0</v>
      </c>
      <c r="L578" t="n">
        <v>0</v>
      </c>
      <c r="M578" t="n">
        <v>0</v>
      </c>
      <c r="N578" t="n">
        <v>0</v>
      </c>
      <c r="O578" t="n">
        <v>0</v>
      </c>
      <c r="P578" t="n">
        <v>0</v>
      </c>
      <c r="Q578" t="n">
        <v>0</v>
      </c>
      <c r="R578" s="2" t="inlineStr"/>
    </row>
    <row r="579" ht="15" customHeight="1">
      <c r="A579" t="inlineStr">
        <is>
          <t>A 66755-2018</t>
        </is>
      </c>
      <c r="B579" s="1" t="n">
        <v>43438</v>
      </c>
      <c r="C579" s="1" t="n">
        <v>45360</v>
      </c>
      <c r="D579" t="inlineStr">
        <is>
          <t>ÖREBRO LÄN</t>
        </is>
      </c>
      <c r="E579" t="inlineStr">
        <is>
          <t>DEGERFORS</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68424-2018</t>
        </is>
      </c>
      <c r="B580" s="1" t="n">
        <v>43438</v>
      </c>
      <c r="C580" s="1" t="n">
        <v>45360</v>
      </c>
      <c r="D580" t="inlineStr">
        <is>
          <t>ÖREBRO LÄN</t>
        </is>
      </c>
      <c r="E580" t="inlineStr">
        <is>
          <t>KUMLA</t>
        </is>
      </c>
      <c r="G580" t="n">
        <v>5</v>
      </c>
      <c r="H580" t="n">
        <v>0</v>
      </c>
      <c r="I580" t="n">
        <v>0</v>
      </c>
      <c r="J580" t="n">
        <v>0</v>
      </c>
      <c r="K580" t="n">
        <v>0</v>
      </c>
      <c r="L580" t="n">
        <v>0</v>
      </c>
      <c r="M580" t="n">
        <v>0</v>
      </c>
      <c r="N580" t="n">
        <v>0</v>
      </c>
      <c r="O580" t="n">
        <v>0</v>
      </c>
      <c r="P580" t="n">
        <v>0</v>
      </c>
      <c r="Q580" t="n">
        <v>0</v>
      </c>
      <c r="R580" s="2" t="inlineStr"/>
    </row>
    <row r="581" ht="15" customHeight="1">
      <c r="A581" t="inlineStr">
        <is>
          <t>A 68392-2018</t>
        </is>
      </c>
      <c r="B581" s="1" t="n">
        <v>43438</v>
      </c>
      <c r="C581" s="1" t="n">
        <v>45360</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68310-2018</t>
        </is>
      </c>
      <c r="B582" s="1" t="n">
        <v>43438</v>
      </c>
      <c r="C582" s="1" t="n">
        <v>45360</v>
      </c>
      <c r="D582" t="inlineStr">
        <is>
          <t>ÖREBRO LÄN</t>
        </is>
      </c>
      <c r="E582" t="inlineStr">
        <is>
          <t>LJUSNARSBERG</t>
        </is>
      </c>
      <c r="G582" t="n">
        <v>2.7</v>
      </c>
      <c r="H582" t="n">
        <v>0</v>
      </c>
      <c r="I582" t="n">
        <v>0</v>
      </c>
      <c r="J582" t="n">
        <v>0</v>
      </c>
      <c r="K582" t="n">
        <v>0</v>
      </c>
      <c r="L582" t="n">
        <v>0</v>
      </c>
      <c r="M582" t="n">
        <v>0</v>
      </c>
      <c r="N582" t="n">
        <v>0</v>
      </c>
      <c r="O582" t="n">
        <v>0</v>
      </c>
      <c r="P582" t="n">
        <v>0</v>
      </c>
      <c r="Q582" t="n">
        <v>0</v>
      </c>
      <c r="R582" s="2" t="inlineStr"/>
    </row>
    <row r="583" ht="15" customHeight="1">
      <c r="A583" t="inlineStr">
        <is>
          <t>A 68387-2018</t>
        </is>
      </c>
      <c r="B583" s="1" t="n">
        <v>43438</v>
      </c>
      <c r="C583" s="1" t="n">
        <v>45360</v>
      </c>
      <c r="D583" t="inlineStr">
        <is>
          <t>ÖREBRO LÄN</t>
        </is>
      </c>
      <c r="E583" t="inlineStr">
        <is>
          <t>ÖREBRO</t>
        </is>
      </c>
      <c r="G583" t="n">
        <v>3.2</v>
      </c>
      <c r="H583" t="n">
        <v>0</v>
      </c>
      <c r="I583" t="n">
        <v>0</v>
      </c>
      <c r="J583" t="n">
        <v>0</v>
      </c>
      <c r="K583" t="n">
        <v>0</v>
      </c>
      <c r="L583" t="n">
        <v>0</v>
      </c>
      <c r="M583" t="n">
        <v>0</v>
      </c>
      <c r="N583" t="n">
        <v>0</v>
      </c>
      <c r="O583" t="n">
        <v>0</v>
      </c>
      <c r="P583" t="n">
        <v>0</v>
      </c>
      <c r="Q583" t="n">
        <v>0</v>
      </c>
      <c r="R583" s="2" t="inlineStr"/>
    </row>
    <row r="584" ht="15" customHeight="1">
      <c r="A584" t="inlineStr">
        <is>
          <t>A 68403-2018</t>
        </is>
      </c>
      <c r="B584" s="1" t="n">
        <v>43438</v>
      </c>
      <c r="C584" s="1" t="n">
        <v>45360</v>
      </c>
      <c r="D584" t="inlineStr">
        <is>
          <t>ÖREBRO LÄN</t>
        </is>
      </c>
      <c r="E584" t="inlineStr">
        <is>
          <t>HALLSBERG</t>
        </is>
      </c>
      <c r="G584" t="n">
        <v>3.1</v>
      </c>
      <c r="H584" t="n">
        <v>0</v>
      </c>
      <c r="I584" t="n">
        <v>0</v>
      </c>
      <c r="J584" t="n">
        <v>0</v>
      </c>
      <c r="K584" t="n">
        <v>0</v>
      </c>
      <c r="L584" t="n">
        <v>0</v>
      </c>
      <c r="M584" t="n">
        <v>0</v>
      </c>
      <c r="N584" t="n">
        <v>0</v>
      </c>
      <c r="O584" t="n">
        <v>0</v>
      </c>
      <c r="P584" t="n">
        <v>0</v>
      </c>
      <c r="Q584" t="n">
        <v>0</v>
      </c>
      <c r="R584" s="2" t="inlineStr"/>
    </row>
    <row r="585" ht="15" customHeight="1">
      <c r="A585" t="inlineStr">
        <is>
          <t>A 67530-2018</t>
        </is>
      </c>
      <c r="B585" s="1" t="n">
        <v>43439</v>
      </c>
      <c r="C585" s="1" t="n">
        <v>45360</v>
      </c>
      <c r="D585" t="inlineStr">
        <is>
          <t>ÖREBRO LÄN</t>
        </is>
      </c>
      <c r="E585" t="inlineStr">
        <is>
          <t>KARLSKOGA</t>
        </is>
      </c>
      <c r="G585" t="n">
        <v>1.6</v>
      </c>
      <c r="H585" t="n">
        <v>0</v>
      </c>
      <c r="I585" t="n">
        <v>0</v>
      </c>
      <c r="J585" t="n">
        <v>0</v>
      </c>
      <c r="K585" t="n">
        <v>0</v>
      </c>
      <c r="L585" t="n">
        <v>0</v>
      </c>
      <c r="M585" t="n">
        <v>0</v>
      </c>
      <c r="N585" t="n">
        <v>0</v>
      </c>
      <c r="O585" t="n">
        <v>0</v>
      </c>
      <c r="P585" t="n">
        <v>0</v>
      </c>
      <c r="Q585" t="n">
        <v>0</v>
      </c>
      <c r="R585" s="2" t="inlineStr"/>
    </row>
    <row r="586" ht="15" customHeight="1">
      <c r="A586" t="inlineStr">
        <is>
          <t>A 68565-2018</t>
        </is>
      </c>
      <c r="B586" s="1" t="n">
        <v>43439</v>
      </c>
      <c r="C586" s="1" t="n">
        <v>45360</v>
      </c>
      <c r="D586" t="inlineStr">
        <is>
          <t>ÖREBRO LÄN</t>
        </is>
      </c>
      <c r="E586" t="inlineStr">
        <is>
          <t>HÄLLEFORS</t>
        </is>
      </c>
      <c r="G586" t="n">
        <v>3</v>
      </c>
      <c r="H586" t="n">
        <v>0</v>
      </c>
      <c r="I586" t="n">
        <v>0</v>
      </c>
      <c r="J586" t="n">
        <v>0</v>
      </c>
      <c r="K586" t="n">
        <v>0</v>
      </c>
      <c r="L586" t="n">
        <v>0</v>
      </c>
      <c r="M586" t="n">
        <v>0</v>
      </c>
      <c r="N586" t="n">
        <v>0</v>
      </c>
      <c r="O586" t="n">
        <v>0</v>
      </c>
      <c r="P586" t="n">
        <v>0</v>
      </c>
      <c r="Q586" t="n">
        <v>0</v>
      </c>
      <c r="R586" s="2" t="inlineStr"/>
    </row>
    <row r="587" ht="15" customHeight="1">
      <c r="A587" t="inlineStr">
        <is>
          <t>A 69006-2018</t>
        </is>
      </c>
      <c r="B587" s="1" t="n">
        <v>43440</v>
      </c>
      <c r="C587" s="1" t="n">
        <v>45360</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68111-2018</t>
        </is>
      </c>
      <c r="B588" s="1" t="n">
        <v>43441</v>
      </c>
      <c r="C588" s="1" t="n">
        <v>45360</v>
      </c>
      <c r="D588" t="inlineStr">
        <is>
          <t>ÖREBRO LÄN</t>
        </is>
      </c>
      <c r="E588" t="inlineStr">
        <is>
          <t>LJUSNARSBERG</t>
        </is>
      </c>
      <c r="G588" t="n">
        <v>1.8</v>
      </c>
      <c r="H588" t="n">
        <v>0</v>
      </c>
      <c r="I588" t="n">
        <v>0</v>
      </c>
      <c r="J588" t="n">
        <v>0</v>
      </c>
      <c r="K588" t="n">
        <v>0</v>
      </c>
      <c r="L588" t="n">
        <v>0</v>
      </c>
      <c r="M588" t="n">
        <v>0</v>
      </c>
      <c r="N588" t="n">
        <v>0</v>
      </c>
      <c r="O588" t="n">
        <v>0</v>
      </c>
      <c r="P588" t="n">
        <v>0</v>
      </c>
      <c r="Q588" t="n">
        <v>0</v>
      </c>
      <c r="R588" s="2" t="inlineStr"/>
    </row>
    <row r="589" ht="15" customHeight="1">
      <c r="A589" t="inlineStr">
        <is>
          <t>A 68101-2018</t>
        </is>
      </c>
      <c r="B589" s="1" t="n">
        <v>43441</v>
      </c>
      <c r="C589" s="1" t="n">
        <v>45360</v>
      </c>
      <c r="D589" t="inlineStr">
        <is>
          <t>ÖREBRO LÄN</t>
        </is>
      </c>
      <c r="E589" t="inlineStr">
        <is>
          <t>KUMLA</t>
        </is>
      </c>
      <c r="F589" t="inlineStr">
        <is>
          <t>Kyrkan</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68050-2018</t>
        </is>
      </c>
      <c r="B590" s="1" t="n">
        <v>43441</v>
      </c>
      <c r="C590" s="1" t="n">
        <v>45360</v>
      </c>
      <c r="D590" t="inlineStr">
        <is>
          <t>ÖREBRO LÄN</t>
        </is>
      </c>
      <c r="E590" t="inlineStr">
        <is>
          <t>ASKERSUND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68311-2018</t>
        </is>
      </c>
      <c r="B591" s="1" t="n">
        <v>43441</v>
      </c>
      <c r="C591" s="1" t="n">
        <v>45360</v>
      </c>
      <c r="D591" t="inlineStr">
        <is>
          <t>ÖREBRO LÄN</t>
        </is>
      </c>
      <c r="E591" t="inlineStr">
        <is>
          <t>LJUSNARSBERG</t>
        </is>
      </c>
      <c r="G591" t="n">
        <v>0.6</v>
      </c>
      <c r="H591" t="n">
        <v>0</v>
      </c>
      <c r="I591" t="n">
        <v>0</v>
      </c>
      <c r="J591" t="n">
        <v>0</v>
      </c>
      <c r="K591" t="n">
        <v>0</v>
      </c>
      <c r="L591" t="n">
        <v>0</v>
      </c>
      <c r="M591" t="n">
        <v>0</v>
      </c>
      <c r="N591" t="n">
        <v>0</v>
      </c>
      <c r="O591" t="n">
        <v>0</v>
      </c>
      <c r="P591" t="n">
        <v>0</v>
      </c>
      <c r="Q591" t="n">
        <v>0</v>
      </c>
      <c r="R591" s="2" t="inlineStr"/>
    </row>
    <row r="592" ht="15" customHeight="1">
      <c r="A592" t="inlineStr">
        <is>
          <t>A 68323-2018</t>
        </is>
      </c>
      <c r="B592" s="1" t="n">
        <v>43441</v>
      </c>
      <c r="C592" s="1" t="n">
        <v>45360</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68277-2018</t>
        </is>
      </c>
      <c r="B593" s="1" t="n">
        <v>43441</v>
      </c>
      <c r="C593" s="1" t="n">
        <v>45360</v>
      </c>
      <c r="D593" t="inlineStr">
        <is>
          <t>ÖREBRO LÄN</t>
        </is>
      </c>
      <c r="E593" t="inlineStr">
        <is>
          <t>LINDESBERG</t>
        </is>
      </c>
      <c r="G593" t="n">
        <v>13.4</v>
      </c>
      <c r="H593" t="n">
        <v>0</v>
      </c>
      <c r="I593" t="n">
        <v>0</v>
      </c>
      <c r="J593" t="n">
        <v>0</v>
      </c>
      <c r="K593" t="n">
        <v>0</v>
      </c>
      <c r="L593" t="n">
        <v>0</v>
      </c>
      <c r="M593" t="n">
        <v>0</v>
      </c>
      <c r="N593" t="n">
        <v>0</v>
      </c>
      <c r="O593" t="n">
        <v>0</v>
      </c>
      <c r="P593" t="n">
        <v>0</v>
      </c>
      <c r="Q593" t="n">
        <v>0</v>
      </c>
      <c r="R593" s="2" t="inlineStr"/>
    </row>
    <row r="594" ht="15" customHeight="1">
      <c r="A594" t="inlineStr">
        <is>
          <t>A 68143-2018</t>
        </is>
      </c>
      <c r="B594" s="1" t="n">
        <v>43441</v>
      </c>
      <c r="C594" s="1" t="n">
        <v>45360</v>
      </c>
      <c r="D594" t="inlineStr">
        <is>
          <t>ÖREBRO LÄN</t>
        </is>
      </c>
      <c r="E594" t="inlineStr">
        <is>
          <t>ASKERSUND</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68151-2018</t>
        </is>
      </c>
      <c r="B595" s="1" t="n">
        <v>43441</v>
      </c>
      <c r="C595" s="1" t="n">
        <v>45360</v>
      </c>
      <c r="D595" t="inlineStr">
        <is>
          <t>ÖREBRO LÄN</t>
        </is>
      </c>
      <c r="E595" t="inlineStr">
        <is>
          <t>ASKERSUND</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68138-2018</t>
        </is>
      </c>
      <c r="B596" s="1" t="n">
        <v>43441</v>
      </c>
      <c r="C596" s="1" t="n">
        <v>45360</v>
      </c>
      <c r="D596" t="inlineStr">
        <is>
          <t>ÖREBRO LÄN</t>
        </is>
      </c>
      <c r="E596" t="inlineStr">
        <is>
          <t>KUMLA</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68547-2018</t>
        </is>
      </c>
      <c r="B597" s="1" t="n">
        <v>43444</v>
      </c>
      <c r="C597" s="1" t="n">
        <v>45360</v>
      </c>
      <c r="D597" t="inlineStr">
        <is>
          <t>ÖREBRO LÄN</t>
        </is>
      </c>
      <c r="E597" t="inlineStr">
        <is>
          <t>LINDESBERG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68852-2018</t>
        </is>
      </c>
      <c r="B598" s="1" t="n">
        <v>43444</v>
      </c>
      <c r="C598" s="1" t="n">
        <v>45360</v>
      </c>
      <c r="D598" t="inlineStr">
        <is>
          <t>ÖREBRO LÄN</t>
        </is>
      </c>
      <c r="E598" t="inlineStr">
        <is>
          <t>LEKEBERG</t>
        </is>
      </c>
      <c r="G598" t="n">
        <v>2.1</v>
      </c>
      <c r="H598" t="n">
        <v>0</v>
      </c>
      <c r="I598" t="n">
        <v>0</v>
      </c>
      <c r="J598" t="n">
        <v>0</v>
      </c>
      <c r="K598" t="n">
        <v>0</v>
      </c>
      <c r="L598" t="n">
        <v>0</v>
      </c>
      <c r="M598" t="n">
        <v>0</v>
      </c>
      <c r="N598" t="n">
        <v>0</v>
      </c>
      <c r="O598" t="n">
        <v>0</v>
      </c>
      <c r="P598" t="n">
        <v>0</v>
      </c>
      <c r="Q598" t="n">
        <v>0</v>
      </c>
      <c r="R598" s="2" t="inlineStr"/>
    </row>
    <row r="599" ht="15" customHeight="1">
      <c r="A599" t="inlineStr">
        <is>
          <t>A 68545-2018</t>
        </is>
      </c>
      <c r="B599" s="1" t="n">
        <v>43444</v>
      </c>
      <c r="C599" s="1" t="n">
        <v>45360</v>
      </c>
      <c r="D599" t="inlineStr">
        <is>
          <t>ÖREBRO LÄN</t>
        </is>
      </c>
      <c r="E599" t="inlineStr">
        <is>
          <t>LINDESBERG</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68722-2018</t>
        </is>
      </c>
      <c r="B600" s="1" t="n">
        <v>43444</v>
      </c>
      <c r="C600" s="1" t="n">
        <v>45360</v>
      </c>
      <c r="D600" t="inlineStr">
        <is>
          <t>ÖREBRO LÄN</t>
        </is>
      </c>
      <c r="E600" t="inlineStr">
        <is>
          <t>DEGERFORS</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68710-2018</t>
        </is>
      </c>
      <c r="B601" s="1" t="n">
        <v>43444</v>
      </c>
      <c r="C601" s="1" t="n">
        <v>45360</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68715-2018</t>
        </is>
      </c>
      <c r="B602" s="1" t="n">
        <v>43444</v>
      </c>
      <c r="C602" s="1" t="n">
        <v>45360</v>
      </c>
      <c r="D602" t="inlineStr">
        <is>
          <t>ÖREBRO LÄN</t>
        </is>
      </c>
      <c r="E602" t="inlineStr">
        <is>
          <t>DEGERFORS</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68681-2018</t>
        </is>
      </c>
      <c r="B603" s="1" t="n">
        <v>43444</v>
      </c>
      <c r="C603" s="1" t="n">
        <v>45360</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68714-2018</t>
        </is>
      </c>
      <c r="B604" s="1" t="n">
        <v>43444</v>
      </c>
      <c r="C604" s="1" t="n">
        <v>45360</v>
      </c>
      <c r="D604" t="inlineStr">
        <is>
          <t>ÖREBRO LÄN</t>
        </is>
      </c>
      <c r="E604" t="inlineStr">
        <is>
          <t>DEGERFORS</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68781-2018</t>
        </is>
      </c>
      <c r="B605" s="1" t="n">
        <v>43444</v>
      </c>
      <c r="C605" s="1" t="n">
        <v>45360</v>
      </c>
      <c r="D605" t="inlineStr">
        <is>
          <t>ÖREBRO LÄN</t>
        </is>
      </c>
      <c r="E605" t="inlineStr">
        <is>
          <t>LINDESBERG</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70066-2018</t>
        </is>
      </c>
      <c r="B606" s="1" t="n">
        <v>43445</v>
      </c>
      <c r="C606" s="1" t="n">
        <v>45360</v>
      </c>
      <c r="D606" t="inlineStr">
        <is>
          <t>ÖREBRO LÄN</t>
        </is>
      </c>
      <c r="E606" t="inlineStr">
        <is>
          <t>HÄLLEFORS</t>
        </is>
      </c>
      <c r="G606" t="n">
        <v>1.1</v>
      </c>
      <c r="H606" t="n">
        <v>0</v>
      </c>
      <c r="I606" t="n">
        <v>0</v>
      </c>
      <c r="J606" t="n">
        <v>0</v>
      </c>
      <c r="K606" t="n">
        <v>0</v>
      </c>
      <c r="L606" t="n">
        <v>0</v>
      </c>
      <c r="M606" t="n">
        <v>0</v>
      </c>
      <c r="N606" t="n">
        <v>0</v>
      </c>
      <c r="O606" t="n">
        <v>0</v>
      </c>
      <c r="P606" t="n">
        <v>0</v>
      </c>
      <c r="Q606" t="n">
        <v>0</v>
      </c>
      <c r="R606" s="2" t="inlineStr"/>
    </row>
    <row r="607" ht="15" customHeight="1">
      <c r="A607" t="inlineStr">
        <is>
          <t>A 70024-2018</t>
        </is>
      </c>
      <c r="B607" s="1" t="n">
        <v>43445</v>
      </c>
      <c r="C607" s="1" t="n">
        <v>45360</v>
      </c>
      <c r="D607" t="inlineStr">
        <is>
          <t>ÖREBRO LÄN</t>
        </is>
      </c>
      <c r="E607" t="inlineStr">
        <is>
          <t>HÄLLEFORS</t>
        </is>
      </c>
      <c r="G607" t="n">
        <v>0.6</v>
      </c>
      <c r="H607" t="n">
        <v>0</v>
      </c>
      <c r="I607" t="n">
        <v>0</v>
      </c>
      <c r="J607" t="n">
        <v>0</v>
      </c>
      <c r="K607" t="n">
        <v>0</v>
      </c>
      <c r="L607" t="n">
        <v>0</v>
      </c>
      <c r="M607" t="n">
        <v>0</v>
      </c>
      <c r="N607" t="n">
        <v>0</v>
      </c>
      <c r="O607" t="n">
        <v>0</v>
      </c>
      <c r="P607" t="n">
        <v>0</v>
      </c>
      <c r="Q607" t="n">
        <v>0</v>
      </c>
      <c r="R607" s="2" t="inlineStr"/>
    </row>
    <row r="608" ht="15" customHeight="1">
      <c r="A608" t="inlineStr">
        <is>
          <t>A 69163-2018</t>
        </is>
      </c>
      <c r="B608" s="1" t="n">
        <v>43445</v>
      </c>
      <c r="C608" s="1" t="n">
        <v>45360</v>
      </c>
      <c r="D608" t="inlineStr">
        <is>
          <t>ÖREBRO LÄN</t>
        </is>
      </c>
      <c r="E608" t="inlineStr">
        <is>
          <t>LINDESBERG</t>
        </is>
      </c>
      <c r="G608" t="n">
        <v>1</v>
      </c>
      <c r="H608" t="n">
        <v>0</v>
      </c>
      <c r="I608" t="n">
        <v>0</v>
      </c>
      <c r="J608" t="n">
        <v>0</v>
      </c>
      <c r="K608" t="n">
        <v>0</v>
      </c>
      <c r="L608" t="n">
        <v>0</v>
      </c>
      <c r="M608" t="n">
        <v>0</v>
      </c>
      <c r="N608" t="n">
        <v>0</v>
      </c>
      <c r="O608" t="n">
        <v>0</v>
      </c>
      <c r="P608" t="n">
        <v>0</v>
      </c>
      <c r="Q608" t="n">
        <v>0</v>
      </c>
      <c r="R608" s="2" t="inlineStr"/>
    </row>
    <row r="609" ht="15" customHeight="1">
      <c r="A609" t="inlineStr">
        <is>
          <t>A 70057-2018</t>
        </is>
      </c>
      <c r="B609" s="1" t="n">
        <v>43445</v>
      </c>
      <c r="C609" s="1" t="n">
        <v>45360</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69411-2018</t>
        </is>
      </c>
      <c r="B610" s="1" t="n">
        <v>43446</v>
      </c>
      <c r="C610" s="1" t="n">
        <v>45360</v>
      </c>
      <c r="D610" t="inlineStr">
        <is>
          <t>ÖREBRO LÄN</t>
        </is>
      </c>
      <c r="E610" t="inlineStr">
        <is>
          <t>ÖREBRO</t>
        </is>
      </c>
      <c r="G610" t="n">
        <v>11.4</v>
      </c>
      <c r="H610" t="n">
        <v>0</v>
      </c>
      <c r="I610" t="n">
        <v>0</v>
      </c>
      <c r="J610" t="n">
        <v>0</v>
      </c>
      <c r="K610" t="n">
        <v>0</v>
      </c>
      <c r="L610" t="n">
        <v>0</v>
      </c>
      <c r="M610" t="n">
        <v>0</v>
      </c>
      <c r="N610" t="n">
        <v>0</v>
      </c>
      <c r="O610" t="n">
        <v>0</v>
      </c>
      <c r="P610" t="n">
        <v>0</v>
      </c>
      <c r="Q610" t="n">
        <v>0</v>
      </c>
      <c r="R610" s="2" t="inlineStr"/>
    </row>
    <row r="611" ht="15" customHeight="1">
      <c r="A611" t="inlineStr">
        <is>
          <t>A 69585-2018</t>
        </is>
      </c>
      <c r="B611" s="1" t="n">
        <v>43446</v>
      </c>
      <c r="C611" s="1" t="n">
        <v>45360</v>
      </c>
      <c r="D611" t="inlineStr">
        <is>
          <t>ÖREBRO LÄN</t>
        </is>
      </c>
      <c r="E611" t="inlineStr">
        <is>
          <t>NORA</t>
        </is>
      </c>
      <c r="G611" t="n">
        <v>0.8</v>
      </c>
      <c r="H611" t="n">
        <v>0</v>
      </c>
      <c r="I611" t="n">
        <v>0</v>
      </c>
      <c r="J611" t="n">
        <v>0</v>
      </c>
      <c r="K611" t="n">
        <v>0</v>
      </c>
      <c r="L611" t="n">
        <v>0</v>
      </c>
      <c r="M611" t="n">
        <v>0</v>
      </c>
      <c r="N611" t="n">
        <v>0</v>
      </c>
      <c r="O611" t="n">
        <v>0</v>
      </c>
      <c r="P611" t="n">
        <v>0</v>
      </c>
      <c r="Q611" t="n">
        <v>0</v>
      </c>
      <c r="R611" s="2" t="inlineStr"/>
    </row>
    <row r="612" ht="15" customHeight="1">
      <c r="A612" t="inlineStr">
        <is>
          <t>A 69263-2018</t>
        </is>
      </c>
      <c r="B612" s="1" t="n">
        <v>43446</v>
      </c>
      <c r="C612" s="1" t="n">
        <v>45360</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70397-2018</t>
        </is>
      </c>
      <c r="B613" s="1" t="n">
        <v>43446</v>
      </c>
      <c r="C613" s="1" t="n">
        <v>45360</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69272-2018</t>
        </is>
      </c>
      <c r="B614" s="1" t="n">
        <v>43446</v>
      </c>
      <c r="C614" s="1" t="n">
        <v>45360</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69661-2018</t>
        </is>
      </c>
      <c r="B615" s="1" t="n">
        <v>43447</v>
      </c>
      <c r="C615" s="1" t="n">
        <v>45360</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69641-2018</t>
        </is>
      </c>
      <c r="B616" s="1" t="n">
        <v>43447</v>
      </c>
      <c r="C616" s="1" t="n">
        <v>45360</v>
      </c>
      <c r="D616" t="inlineStr">
        <is>
          <t>ÖREBRO LÄN</t>
        </is>
      </c>
      <c r="E616" t="inlineStr">
        <is>
          <t>ÖREBRO</t>
        </is>
      </c>
      <c r="G616" t="n">
        <v>3</v>
      </c>
      <c r="H616" t="n">
        <v>0</v>
      </c>
      <c r="I616" t="n">
        <v>0</v>
      </c>
      <c r="J616" t="n">
        <v>0</v>
      </c>
      <c r="K616" t="n">
        <v>0</v>
      </c>
      <c r="L616" t="n">
        <v>0</v>
      </c>
      <c r="M616" t="n">
        <v>0</v>
      </c>
      <c r="N616" t="n">
        <v>0</v>
      </c>
      <c r="O616" t="n">
        <v>0</v>
      </c>
      <c r="P616" t="n">
        <v>0</v>
      </c>
      <c r="Q616" t="n">
        <v>0</v>
      </c>
      <c r="R616" s="2" t="inlineStr"/>
    </row>
    <row r="617" ht="15" customHeight="1">
      <c r="A617" t="inlineStr">
        <is>
          <t>A 69636-2018</t>
        </is>
      </c>
      <c r="B617" s="1" t="n">
        <v>43447</v>
      </c>
      <c r="C617" s="1" t="n">
        <v>45360</v>
      </c>
      <c r="D617" t="inlineStr">
        <is>
          <t>ÖREBRO LÄN</t>
        </is>
      </c>
      <c r="E617" t="inlineStr">
        <is>
          <t>ÖREBRO</t>
        </is>
      </c>
      <c r="G617" t="n">
        <v>9.5</v>
      </c>
      <c r="H617" t="n">
        <v>0</v>
      </c>
      <c r="I617" t="n">
        <v>0</v>
      </c>
      <c r="J617" t="n">
        <v>0</v>
      </c>
      <c r="K617" t="n">
        <v>0</v>
      </c>
      <c r="L617" t="n">
        <v>0</v>
      </c>
      <c r="M617" t="n">
        <v>0</v>
      </c>
      <c r="N617" t="n">
        <v>0</v>
      </c>
      <c r="O617" t="n">
        <v>0</v>
      </c>
      <c r="P617" t="n">
        <v>0</v>
      </c>
      <c r="Q617" t="n">
        <v>0</v>
      </c>
      <c r="R617" s="2" t="inlineStr"/>
    </row>
    <row r="618" ht="15" customHeight="1">
      <c r="A618" t="inlineStr">
        <is>
          <t>A 69621-2018</t>
        </is>
      </c>
      <c r="B618" s="1" t="n">
        <v>43447</v>
      </c>
      <c r="C618" s="1" t="n">
        <v>45360</v>
      </c>
      <c r="D618" t="inlineStr">
        <is>
          <t>ÖREBRO LÄN</t>
        </is>
      </c>
      <c r="E618" t="inlineStr">
        <is>
          <t>ÖREBRO</t>
        </is>
      </c>
      <c r="G618" t="n">
        <v>5.2</v>
      </c>
      <c r="H618" t="n">
        <v>0</v>
      </c>
      <c r="I618" t="n">
        <v>0</v>
      </c>
      <c r="J618" t="n">
        <v>0</v>
      </c>
      <c r="K618" t="n">
        <v>0</v>
      </c>
      <c r="L618" t="n">
        <v>0</v>
      </c>
      <c r="M618" t="n">
        <v>0</v>
      </c>
      <c r="N618" t="n">
        <v>0</v>
      </c>
      <c r="O618" t="n">
        <v>0</v>
      </c>
      <c r="P618" t="n">
        <v>0</v>
      </c>
      <c r="Q618" t="n">
        <v>0</v>
      </c>
      <c r="R618" s="2" t="inlineStr"/>
    </row>
    <row r="619" ht="15" customHeight="1">
      <c r="A619" t="inlineStr">
        <is>
          <t>A 69678-2018</t>
        </is>
      </c>
      <c r="B619" s="1" t="n">
        <v>43447</v>
      </c>
      <c r="C619" s="1" t="n">
        <v>45360</v>
      </c>
      <c r="D619" t="inlineStr">
        <is>
          <t>ÖREBRO LÄN</t>
        </is>
      </c>
      <c r="E619" t="inlineStr">
        <is>
          <t>LJUSNARSBERG</t>
        </is>
      </c>
      <c r="G619" t="n">
        <v>22.9</v>
      </c>
      <c r="H619" t="n">
        <v>0</v>
      </c>
      <c r="I619" t="n">
        <v>0</v>
      </c>
      <c r="J619" t="n">
        <v>0</v>
      </c>
      <c r="K619" t="n">
        <v>0</v>
      </c>
      <c r="L619" t="n">
        <v>0</v>
      </c>
      <c r="M619" t="n">
        <v>0</v>
      </c>
      <c r="N619" t="n">
        <v>0</v>
      </c>
      <c r="O619" t="n">
        <v>0</v>
      </c>
      <c r="P619" t="n">
        <v>0</v>
      </c>
      <c r="Q619" t="n">
        <v>0</v>
      </c>
      <c r="R619" s="2" t="inlineStr"/>
    </row>
    <row r="620" ht="15" customHeight="1">
      <c r="A620" t="inlineStr">
        <is>
          <t>A 70666-2018</t>
        </is>
      </c>
      <c r="B620" s="1" t="n">
        <v>43447</v>
      </c>
      <c r="C620" s="1" t="n">
        <v>45360</v>
      </c>
      <c r="D620" t="inlineStr">
        <is>
          <t>ÖREBRO LÄN</t>
        </is>
      </c>
      <c r="E620" t="inlineStr">
        <is>
          <t>ÖREBRO</t>
        </is>
      </c>
      <c r="F620" t="inlineStr">
        <is>
          <t>Kommuner</t>
        </is>
      </c>
      <c r="G620" t="n">
        <v>10</v>
      </c>
      <c r="H620" t="n">
        <v>0</v>
      </c>
      <c r="I620" t="n">
        <v>0</v>
      </c>
      <c r="J620" t="n">
        <v>0</v>
      </c>
      <c r="K620" t="n">
        <v>0</v>
      </c>
      <c r="L620" t="n">
        <v>0</v>
      </c>
      <c r="M620" t="n">
        <v>0</v>
      </c>
      <c r="N620" t="n">
        <v>0</v>
      </c>
      <c r="O620" t="n">
        <v>0</v>
      </c>
      <c r="P620" t="n">
        <v>0</v>
      </c>
      <c r="Q620" t="n">
        <v>0</v>
      </c>
      <c r="R620" s="2" t="inlineStr"/>
    </row>
    <row r="621" ht="15" customHeight="1">
      <c r="A621" t="inlineStr">
        <is>
          <t>A 69911-2018</t>
        </is>
      </c>
      <c r="B621" s="1" t="n">
        <v>43447</v>
      </c>
      <c r="C621" s="1" t="n">
        <v>45360</v>
      </c>
      <c r="D621" t="inlineStr">
        <is>
          <t>ÖREBRO LÄN</t>
        </is>
      </c>
      <c r="E621" t="inlineStr">
        <is>
          <t>ÖREBRO</t>
        </is>
      </c>
      <c r="F621" t="inlineStr">
        <is>
          <t>Övriga Aktiebolag</t>
        </is>
      </c>
      <c r="G621" t="n">
        <v>5.8</v>
      </c>
      <c r="H621" t="n">
        <v>0</v>
      </c>
      <c r="I621" t="n">
        <v>0</v>
      </c>
      <c r="J621" t="n">
        <v>0</v>
      </c>
      <c r="K621" t="n">
        <v>0</v>
      </c>
      <c r="L621" t="n">
        <v>0</v>
      </c>
      <c r="M621" t="n">
        <v>0</v>
      </c>
      <c r="N621" t="n">
        <v>0</v>
      </c>
      <c r="O621" t="n">
        <v>0</v>
      </c>
      <c r="P621" t="n">
        <v>0</v>
      </c>
      <c r="Q621" t="n">
        <v>0</v>
      </c>
      <c r="R621" s="2" t="inlineStr"/>
    </row>
    <row r="622" ht="15" customHeight="1">
      <c r="A622" t="inlineStr">
        <is>
          <t>A 70130-2018</t>
        </is>
      </c>
      <c r="B622" s="1" t="n">
        <v>43448</v>
      </c>
      <c r="C622" s="1" t="n">
        <v>45360</v>
      </c>
      <c r="D622" t="inlineStr">
        <is>
          <t>ÖREBRO LÄN</t>
        </is>
      </c>
      <c r="E622" t="inlineStr">
        <is>
          <t>LJUSNARSBERG</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70011-2018</t>
        </is>
      </c>
      <c r="B623" s="1" t="n">
        <v>43448</v>
      </c>
      <c r="C623" s="1" t="n">
        <v>45360</v>
      </c>
      <c r="D623" t="inlineStr">
        <is>
          <t>ÖREBRO LÄN</t>
        </is>
      </c>
      <c r="E623" t="inlineStr">
        <is>
          <t>DEGERFORS</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70223-2018</t>
        </is>
      </c>
      <c r="B624" s="1" t="n">
        <v>43448</v>
      </c>
      <c r="C624" s="1" t="n">
        <v>45360</v>
      </c>
      <c r="D624" t="inlineStr">
        <is>
          <t>ÖREBRO LÄN</t>
        </is>
      </c>
      <c r="E624" t="inlineStr">
        <is>
          <t>LAXÅ</t>
        </is>
      </c>
      <c r="G624" t="n">
        <v>1.8</v>
      </c>
      <c r="H624" t="n">
        <v>0</v>
      </c>
      <c r="I624" t="n">
        <v>0</v>
      </c>
      <c r="J624" t="n">
        <v>0</v>
      </c>
      <c r="K624" t="n">
        <v>0</v>
      </c>
      <c r="L624" t="n">
        <v>0</v>
      </c>
      <c r="M624" t="n">
        <v>0</v>
      </c>
      <c r="N624" t="n">
        <v>0</v>
      </c>
      <c r="O624" t="n">
        <v>0</v>
      </c>
      <c r="P624" t="n">
        <v>0</v>
      </c>
      <c r="Q624" t="n">
        <v>0</v>
      </c>
      <c r="R624" s="2" t="inlineStr"/>
    </row>
    <row r="625" ht="15" customHeight="1">
      <c r="A625" t="inlineStr">
        <is>
          <t>A 70205-2018</t>
        </is>
      </c>
      <c r="B625" s="1" t="n">
        <v>43448</v>
      </c>
      <c r="C625" s="1" t="n">
        <v>45360</v>
      </c>
      <c r="D625" t="inlineStr">
        <is>
          <t>ÖREBRO LÄN</t>
        </is>
      </c>
      <c r="E625" t="inlineStr">
        <is>
          <t>LEKEBERG</t>
        </is>
      </c>
      <c r="G625" t="n">
        <v>3.4</v>
      </c>
      <c r="H625" t="n">
        <v>0</v>
      </c>
      <c r="I625" t="n">
        <v>0</v>
      </c>
      <c r="J625" t="n">
        <v>0</v>
      </c>
      <c r="K625" t="n">
        <v>0</v>
      </c>
      <c r="L625" t="n">
        <v>0</v>
      </c>
      <c r="M625" t="n">
        <v>0</v>
      </c>
      <c r="N625" t="n">
        <v>0</v>
      </c>
      <c r="O625" t="n">
        <v>0</v>
      </c>
      <c r="P625" t="n">
        <v>0</v>
      </c>
      <c r="Q625" t="n">
        <v>0</v>
      </c>
      <c r="R625" s="2" t="inlineStr"/>
    </row>
    <row r="626" ht="15" customHeight="1">
      <c r="A626" t="inlineStr">
        <is>
          <t>A 70579-2018</t>
        </is>
      </c>
      <c r="B626" s="1" t="n">
        <v>43451</v>
      </c>
      <c r="C626" s="1" t="n">
        <v>45360</v>
      </c>
      <c r="D626" t="inlineStr">
        <is>
          <t>ÖREBRO LÄN</t>
        </is>
      </c>
      <c r="E626" t="inlineStr">
        <is>
          <t>ÖREBRO</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70594-2018</t>
        </is>
      </c>
      <c r="B627" s="1" t="n">
        <v>43451</v>
      </c>
      <c r="C627" s="1" t="n">
        <v>45360</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71028-2018</t>
        </is>
      </c>
      <c r="B628" s="1" t="n">
        <v>43452</v>
      </c>
      <c r="C628" s="1" t="n">
        <v>45360</v>
      </c>
      <c r="D628" t="inlineStr">
        <is>
          <t>ÖREBRO LÄN</t>
        </is>
      </c>
      <c r="E628" t="inlineStr">
        <is>
          <t>ÖREBRO</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71182-2018</t>
        </is>
      </c>
      <c r="B629" s="1" t="n">
        <v>43452</v>
      </c>
      <c r="C629" s="1" t="n">
        <v>45360</v>
      </c>
      <c r="D629" t="inlineStr">
        <is>
          <t>ÖREBRO LÄN</t>
        </is>
      </c>
      <c r="E629" t="inlineStr">
        <is>
          <t>LEKEBERG</t>
        </is>
      </c>
      <c r="G629" t="n">
        <v>0.7</v>
      </c>
      <c r="H629" t="n">
        <v>0</v>
      </c>
      <c r="I629" t="n">
        <v>0</v>
      </c>
      <c r="J629" t="n">
        <v>0</v>
      </c>
      <c r="K629" t="n">
        <v>0</v>
      </c>
      <c r="L629" t="n">
        <v>0</v>
      </c>
      <c r="M629" t="n">
        <v>0</v>
      </c>
      <c r="N629" t="n">
        <v>0</v>
      </c>
      <c r="O629" t="n">
        <v>0</v>
      </c>
      <c r="P629" t="n">
        <v>0</v>
      </c>
      <c r="Q629" t="n">
        <v>0</v>
      </c>
      <c r="R629" s="2" t="inlineStr"/>
    </row>
    <row r="630" ht="15" customHeight="1">
      <c r="A630" t="inlineStr">
        <is>
          <t>A 71601-2018</t>
        </is>
      </c>
      <c r="B630" s="1" t="n">
        <v>43452</v>
      </c>
      <c r="C630" s="1" t="n">
        <v>45360</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71553-2018</t>
        </is>
      </c>
      <c r="B631" s="1" t="n">
        <v>43452</v>
      </c>
      <c r="C631" s="1" t="n">
        <v>45360</v>
      </c>
      <c r="D631" t="inlineStr">
        <is>
          <t>ÖREBRO LÄN</t>
        </is>
      </c>
      <c r="E631" t="inlineStr">
        <is>
          <t>KARLSKOGA</t>
        </is>
      </c>
      <c r="G631" t="n">
        <v>6.5</v>
      </c>
      <c r="H631" t="n">
        <v>0</v>
      </c>
      <c r="I631" t="n">
        <v>0</v>
      </c>
      <c r="J631" t="n">
        <v>0</v>
      </c>
      <c r="K631" t="n">
        <v>0</v>
      </c>
      <c r="L631" t="n">
        <v>0</v>
      </c>
      <c r="M631" t="n">
        <v>0</v>
      </c>
      <c r="N631" t="n">
        <v>0</v>
      </c>
      <c r="O631" t="n">
        <v>0</v>
      </c>
      <c r="P631" t="n">
        <v>0</v>
      </c>
      <c r="Q631" t="n">
        <v>0</v>
      </c>
      <c r="R631" s="2" t="inlineStr"/>
    </row>
    <row r="632" ht="15" customHeight="1">
      <c r="A632" t="inlineStr">
        <is>
          <t>A 71195-2018</t>
        </is>
      </c>
      <c r="B632" s="1" t="n">
        <v>43453</v>
      </c>
      <c r="C632" s="1" t="n">
        <v>45360</v>
      </c>
      <c r="D632" t="inlineStr">
        <is>
          <t>ÖREBRO LÄN</t>
        </is>
      </c>
      <c r="E632" t="inlineStr">
        <is>
          <t>LINDESBERG</t>
        </is>
      </c>
      <c r="G632" t="n">
        <v>5.3</v>
      </c>
      <c r="H632" t="n">
        <v>0</v>
      </c>
      <c r="I632" t="n">
        <v>0</v>
      </c>
      <c r="J632" t="n">
        <v>0</v>
      </c>
      <c r="K632" t="n">
        <v>0</v>
      </c>
      <c r="L632" t="n">
        <v>0</v>
      </c>
      <c r="M632" t="n">
        <v>0</v>
      </c>
      <c r="N632" t="n">
        <v>0</v>
      </c>
      <c r="O632" t="n">
        <v>0</v>
      </c>
      <c r="P632" t="n">
        <v>0</v>
      </c>
      <c r="Q632" t="n">
        <v>0</v>
      </c>
      <c r="R632" s="2" t="inlineStr"/>
    </row>
    <row r="633" ht="15" customHeight="1">
      <c r="A633" t="inlineStr">
        <is>
          <t>A 71223-2018</t>
        </is>
      </c>
      <c r="B633" s="1" t="n">
        <v>43453</v>
      </c>
      <c r="C633" s="1" t="n">
        <v>45360</v>
      </c>
      <c r="D633" t="inlineStr">
        <is>
          <t>ÖREBRO LÄN</t>
        </is>
      </c>
      <c r="E633" t="inlineStr">
        <is>
          <t>LJUSNARSBERG</t>
        </is>
      </c>
      <c r="G633" t="n">
        <v>4.5</v>
      </c>
      <c r="H633" t="n">
        <v>0</v>
      </c>
      <c r="I633" t="n">
        <v>0</v>
      </c>
      <c r="J633" t="n">
        <v>0</v>
      </c>
      <c r="K633" t="n">
        <v>0</v>
      </c>
      <c r="L633" t="n">
        <v>0</v>
      </c>
      <c r="M633" t="n">
        <v>0</v>
      </c>
      <c r="N633" t="n">
        <v>0</v>
      </c>
      <c r="O633" t="n">
        <v>0</v>
      </c>
      <c r="P633" t="n">
        <v>0</v>
      </c>
      <c r="Q633" t="n">
        <v>0</v>
      </c>
      <c r="R633" s="2" t="inlineStr"/>
    </row>
    <row r="634" ht="15" customHeight="1">
      <c r="A634" t="inlineStr">
        <is>
          <t>A 365-2019</t>
        </is>
      </c>
      <c r="B634" s="1" t="n">
        <v>43454</v>
      </c>
      <c r="C634" s="1" t="n">
        <v>45360</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71630-2018</t>
        </is>
      </c>
      <c r="B635" s="1" t="n">
        <v>43454</v>
      </c>
      <c r="C635" s="1" t="n">
        <v>45360</v>
      </c>
      <c r="D635" t="inlineStr">
        <is>
          <t>ÖREBRO LÄN</t>
        </is>
      </c>
      <c r="E635" t="inlineStr">
        <is>
          <t>LAXÅ</t>
        </is>
      </c>
      <c r="G635" t="n">
        <v>2.4</v>
      </c>
      <c r="H635" t="n">
        <v>0</v>
      </c>
      <c r="I635" t="n">
        <v>0</v>
      </c>
      <c r="J635" t="n">
        <v>0</v>
      </c>
      <c r="K635" t="n">
        <v>0</v>
      </c>
      <c r="L635" t="n">
        <v>0</v>
      </c>
      <c r="M635" t="n">
        <v>0</v>
      </c>
      <c r="N635" t="n">
        <v>0</v>
      </c>
      <c r="O635" t="n">
        <v>0</v>
      </c>
      <c r="P635" t="n">
        <v>0</v>
      </c>
      <c r="Q635" t="n">
        <v>0</v>
      </c>
      <c r="R635" s="2" t="inlineStr"/>
    </row>
    <row r="636" ht="15" customHeight="1">
      <c r="A636" t="inlineStr">
        <is>
          <t>A 371-2019</t>
        </is>
      </c>
      <c r="B636" s="1" t="n">
        <v>43454</v>
      </c>
      <c r="C636" s="1" t="n">
        <v>45360</v>
      </c>
      <c r="D636" t="inlineStr">
        <is>
          <t>ÖREBRO LÄN</t>
        </is>
      </c>
      <c r="E636" t="inlineStr">
        <is>
          <t>ÖREBRO</t>
        </is>
      </c>
      <c r="F636" t="inlineStr">
        <is>
          <t>Kommuner</t>
        </is>
      </c>
      <c r="G636" t="n">
        <v>1.7</v>
      </c>
      <c r="H636" t="n">
        <v>0</v>
      </c>
      <c r="I636" t="n">
        <v>0</v>
      </c>
      <c r="J636" t="n">
        <v>0</v>
      </c>
      <c r="K636" t="n">
        <v>0</v>
      </c>
      <c r="L636" t="n">
        <v>0</v>
      </c>
      <c r="M636" t="n">
        <v>0</v>
      </c>
      <c r="N636" t="n">
        <v>0</v>
      </c>
      <c r="O636" t="n">
        <v>0</v>
      </c>
      <c r="P636" t="n">
        <v>0</v>
      </c>
      <c r="Q636" t="n">
        <v>0</v>
      </c>
      <c r="R636" s="2" t="inlineStr"/>
    </row>
    <row r="637" ht="15" customHeight="1">
      <c r="A637" t="inlineStr">
        <is>
          <t>A 72016-2018</t>
        </is>
      </c>
      <c r="B637" s="1" t="n">
        <v>43455</v>
      </c>
      <c r="C637" s="1" t="n">
        <v>45360</v>
      </c>
      <c r="D637" t="inlineStr">
        <is>
          <t>ÖREBRO LÄN</t>
        </is>
      </c>
      <c r="E637" t="inlineStr">
        <is>
          <t>ASKERSUND</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528-2019</t>
        </is>
      </c>
      <c r="B638" s="1" t="n">
        <v>43455</v>
      </c>
      <c r="C638" s="1" t="n">
        <v>45360</v>
      </c>
      <c r="D638" t="inlineStr">
        <is>
          <t>ÖREBRO LÄN</t>
        </is>
      </c>
      <c r="E638" t="inlineStr">
        <is>
          <t>ASKERSUND</t>
        </is>
      </c>
      <c r="G638" t="n">
        <v>1</v>
      </c>
      <c r="H638" t="n">
        <v>0</v>
      </c>
      <c r="I638" t="n">
        <v>0</v>
      </c>
      <c r="J638" t="n">
        <v>0</v>
      </c>
      <c r="K638" t="n">
        <v>0</v>
      </c>
      <c r="L638" t="n">
        <v>0</v>
      </c>
      <c r="M638" t="n">
        <v>0</v>
      </c>
      <c r="N638" t="n">
        <v>0</v>
      </c>
      <c r="O638" t="n">
        <v>0</v>
      </c>
      <c r="P638" t="n">
        <v>0</v>
      </c>
      <c r="Q638" t="n">
        <v>0</v>
      </c>
      <c r="R638" s="2" t="inlineStr"/>
    </row>
    <row r="639" ht="15" customHeight="1">
      <c r="A639" t="inlineStr">
        <is>
          <t>A 72288-2018</t>
        </is>
      </c>
      <c r="B639" s="1" t="n">
        <v>43455</v>
      </c>
      <c r="C639" s="1" t="n">
        <v>45360</v>
      </c>
      <c r="D639" t="inlineStr">
        <is>
          <t>ÖREBRO LÄN</t>
        </is>
      </c>
      <c r="E639" t="inlineStr">
        <is>
          <t>ÖREBRO</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72382-2018</t>
        </is>
      </c>
      <c r="B640" s="1" t="n">
        <v>43461</v>
      </c>
      <c r="C640" s="1" t="n">
        <v>45360</v>
      </c>
      <c r="D640" t="inlineStr">
        <is>
          <t>ÖREBRO LÄN</t>
        </is>
      </c>
      <c r="E640" t="inlineStr">
        <is>
          <t>HÄLLEFORS</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2383-2019</t>
        </is>
      </c>
      <c r="B641" s="1" t="n">
        <v>43467</v>
      </c>
      <c r="C641" s="1" t="n">
        <v>45360</v>
      </c>
      <c r="D641" t="inlineStr">
        <is>
          <t>ÖREBRO LÄN</t>
        </is>
      </c>
      <c r="E641" t="inlineStr">
        <is>
          <t>LINDESBERG</t>
        </is>
      </c>
      <c r="G641" t="n">
        <v>3.4</v>
      </c>
      <c r="H641" t="n">
        <v>0</v>
      </c>
      <c r="I641" t="n">
        <v>0</v>
      </c>
      <c r="J641" t="n">
        <v>0</v>
      </c>
      <c r="K641" t="n">
        <v>0</v>
      </c>
      <c r="L641" t="n">
        <v>0</v>
      </c>
      <c r="M641" t="n">
        <v>0</v>
      </c>
      <c r="N641" t="n">
        <v>0</v>
      </c>
      <c r="O641" t="n">
        <v>0</v>
      </c>
      <c r="P641" t="n">
        <v>0</v>
      </c>
      <c r="Q641" t="n">
        <v>0</v>
      </c>
      <c r="R641" s="2" t="inlineStr"/>
    </row>
    <row r="642" ht="15" customHeight="1">
      <c r="A642" t="inlineStr">
        <is>
          <t>A 150-2019</t>
        </is>
      </c>
      <c r="B642" s="1" t="n">
        <v>43467</v>
      </c>
      <c r="C642" s="1" t="n">
        <v>45360</v>
      </c>
      <c r="D642" t="inlineStr">
        <is>
          <t>ÖREBRO LÄN</t>
        </is>
      </c>
      <c r="E642" t="inlineStr">
        <is>
          <t>HÄLLEFORS</t>
        </is>
      </c>
      <c r="G642" t="n">
        <v>1.7</v>
      </c>
      <c r="H642" t="n">
        <v>0</v>
      </c>
      <c r="I642" t="n">
        <v>0</v>
      </c>
      <c r="J642" t="n">
        <v>0</v>
      </c>
      <c r="K642" t="n">
        <v>0</v>
      </c>
      <c r="L642" t="n">
        <v>0</v>
      </c>
      <c r="M642" t="n">
        <v>0</v>
      </c>
      <c r="N642" t="n">
        <v>0</v>
      </c>
      <c r="O642" t="n">
        <v>0</v>
      </c>
      <c r="P642" t="n">
        <v>0</v>
      </c>
      <c r="Q642" t="n">
        <v>0</v>
      </c>
      <c r="R642" s="2" t="inlineStr"/>
    </row>
    <row r="643" ht="15" customHeight="1">
      <c r="A643" t="inlineStr">
        <is>
          <t>A 2393-2019</t>
        </is>
      </c>
      <c r="B643" s="1" t="n">
        <v>43467</v>
      </c>
      <c r="C643" s="1" t="n">
        <v>45360</v>
      </c>
      <c r="D643" t="inlineStr">
        <is>
          <t>ÖREBRO LÄN</t>
        </is>
      </c>
      <c r="E643" t="inlineStr">
        <is>
          <t>LINDESBERG</t>
        </is>
      </c>
      <c r="G643" t="n">
        <v>9.6</v>
      </c>
      <c r="H643" t="n">
        <v>0</v>
      </c>
      <c r="I643" t="n">
        <v>0</v>
      </c>
      <c r="J643" t="n">
        <v>0</v>
      </c>
      <c r="K643" t="n">
        <v>0</v>
      </c>
      <c r="L643" t="n">
        <v>0</v>
      </c>
      <c r="M643" t="n">
        <v>0</v>
      </c>
      <c r="N643" t="n">
        <v>0</v>
      </c>
      <c r="O643" t="n">
        <v>0</v>
      </c>
      <c r="P643" t="n">
        <v>0</v>
      </c>
      <c r="Q643" t="n">
        <v>0</v>
      </c>
      <c r="R643" s="2" t="inlineStr"/>
    </row>
    <row r="644" ht="15" customHeight="1">
      <c r="A644" t="inlineStr">
        <is>
          <t>A 2544-2019</t>
        </is>
      </c>
      <c r="B644" s="1" t="n">
        <v>43468</v>
      </c>
      <c r="C644" s="1" t="n">
        <v>45360</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253-2019</t>
        </is>
      </c>
      <c r="B645" s="1" t="n">
        <v>43468</v>
      </c>
      <c r="C645" s="1" t="n">
        <v>45360</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2542-2019</t>
        </is>
      </c>
      <c r="B646" s="1" t="n">
        <v>43468</v>
      </c>
      <c r="C646" s="1" t="n">
        <v>45360</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712-2019</t>
        </is>
      </c>
      <c r="B647" s="1" t="n">
        <v>43470</v>
      </c>
      <c r="C647" s="1" t="n">
        <v>45360</v>
      </c>
      <c r="D647" t="inlineStr">
        <is>
          <t>ÖREBRO LÄN</t>
        </is>
      </c>
      <c r="E647" t="inlineStr">
        <is>
          <t>ASKERSUND</t>
        </is>
      </c>
      <c r="G647" t="n">
        <v>4.2</v>
      </c>
      <c r="H647" t="n">
        <v>0</v>
      </c>
      <c r="I647" t="n">
        <v>0</v>
      </c>
      <c r="J647" t="n">
        <v>0</v>
      </c>
      <c r="K647" t="n">
        <v>0</v>
      </c>
      <c r="L647" t="n">
        <v>0</v>
      </c>
      <c r="M647" t="n">
        <v>0</v>
      </c>
      <c r="N647" t="n">
        <v>0</v>
      </c>
      <c r="O647" t="n">
        <v>0</v>
      </c>
      <c r="P647" t="n">
        <v>0</v>
      </c>
      <c r="Q647" t="n">
        <v>0</v>
      </c>
      <c r="R647" s="2" t="inlineStr"/>
    </row>
    <row r="648" ht="15" customHeight="1">
      <c r="A648" t="inlineStr">
        <is>
          <t>A 720-2019</t>
        </is>
      </c>
      <c r="B648" s="1" t="n">
        <v>43471</v>
      </c>
      <c r="C648" s="1" t="n">
        <v>45360</v>
      </c>
      <c r="D648" t="inlineStr">
        <is>
          <t>ÖREBRO LÄN</t>
        </is>
      </c>
      <c r="E648" t="inlineStr">
        <is>
          <t>ASKERSUND</t>
        </is>
      </c>
      <c r="G648" t="n">
        <v>5.2</v>
      </c>
      <c r="H648" t="n">
        <v>0</v>
      </c>
      <c r="I648" t="n">
        <v>0</v>
      </c>
      <c r="J648" t="n">
        <v>0</v>
      </c>
      <c r="K648" t="n">
        <v>0</v>
      </c>
      <c r="L648" t="n">
        <v>0</v>
      </c>
      <c r="M648" t="n">
        <v>0</v>
      </c>
      <c r="N648" t="n">
        <v>0</v>
      </c>
      <c r="O648" t="n">
        <v>0</v>
      </c>
      <c r="P648" t="n">
        <v>0</v>
      </c>
      <c r="Q648" t="n">
        <v>0</v>
      </c>
      <c r="R648" s="2" t="inlineStr"/>
    </row>
    <row r="649" ht="15" customHeight="1">
      <c r="A649" t="inlineStr">
        <is>
          <t>A 715-2019</t>
        </is>
      </c>
      <c r="B649" s="1" t="n">
        <v>43471</v>
      </c>
      <c r="C649" s="1" t="n">
        <v>45360</v>
      </c>
      <c r="D649" t="inlineStr">
        <is>
          <t>ÖREBRO LÄN</t>
        </is>
      </c>
      <c r="E649" t="inlineStr">
        <is>
          <t>ASKERSUND</t>
        </is>
      </c>
      <c r="G649" t="n">
        <v>4</v>
      </c>
      <c r="H649" t="n">
        <v>0</v>
      </c>
      <c r="I649" t="n">
        <v>0</v>
      </c>
      <c r="J649" t="n">
        <v>0</v>
      </c>
      <c r="K649" t="n">
        <v>0</v>
      </c>
      <c r="L649" t="n">
        <v>0</v>
      </c>
      <c r="M649" t="n">
        <v>0</v>
      </c>
      <c r="N649" t="n">
        <v>0</v>
      </c>
      <c r="O649" t="n">
        <v>0</v>
      </c>
      <c r="P649" t="n">
        <v>0</v>
      </c>
      <c r="Q649" t="n">
        <v>0</v>
      </c>
      <c r="R649" s="2" t="inlineStr"/>
    </row>
    <row r="650" ht="15" customHeight="1">
      <c r="A650" t="inlineStr">
        <is>
          <t>A 718-2019</t>
        </is>
      </c>
      <c r="B650" s="1" t="n">
        <v>43471</v>
      </c>
      <c r="C650" s="1" t="n">
        <v>45360</v>
      </c>
      <c r="D650" t="inlineStr">
        <is>
          <t>ÖREBRO LÄN</t>
        </is>
      </c>
      <c r="E650" t="inlineStr">
        <is>
          <t>ASKERSUND</t>
        </is>
      </c>
      <c r="G650" t="n">
        <v>4.4</v>
      </c>
      <c r="H650" t="n">
        <v>0</v>
      </c>
      <c r="I650" t="n">
        <v>0</v>
      </c>
      <c r="J650" t="n">
        <v>0</v>
      </c>
      <c r="K650" t="n">
        <v>0</v>
      </c>
      <c r="L650" t="n">
        <v>0</v>
      </c>
      <c r="M650" t="n">
        <v>0</v>
      </c>
      <c r="N650" t="n">
        <v>0</v>
      </c>
      <c r="O650" t="n">
        <v>0</v>
      </c>
      <c r="P650" t="n">
        <v>0</v>
      </c>
      <c r="Q650" t="n">
        <v>0</v>
      </c>
      <c r="R650" s="2" t="inlineStr"/>
    </row>
    <row r="651" ht="15" customHeight="1">
      <c r="A651" t="inlineStr">
        <is>
          <t>A 837-2019</t>
        </is>
      </c>
      <c r="B651" s="1" t="n">
        <v>43472</v>
      </c>
      <c r="C651" s="1" t="n">
        <v>45360</v>
      </c>
      <c r="D651" t="inlineStr">
        <is>
          <t>ÖREBRO LÄN</t>
        </is>
      </c>
      <c r="E651" t="inlineStr">
        <is>
          <t>LINDESBERG</t>
        </is>
      </c>
      <c r="G651" t="n">
        <v>0.7</v>
      </c>
      <c r="H651" t="n">
        <v>0</v>
      </c>
      <c r="I651" t="n">
        <v>0</v>
      </c>
      <c r="J651" t="n">
        <v>0</v>
      </c>
      <c r="K651" t="n">
        <v>0</v>
      </c>
      <c r="L651" t="n">
        <v>0</v>
      </c>
      <c r="M651" t="n">
        <v>0</v>
      </c>
      <c r="N651" t="n">
        <v>0</v>
      </c>
      <c r="O651" t="n">
        <v>0</v>
      </c>
      <c r="P651" t="n">
        <v>0</v>
      </c>
      <c r="Q651" t="n">
        <v>0</v>
      </c>
      <c r="R651" s="2" t="inlineStr"/>
    </row>
    <row r="652" ht="15" customHeight="1">
      <c r="A652" t="inlineStr">
        <is>
          <t>A 863-2019</t>
        </is>
      </c>
      <c r="B652" s="1" t="n">
        <v>43472</v>
      </c>
      <c r="C652" s="1" t="n">
        <v>45360</v>
      </c>
      <c r="D652" t="inlineStr">
        <is>
          <t>ÖREBRO LÄN</t>
        </is>
      </c>
      <c r="E652" t="inlineStr">
        <is>
          <t>LJUSNARSBERG</t>
        </is>
      </c>
      <c r="G652" t="n">
        <v>2.3</v>
      </c>
      <c r="H652" t="n">
        <v>0</v>
      </c>
      <c r="I652" t="n">
        <v>0</v>
      </c>
      <c r="J652" t="n">
        <v>0</v>
      </c>
      <c r="K652" t="n">
        <v>0</v>
      </c>
      <c r="L652" t="n">
        <v>0</v>
      </c>
      <c r="M652" t="n">
        <v>0</v>
      </c>
      <c r="N652" t="n">
        <v>0</v>
      </c>
      <c r="O652" t="n">
        <v>0</v>
      </c>
      <c r="P652" t="n">
        <v>0</v>
      </c>
      <c r="Q652" t="n">
        <v>0</v>
      </c>
      <c r="R652" s="2" t="inlineStr"/>
    </row>
    <row r="653" ht="15" customHeight="1">
      <c r="A653" t="inlineStr">
        <is>
          <t>A 835-2019</t>
        </is>
      </c>
      <c r="B653" s="1" t="n">
        <v>43472</v>
      </c>
      <c r="C653" s="1" t="n">
        <v>45360</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858-2019</t>
        </is>
      </c>
      <c r="B654" s="1" t="n">
        <v>43472</v>
      </c>
      <c r="C654" s="1" t="n">
        <v>45360</v>
      </c>
      <c r="D654" t="inlineStr">
        <is>
          <t>ÖREBRO LÄN</t>
        </is>
      </c>
      <c r="E654" t="inlineStr">
        <is>
          <t>LJUSNARSBERG</t>
        </is>
      </c>
      <c r="G654" t="n">
        <v>0.3</v>
      </c>
      <c r="H654" t="n">
        <v>0</v>
      </c>
      <c r="I654" t="n">
        <v>0</v>
      </c>
      <c r="J654" t="n">
        <v>0</v>
      </c>
      <c r="K654" t="n">
        <v>0</v>
      </c>
      <c r="L654" t="n">
        <v>0</v>
      </c>
      <c r="M654" t="n">
        <v>0</v>
      </c>
      <c r="N654" t="n">
        <v>0</v>
      </c>
      <c r="O654" t="n">
        <v>0</v>
      </c>
      <c r="P654" t="n">
        <v>0</v>
      </c>
      <c r="Q654" t="n">
        <v>0</v>
      </c>
      <c r="R654" s="2" t="inlineStr"/>
    </row>
    <row r="655" ht="15" customHeight="1">
      <c r="A655" t="inlineStr">
        <is>
          <t>A 1264-2019</t>
        </is>
      </c>
      <c r="B655" s="1" t="n">
        <v>43473</v>
      </c>
      <c r="C655" s="1" t="n">
        <v>45360</v>
      </c>
      <c r="D655" t="inlineStr">
        <is>
          <t>ÖREBRO LÄN</t>
        </is>
      </c>
      <c r="E655" t="inlineStr">
        <is>
          <t>LJUSNARSBERG</t>
        </is>
      </c>
      <c r="G655" t="n">
        <v>5.3</v>
      </c>
      <c r="H655" t="n">
        <v>0</v>
      </c>
      <c r="I655" t="n">
        <v>0</v>
      </c>
      <c r="J655" t="n">
        <v>0</v>
      </c>
      <c r="K655" t="n">
        <v>0</v>
      </c>
      <c r="L655" t="n">
        <v>0</v>
      </c>
      <c r="M655" t="n">
        <v>0</v>
      </c>
      <c r="N655" t="n">
        <v>0</v>
      </c>
      <c r="O655" t="n">
        <v>0</v>
      </c>
      <c r="P655" t="n">
        <v>0</v>
      </c>
      <c r="Q655" t="n">
        <v>0</v>
      </c>
      <c r="R655" s="2" t="inlineStr"/>
    </row>
    <row r="656" ht="15" customHeight="1">
      <c r="A656" t="inlineStr">
        <is>
          <t>A 1497-2019</t>
        </is>
      </c>
      <c r="B656" s="1" t="n">
        <v>43473</v>
      </c>
      <c r="C656" s="1" t="n">
        <v>45360</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1427-2019</t>
        </is>
      </c>
      <c r="B657" s="1" t="n">
        <v>43473</v>
      </c>
      <c r="C657" s="1" t="n">
        <v>45360</v>
      </c>
      <c r="D657" t="inlineStr">
        <is>
          <t>ÖREBRO LÄN</t>
        </is>
      </c>
      <c r="E657" t="inlineStr">
        <is>
          <t>HÄLLEFORS</t>
        </is>
      </c>
      <c r="G657" t="n">
        <v>34.2</v>
      </c>
      <c r="H657" t="n">
        <v>0</v>
      </c>
      <c r="I657" t="n">
        <v>0</v>
      </c>
      <c r="J657" t="n">
        <v>0</v>
      </c>
      <c r="K657" t="n">
        <v>0</v>
      </c>
      <c r="L657" t="n">
        <v>0</v>
      </c>
      <c r="M657" t="n">
        <v>0</v>
      </c>
      <c r="N657" t="n">
        <v>0</v>
      </c>
      <c r="O657" t="n">
        <v>0</v>
      </c>
      <c r="P657" t="n">
        <v>0</v>
      </c>
      <c r="Q657" t="n">
        <v>0</v>
      </c>
      <c r="R657" s="2" t="inlineStr"/>
    </row>
    <row r="658" ht="15" customHeight="1">
      <c r="A658" t="inlineStr">
        <is>
          <t>A 1491-2019</t>
        </is>
      </c>
      <c r="B658" s="1" t="n">
        <v>43473</v>
      </c>
      <c r="C658" s="1" t="n">
        <v>45360</v>
      </c>
      <c r="D658" t="inlineStr">
        <is>
          <t>ÖREBRO LÄN</t>
        </is>
      </c>
      <c r="E658" t="inlineStr">
        <is>
          <t>ÖREBRO</t>
        </is>
      </c>
      <c r="G658" t="n">
        <v>3.6</v>
      </c>
      <c r="H658" t="n">
        <v>0</v>
      </c>
      <c r="I658" t="n">
        <v>0</v>
      </c>
      <c r="J658" t="n">
        <v>0</v>
      </c>
      <c r="K658" t="n">
        <v>0</v>
      </c>
      <c r="L658" t="n">
        <v>0</v>
      </c>
      <c r="M658" t="n">
        <v>0</v>
      </c>
      <c r="N658" t="n">
        <v>0</v>
      </c>
      <c r="O658" t="n">
        <v>0</v>
      </c>
      <c r="P658" t="n">
        <v>0</v>
      </c>
      <c r="Q658" t="n">
        <v>0</v>
      </c>
      <c r="R658" s="2" t="inlineStr"/>
    </row>
    <row r="659" ht="15" customHeight="1">
      <c r="A659" t="inlineStr">
        <is>
          <t>A 1500-2019</t>
        </is>
      </c>
      <c r="B659" s="1" t="n">
        <v>43473</v>
      </c>
      <c r="C659" s="1" t="n">
        <v>45360</v>
      </c>
      <c r="D659" t="inlineStr">
        <is>
          <t>ÖREBRO LÄN</t>
        </is>
      </c>
      <c r="E659" t="inlineStr">
        <is>
          <t>LEKEBERG</t>
        </is>
      </c>
      <c r="G659" t="n">
        <v>3.6</v>
      </c>
      <c r="H659" t="n">
        <v>0</v>
      </c>
      <c r="I659" t="n">
        <v>0</v>
      </c>
      <c r="J659" t="n">
        <v>0</v>
      </c>
      <c r="K659" t="n">
        <v>0</v>
      </c>
      <c r="L659" t="n">
        <v>0</v>
      </c>
      <c r="M659" t="n">
        <v>0</v>
      </c>
      <c r="N659" t="n">
        <v>0</v>
      </c>
      <c r="O659" t="n">
        <v>0</v>
      </c>
      <c r="P659" t="n">
        <v>0</v>
      </c>
      <c r="Q659" t="n">
        <v>0</v>
      </c>
      <c r="R659" s="2" t="inlineStr"/>
    </row>
    <row r="660" ht="15" customHeight="1">
      <c r="A660" t="inlineStr">
        <is>
          <t>A 3192-2019</t>
        </is>
      </c>
      <c r="B660" s="1" t="n">
        <v>43473</v>
      </c>
      <c r="C660" s="1" t="n">
        <v>45360</v>
      </c>
      <c r="D660" t="inlineStr">
        <is>
          <t>ÖREBRO LÄN</t>
        </is>
      </c>
      <c r="E660" t="inlineStr">
        <is>
          <t>KARLSKOGA</t>
        </is>
      </c>
      <c r="G660" t="n">
        <v>0.7</v>
      </c>
      <c r="H660" t="n">
        <v>0</v>
      </c>
      <c r="I660" t="n">
        <v>0</v>
      </c>
      <c r="J660" t="n">
        <v>0</v>
      </c>
      <c r="K660" t="n">
        <v>0</v>
      </c>
      <c r="L660" t="n">
        <v>0</v>
      </c>
      <c r="M660" t="n">
        <v>0</v>
      </c>
      <c r="N660" t="n">
        <v>0</v>
      </c>
      <c r="O660" t="n">
        <v>0</v>
      </c>
      <c r="P660" t="n">
        <v>0</v>
      </c>
      <c r="Q660" t="n">
        <v>0</v>
      </c>
      <c r="R660" s="2" t="inlineStr"/>
    </row>
    <row r="661" ht="15" customHeight="1">
      <c r="A661" t="inlineStr">
        <is>
          <t>A 3024-2019</t>
        </is>
      </c>
      <c r="B661" s="1" t="n">
        <v>43473</v>
      </c>
      <c r="C661" s="1" t="n">
        <v>45360</v>
      </c>
      <c r="D661" t="inlineStr">
        <is>
          <t>ÖREBRO LÄN</t>
        </is>
      </c>
      <c r="E661" t="inlineStr">
        <is>
          <t>LINDESBERG</t>
        </is>
      </c>
      <c r="G661" t="n">
        <v>5.6</v>
      </c>
      <c r="H661" t="n">
        <v>0</v>
      </c>
      <c r="I661" t="n">
        <v>0</v>
      </c>
      <c r="J661" t="n">
        <v>0</v>
      </c>
      <c r="K661" t="n">
        <v>0</v>
      </c>
      <c r="L661" t="n">
        <v>0</v>
      </c>
      <c r="M661" t="n">
        <v>0</v>
      </c>
      <c r="N661" t="n">
        <v>0</v>
      </c>
      <c r="O661" t="n">
        <v>0</v>
      </c>
      <c r="P661" t="n">
        <v>0</v>
      </c>
      <c r="Q661" t="n">
        <v>0</v>
      </c>
      <c r="R661" s="2" t="inlineStr"/>
    </row>
    <row r="662" ht="15" customHeight="1">
      <c r="A662" t="inlineStr">
        <is>
          <t>A 3027-2019</t>
        </is>
      </c>
      <c r="B662" s="1" t="n">
        <v>43473</v>
      </c>
      <c r="C662" s="1" t="n">
        <v>45360</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1334-2019</t>
        </is>
      </c>
      <c r="B663" s="1" t="n">
        <v>43473</v>
      </c>
      <c r="C663" s="1" t="n">
        <v>45360</v>
      </c>
      <c r="D663" t="inlineStr">
        <is>
          <t>ÖREBRO LÄN</t>
        </is>
      </c>
      <c r="E663" t="inlineStr">
        <is>
          <t>ASKERSUND</t>
        </is>
      </c>
      <c r="G663" t="n">
        <v>1.8</v>
      </c>
      <c r="H663" t="n">
        <v>0</v>
      </c>
      <c r="I663" t="n">
        <v>0</v>
      </c>
      <c r="J663" t="n">
        <v>0</v>
      </c>
      <c r="K663" t="n">
        <v>0</v>
      </c>
      <c r="L663" t="n">
        <v>0</v>
      </c>
      <c r="M663" t="n">
        <v>0</v>
      </c>
      <c r="N663" t="n">
        <v>0</v>
      </c>
      <c r="O663" t="n">
        <v>0</v>
      </c>
      <c r="P663" t="n">
        <v>0</v>
      </c>
      <c r="Q663" t="n">
        <v>0</v>
      </c>
      <c r="R663" s="2" t="inlineStr"/>
    </row>
    <row r="664" ht="15" customHeight="1">
      <c r="A664" t="inlineStr">
        <is>
          <t>A 1249-2019</t>
        </is>
      </c>
      <c r="B664" s="1" t="n">
        <v>43473</v>
      </c>
      <c r="C664" s="1" t="n">
        <v>45360</v>
      </c>
      <c r="D664" t="inlineStr">
        <is>
          <t>ÖREBRO LÄN</t>
        </is>
      </c>
      <c r="E664" t="inlineStr">
        <is>
          <t>LJUSNARSBERG</t>
        </is>
      </c>
      <c r="G664" t="n">
        <v>0.9</v>
      </c>
      <c r="H664" t="n">
        <v>0</v>
      </c>
      <c r="I664" t="n">
        <v>0</v>
      </c>
      <c r="J664" t="n">
        <v>0</v>
      </c>
      <c r="K664" t="n">
        <v>0</v>
      </c>
      <c r="L664" t="n">
        <v>0</v>
      </c>
      <c r="M664" t="n">
        <v>0</v>
      </c>
      <c r="N664" t="n">
        <v>0</v>
      </c>
      <c r="O664" t="n">
        <v>0</v>
      </c>
      <c r="P664" t="n">
        <v>0</v>
      </c>
      <c r="Q664" t="n">
        <v>0</v>
      </c>
      <c r="R664" s="2" t="inlineStr"/>
    </row>
    <row r="665" ht="15" customHeight="1">
      <c r="A665" t="inlineStr">
        <is>
          <t>A 1670-2019</t>
        </is>
      </c>
      <c r="B665" s="1" t="n">
        <v>43474</v>
      </c>
      <c r="C665" s="1" t="n">
        <v>45360</v>
      </c>
      <c r="D665" t="inlineStr">
        <is>
          <t>ÖREBRO LÄN</t>
        </is>
      </c>
      <c r="E665" t="inlineStr">
        <is>
          <t>LJUSNARSBERG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1825-2019</t>
        </is>
      </c>
      <c r="B666" s="1" t="n">
        <v>43474</v>
      </c>
      <c r="C666" s="1" t="n">
        <v>45360</v>
      </c>
      <c r="D666" t="inlineStr">
        <is>
          <t>ÖREBRO LÄN</t>
        </is>
      </c>
      <c r="E666" t="inlineStr">
        <is>
          <t>NORA</t>
        </is>
      </c>
      <c r="G666" t="n">
        <v>1.9</v>
      </c>
      <c r="H666" t="n">
        <v>0</v>
      </c>
      <c r="I666" t="n">
        <v>0</v>
      </c>
      <c r="J666" t="n">
        <v>0</v>
      </c>
      <c r="K666" t="n">
        <v>0</v>
      </c>
      <c r="L666" t="n">
        <v>0</v>
      </c>
      <c r="M666" t="n">
        <v>0</v>
      </c>
      <c r="N666" t="n">
        <v>0</v>
      </c>
      <c r="O666" t="n">
        <v>0</v>
      </c>
      <c r="P666" t="n">
        <v>0</v>
      </c>
      <c r="Q666" t="n">
        <v>0</v>
      </c>
      <c r="R666" s="2" t="inlineStr"/>
    </row>
    <row r="667" ht="15" customHeight="1">
      <c r="A667" t="inlineStr">
        <is>
          <t>A 3431-2019</t>
        </is>
      </c>
      <c r="B667" s="1" t="n">
        <v>43474</v>
      </c>
      <c r="C667" s="1" t="n">
        <v>45360</v>
      </c>
      <c r="D667" t="inlineStr">
        <is>
          <t>ÖREBRO LÄN</t>
        </is>
      </c>
      <c r="E667" t="inlineStr">
        <is>
          <t>ASKERSUND</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3625-2019</t>
        </is>
      </c>
      <c r="B668" s="1" t="n">
        <v>43474</v>
      </c>
      <c r="C668" s="1" t="n">
        <v>45360</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1562-2019</t>
        </is>
      </c>
      <c r="B669" s="1" t="n">
        <v>43474</v>
      </c>
      <c r="C669" s="1" t="n">
        <v>45360</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2065-2019</t>
        </is>
      </c>
      <c r="B670" s="1" t="n">
        <v>43475</v>
      </c>
      <c r="C670" s="1" t="n">
        <v>45360</v>
      </c>
      <c r="D670" t="inlineStr">
        <is>
          <t>ÖREBRO LÄN</t>
        </is>
      </c>
      <c r="E670" t="inlineStr">
        <is>
          <t>LAXÅ</t>
        </is>
      </c>
      <c r="G670" t="n">
        <v>1.4</v>
      </c>
      <c r="H670" t="n">
        <v>0</v>
      </c>
      <c r="I670" t="n">
        <v>0</v>
      </c>
      <c r="J670" t="n">
        <v>0</v>
      </c>
      <c r="K670" t="n">
        <v>0</v>
      </c>
      <c r="L670" t="n">
        <v>0</v>
      </c>
      <c r="M670" t="n">
        <v>0</v>
      </c>
      <c r="N670" t="n">
        <v>0</v>
      </c>
      <c r="O670" t="n">
        <v>0</v>
      </c>
      <c r="P670" t="n">
        <v>0</v>
      </c>
      <c r="Q670" t="n">
        <v>0</v>
      </c>
      <c r="R670" s="2" t="inlineStr"/>
    </row>
    <row r="671" ht="15" customHeight="1">
      <c r="A671" t="inlineStr">
        <is>
          <t>A 2189-2019</t>
        </is>
      </c>
      <c r="B671" s="1" t="n">
        <v>43475</v>
      </c>
      <c r="C671" s="1" t="n">
        <v>45360</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2196-2019</t>
        </is>
      </c>
      <c r="B672" s="1" t="n">
        <v>43475</v>
      </c>
      <c r="C672" s="1" t="n">
        <v>45360</v>
      </c>
      <c r="D672" t="inlineStr">
        <is>
          <t>ÖREBRO LÄN</t>
        </is>
      </c>
      <c r="E672" t="inlineStr">
        <is>
          <t>ASKERSUND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2190-2019</t>
        </is>
      </c>
      <c r="B673" s="1" t="n">
        <v>43475</v>
      </c>
      <c r="C673" s="1" t="n">
        <v>45360</v>
      </c>
      <c r="D673" t="inlineStr">
        <is>
          <t>ÖREBRO LÄN</t>
        </is>
      </c>
      <c r="E673" t="inlineStr">
        <is>
          <t>LEKEBERG</t>
        </is>
      </c>
      <c r="G673" t="n">
        <v>2.3</v>
      </c>
      <c r="H673" t="n">
        <v>0</v>
      </c>
      <c r="I673" t="n">
        <v>0</v>
      </c>
      <c r="J673" t="n">
        <v>0</v>
      </c>
      <c r="K673" t="n">
        <v>0</v>
      </c>
      <c r="L673" t="n">
        <v>0</v>
      </c>
      <c r="M673" t="n">
        <v>0</v>
      </c>
      <c r="N673" t="n">
        <v>0</v>
      </c>
      <c r="O673" t="n">
        <v>0</v>
      </c>
      <c r="P673" t="n">
        <v>0</v>
      </c>
      <c r="Q673" t="n">
        <v>0</v>
      </c>
      <c r="R673" s="2" t="inlineStr"/>
    </row>
    <row r="674" ht="15" customHeight="1">
      <c r="A674" t="inlineStr">
        <is>
          <t>A 2089-2019</t>
        </is>
      </c>
      <c r="B674" s="1" t="n">
        <v>43475</v>
      </c>
      <c r="C674" s="1" t="n">
        <v>45360</v>
      </c>
      <c r="D674" t="inlineStr">
        <is>
          <t>ÖREBRO LÄN</t>
        </is>
      </c>
      <c r="E674" t="inlineStr">
        <is>
          <t>LAXÅ</t>
        </is>
      </c>
      <c r="G674" t="n">
        <v>0.8</v>
      </c>
      <c r="H674" t="n">
        <v>0</v>
      </c>
      <c r="I674" t="n">
        <v>0</v>
      </c>
      <c r="J674" t="n">
        <v>0</v>
      </c>
      <c r="K674" t="n">
        <v>0</v>
      </c>
      <c r="L674" t="n">
        <v>0</v>
      </c>
      <c r="M674" t="n">
        <v>0</v>
      </c>
      <c r="N674" t="n">
        <v>0</v>
      </c>
      <c r="O674" t="n">
        <v>0</v>
      </c>
      <c r="P674" t="n">
        <v>0</v>
      </c>
      <c r="Q674" t="n">
        <v>0</v>
      </c>
      <c r="R674" s="2" t="inlineStr"/>
    </row>
    <row r="675" ht="15" customHeight="1">
      <c r="A675" t="inlineStr">
        <is>
          <t>A 2492-2019</t>
        </is>
      </c>
      <c r="B675" s="1" t="n">
        <v>43476</v>
      </c>
      <c r="C675" s="1" t="n">
        <v>45360</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4183-2019</t>
        </is>
      </c>
      <c r="B676" s="1" t="n">
        <v>43476</v>
      </c>
      <c r="C676" s="1" t="n">
        <v>45360</v>
      </c>
      <c r="D676" t="inlineStr">
        <is>
          <t>ÖREBRO LÄN</t>
        </is>
      </c>
      <c r="E676" t="inlineStr">
        <is>
          <t>ÖREBRO</t>
        </is>
      </c>
      <c r="G676" t="n">
        <v>8.6</v>
      </c>
      <c r="H676" t="n">
        <v>0</v>
      </c>
      <c r="I676" t="n">
        <v>0</v>
      </c>
      <c r="J676" t="n">
        <v>0</v>
      </c>
      <c r="K676" t="n">
        <v>0</v>
      </c>
      <c r="L676" t="n">
        <v>0</v>
      </c>
      <c r="M676" t="n">
        <v>0</v>
      </c>
      <c r="N676" t="n">
        <v>0</v>
      </c>
      <c r="O676" t="n">
        <v>0</v>
      </c>
      <c r="P676" t="n">
        <v>0</v>
      </c>
      <c r="Q676" t="n">
        <v>0</v>
      </c>
      <c r="R676" s="2" t="inlineStr"/>
    </row>
    <row r="677" ht="15" customHeight="1">
      <c r="A677" t="inlineStr">
        <is>
          <t>A 2516-2019</t>
        </is>
      </c>
      <c r="B677" s="1" t="n">
        <v>43476</v>
      </c>
      <c r="C677" s="1" t="n">
        <v>45360</v>
      </c>
      <c r="D677" t="inlineStr">
        <is>
          <t>ÖREBRO LÄN</t>
        </is>
      </c>
      <c r="E677" t="inlineStr">
        <is>
          <t>LINDESBERG</t>
        </is>
      </c>
      <c r="G677" t="n">
        <v>8.4</v>
      </c>
      <c r="H677" t="n">
        <v>0</v>
      </c>
      <c r="I677" t="n">
        <v>0</v>
      </c>
      <c r="J677" t="n">
        <v>0</v>
      </c>
      <c r="K677" t="n">
        <v>0</v>
      </c>
      <c r="L677" t="n">
        <v>0</v>
      </c>
      <c r="M677" t="n">
        <v>0</v>
      </c>
      <c r="N677" t="n">
        <v>0</v>
      </c>
      <c r="O677" t="n">
        <v>0</v>
      </c>
      <c r="P677" t="n">
        <v>0</v>
      </c>
      <c r="Q677" t="n">
        <v>0</v>
      </c>
      <c r="R677" s="2" t="inlineStr"/>
    </row>
    <row r="678" ht="15" customHeight="1">
      <c r="A678" t="inlineStr">
        <is>
          <t>A 2619-2019</t>
        </is>
      </c>
      <c r="B678" s="1" t="n">
        <v>43477</v>
      </c>
      <c r="C678" s="1" t="n">
        <v>45360</v>
      </c>
      <c r="D678" t="inlineStr">
        <is>
          <t>ÖREBRO LÄN</t>
        </is>
      </c>
      <c r="E678" t="inlineStr">
        <is>
          <t>LAXÅ</t>
        </is>
      </c>
      <c r="G678" t="n">
        <v>0.7</v>
      </c>
      <c r="H678" t="n">
        <v>0</v>
      </c>
      <c r="I678" t="n">
        <v>0</v>
      </c>
      <c r="J678" t="n">
        <v>0</v>
      </c>
      <c r="K678" t="n">
        <v>0</v>
      </c>
      <c r="L678" t="n">
        <v>0</v>
      </c>
      <c r="M678" t="n">
        <v>0</v>
      </c>
      <c r="N678" t="n">
        <v>0</v>
      </c>
      <c r="O678" t="n">
        <v>0</v>
      </c>
      <c r="P678" t="n">
        <v>0</v>
      </c>
      <c r="Q678" t="n">
        <v>0</v>
      </c>
      <c r="R678" s="2" t="inlineStr"/>
    </row>
    <row r="679" ht="15" customHeight="1">
      <c r="A679" t="inlineStr">
        <is>
          <t>A 2617-2019</t>
        </is>
      </c>
      <c r="B679" s="1" t="n">
        <v>43477</v>
      </c>
      <c r="C679" s="1" t="n">
        <v>45360</v>
      </c>
      <c r="D679" t="inlineStr">
        <is>
          <t>ÖREBRO LÄN</t>
        </is>
      </c>
      <c r="E679" t="inlineStr">
        <is>
          <t>LAXÅ</t>
        </is>
      </c>
      <c r="G679" t="n">
        <v>1</v>
      </c>
      <c r="H679" t="n">
        <v>0</v>
      </c>
      <c r="I679" t="n">
        <v>0</v>
      </c>
      <c r="J679" t="n">
        <v>0</v>
      </c>
      <c r="K679" t="n">
        <v>0</v>
      </c>
      <c r="L679" t="n">
        <v>0</v>
      </c>
      <c r="M679" t="n">
        <v>0</v>
      </c>
      <c r="N679" t="n">
        <v>0</v>
      </c>
      <c r="O679" t="n">
        <v>0</v>
      </c>
      <c r="P679" t="n">
        <v>0</v>
      </c>
      <c r="Q679" t="n">
        <v>0</v>
      </c>
      <c r="R679" s="2" t="inlineStr"/>
    </row>
    <row r="680" ht="15" customHeight="1">
      <c r="A680" t="inlineStr">
        <is>
          <t>A 2620-2019</t>
        </is>
      </c>
      <c r="B680" s="1" t="n">
        <v>43477</v>
      </c>
      <c r="C680" s="1" t="n">
        <v>45360</v>
      </c>
      <c r="D680" t="inlineStr">
        <is>
          <t>ÖREBRO LÄN</t>
        </is>
      </c>
      <c r="E680" t="inlineStr">
        <is>
          <t>LAXÅ</t>
        </is>
      </c>
      <c r="G680" t="n">
        <v>1.1</v>
      </c>
      <c r="H680" t="n">
        <v>0</v>
      </c>
      <c r="I680" t="n">
        <v>0</v>
      </c>
      <c r="J680" t="n">
        <v>0</v>
      </c>
      <c r="K680" t="n">
        <v>0</v>
      </c>
      <c r="L680" t="n">
        <v>0</v>
      </c>
      <c r="M680" t="n">
        <v>0</v>
      </c>
      <c r="N680" t="n">
        <v>0</v>
      </c>
      <c r="O680" t="n">
        <v>0</v>
      </c>
      <c r="P680" t="n">
        <v>0</v>
      </c>
      <c r="Q680" t="n">
        <v>0</v>
      </c>
      <c r="R680" s="2" t="inlineStr"/>
    </row>
    <row r="681" ht="15" customHeight="1">
      <c r="A681" t="inlineStr">
        <is>
          <t>A 2964-2019</t>
        </is>
      </c>
      <c r="B681" s="1" t="n">
        <v>43479</v>
      </c>
      <c r="C681" s="1" t="n">
        <v>45360</v>
      </c>
      <c r="D681" t="inlineStr">
        <is>
          <t>ÖREBRO LÄN</t>
        </is>
      </c>
      <c r="E681" t="inlineStr">
        <is>
          <t>KARLSKOGA</t>
        </is>
      </c>
      <c r="G681" t="n">
        <v>3.3</v>
      </c>
      <c r="H681" t="n">
        <v>0</v>
      </c>
      <c r="I681" t="n">
        <v>0</v>
      </c>
      <c r="J681" t="n">
        <v>0</v>
      </c>
      <c r="K681" t="n">
        <v>0</v>
      </c>
      <c r="L681" t="n">
        <v>0</v>
      </c>
      <c r="M681" t="n">
        <v>0</v>
      </c>
      <c r="N681" t="n">
        <v>0</v>
      </c>
      <c r="O681" t="n">
        <v>0</v>
      </c>
      <c r="P681" t="n">
        <v>0</v>
      </c>
      <c r="Q681" t="n">
        <v>0</v>
      </c>
      <c r="R681" s="2" t="inlineStr"/>
    </row>
    <row r="682" ht="15" customHeight="1">
      <c r="A682" t="inlineStr">
        <is>
          <t>A 3066-2019</t>
        </is>
      </c>
      <c r="B682" s="1" t="n">
        <v>43479</v>
      </c>
      <c r="C682" s="1" t="n">
        <v>45360</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2973-2019</t>
        </is>
      </c>
      <c r="B683" s="1" t="n">
        <v>43479</v>
      </c>
      <c r="C683" s="1" t="n">
        <v>45360</v>
      </c>
      <c r="D683" t="inlineStr">
        <is>
          <t>ÖREBRO LÄN</t>
        </is>
      </c>
      <c r="E683" t="inlineStr">
        <is>
          <t>NORA</t>
        </is>
      </c>
      <c r="G683" t="n">
        <v>5.7</v>
      </c>
      <c r="H683" t="n">
        <v>0</v>
      </c>
      <c r="I683" t="n">
        <v>0</v>
      </c>
      <c r="J683" t="n">
        <v>0</v>
      </c>
      <c r="K683" t="n">
        <v>0</v>
      </c>
      <c r="L683" t="n">
        <v>0</v>
      </c>
      <c r="M683" t="n">
        <v>0</v>
      </c>
      <c r="N683" t="n">
        <v>0</v>
      </c>
      <c r="O683" t="n">
        <v>0</v>
      </c>
      <c r="P683" t="n">
        <v>0</v>
      </c>
      <c r="Q683" t="n">
        <v>0</v>
      </c>
      <c r="R683" s="2" t="inlineStr"/>
    </row>
    <row r="684" ht="15" customHeight="1">
      <c r="A684" t="inlineStr">
        <is>
          <t>A 3344-2019</t>
        </is>
      </c>
      <c r="B684" s="1" t="n">
        <v>43480</v>
      </c>
      <c r="C684" s="1" t="n">
        <v>45360</v>
      </c>
      <c r="D684" t="inlineStr">
        <is>
          <t>ÖREBRO LÄN</t>
        </is>
      </c>
      <c r="E684" t="inlineStr">
        <is>
          <t>LEKEBERG</t>
        </is>
      </c>
      <c r="G684" t="n">
        <v>1.2</v>
      </c>
      <c r="H684" t="n">
        <v>0</v>
      </c>
      <c r="I684" t="n">
        <v>0</v>
      </c>
      <c r="J684" t="n">
        <v>0</v>
      </c>
      <c r="K684" t="n">
        <v>0</v>
      </c>
      <c r="L684" t="n">
        <v>0</v>
      </c>
      <c r="M684" t="n">
        <v>0</v>
      </c>
      <c r="N684" t="n">
        <v>0</v>
      </c>
      <c r="O684" t="n">
        <v>0</v>
      </c>
      <c r="P684" t="n">
        <v>0</v>
      </c>
      <c r="Q684" t="n">
        <v>0</v>
      </c>
      <c r="R684" s="2" t="inlineStr"/>
    </row>
    <row r="685" ht="15" customHeight="1">
      <c r="A685" t="inlineStr">
        <is>
          <t>A 3176-2019</t>
        </is>
      </c>
      <c r="B685" s="1" t="n">
        <v>43480</v>
      </c>
      <c r="C685" s="1" t="n">
        <v>45360</v>
      </c>
      <c r="D685" t="inlineStr">
        <is>
          <t>ÖREBRO LÄN</t>
        </is>
      </c>
      <c r="E685" t="inlineStr">
        <is>
          <t>KARLSKOGA</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5066-2019</t>
        </is>
      </c>
      <c r="B686" s="1" t="n">
        <v>43480</v>
      </c>
      <c r="C686" s="1" t="n">
        <v>45360</v>
      </c>
      <c r="D686" t="inlineStr">
        <is>
          <t>ÖREBRO LÄN</t>
        </is>
      </c>
      <c r="E686" t="inlineStr">
        <is>
          <t>LEKEBERG</t>
        </is>
      </c>
      <c r="G686" t="n">
        <v>6.7</v>
      </c>
      <c r="H686" t="n">
        <v>0</v>
      </c>
      <c r="I686" t="n">
        <v>0</v>
      </c>
      <c r="J686" t="n">
        <v>0</v>
      </c>
      <c r="K686" t="n">
        <v>0</v>
      </c>
      <c r="L686" t="n">
        <v>0</v>
      </c>
      <c r="M686" t="n">
        <v>0</v>
      </c>
      <c r="N686" t="n">
        <v>0</v>
      </c>
      <c r="O686" t="n">
        <v>0</v>
      </c>
      <c r="P686" t="n">
        <v>0</v>
      </c>
      <c r="Q686" t="n">
        <v>0</v>
      </c>
      <c r="R686" s="2" t="inlineStr"/>
    </row>
    <row r="687" ht="15" customHeight="1">
      <c r="A687" t="inlineStr">
        <is>
          <t>A 3391-2019</t>
        </is>
      </c>
      <c r="B687" s="1" t="n">
        <v>43480</v>
      </c>
      <c r="C687" s="1" t="n">
        <v>45360</v>
      </c>
      <c r="D687" t="inlineStr">
        <is>
          <t>ÖREBRO LÄN</t>
        </is>
      </c>
      <c r="E687" t="inlineStr">
        <is>
          <t>LAXÅ</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3381-2019</t>
        </is>
      </c>
      <c r="B688" s="1" t="n">
        <v>43480</v>
      </c>
      <c r="C688" s="1" t="n">
        <v>45360</v>
      </c>
      <c r="D688" t="inlineStr">
        <is>
          <t>ÖREBRO LÄN</t>
        </is>
      </c>
      <c r="E688" t="inlineStr">
        <is>
          <t>ÖREBRO</t>
        </is>
      </c>
      <c r="G688" t="n">
        <v>14.8</v>
      </c>
      <c r="H688" t="n">
        <v>0</v>
      </c>
      <c r="I688" t="n">
        <v>0</v>
      </c>
      <c r="J688" t="n">
        <v>0</v>
      </c>
      <c r="K688" t="n">
        <v>0</v>
      </c>
      <c r="L688" t="n">
        <v>0</v>
      </c>
      <c r="M688" t="n">
        <v>0</v>
      </c>
      <c r="N688" t="n">
        <v>0</v>
      </c>
      <c r="O688" t="n">
        <v>0</v>
      </c>
      <c r="P688" t="n">
        <v>0</v>
      </c>
      <c r="Q688" t="n">
        <v>0</v>
      </c>
      <c r="R688" s="2" t="inlineStr"/>
    </row>
    <row r="689" ht="15" customHeight="1">
      <c r="A689" t="inlineStr">
        <is>
          <t>A 3249-2019</t>
        </is>
      </c>
      <c r="B689" s="1" t="n">
        <v>43480</v>
      </c>
      <c r="C689" s="1" t="n">
        <v>45360</v>
      </c>
      <c r="D689" t="inlineStr">
        <is>
          <t>ÖREBRO LÄN</t>
        </is>
      </c>
      <c r="E689" t="inlineStr">
        <is>
          <t>NORA</t>
        </is>
      </c>
      <c r="G689" t="n">
        <v>2.7</v>
      </c>
      <c r="H689" t="n">
        <v>0</v>
      </c>
      <c r="I689" t="n">
        <v>0</v>
      </c>
      <c r="J689" t="n">
        <v>0</v>
      </c>
      <c r="K689" t="n">
        <v>0</v>
      </c>
      <c r="L689" t="n">
        <v>0</v>
      </c>
      <c r="M689" t="n">
        <v>0</v>
      </c>
      <c r="N689" t="n">
        <v>0</v>
      </c>
      <c r="O689" t="n">
        <v>0</v>
      </c>
      <c r="P689" t="n">
        <v>0</v>
      </c>
      <c r="Q689" t="n">
        <v>0</v>
      </c>
      <c r="R689" s="2" t="inlineStr"/>
    </row>
    <row r="690" ht="15" customHeight="1">
      <c r="A690" t="inlineStr">
        <is>
          <t>A 3284-2019</t>
        </is>
      </c>
      <c r="B690" s="1" t="n">
        <v>43480</v>
      </c>
      <c r="C690" s="1" t="n">
        <v>45360</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3389-2019</t>
        </is>
      </c>
      <c r="B691" s="1" t="n">
        <v>43480</v>
      </c>
      <c r="C691" s="1" t="n">
        <v>45360</v>
      </c>
      <c r="D691" t="inlineStr">
        <is>
          <t>ÖREBRO LÄN</t>
        </is>
      </c>
      <c r="E691" t="inlineStr">
        <is>
          <t>LAXÅ</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5284-2019</t>
        </is>
      </c>
      <c r="B692" s="1" t="n">
        <v>43480</v>
      </c>
      <c r="C692" s="1" t="n">
        <v>45360</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3760-2019</t>
        </is>
      </c>
      <c r="B693" s="1" t="n">
        <v>43481</v>
      </c>
      <c r="C693" s="1" t="n">
        <v>45360</v>
      </c>
      <c r="D693" t="inlineStr">
        <is>
          <t>ÖREBRO LÄN</t>
        </is>
      </c>
      <c r="E693" t="inlineStr">
        <is>
          <t>ÖREBRO</t>
        </is>
      </c>
      <c r="G693" t="n">
        <v>1.1</v>
      </c>
      <c r="H693" t="n">
        <v>0</v>
      </c>
      <c r="I693" t="n">
        <v>0</v>
      </c>
      <c r="J693" t="n">
        <v>0</v>
      </c>
      <c r="K693" t="n">
        <v>0</v>
      </c>
      <c r="L693" t="n">
        <v>0</v>
      </c>
      <c r="M693" t="n">
        <v>0</v>
      </c>
      <c r="N693" t="n">
        <v>0</v>
      </c>
      <c r="O693" t="n">
        <v>0</v>
      </c>
      <c r="P693" t="n">
        <v>0</v>
      </c>
      <c r="Q693" t="n">
        <v>0</v>
      </c>
      <c r="R693" s="2" t="inlineStr"/>
    </row>
    <row r="694" ht="15" customHeight="1">
      <c r="A694" t="inlineStr">
        <is>
          <t>A 3762-2019</t>
        </is>
      </c>
      <c r="B694" s="1" t="n">
        <v>43481</v>
      </c>
      <c r="C694" s="1" t="n">
        <v>45360</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3479-2019</t>
        </is>
      </c>
      <c r="B695" s="1" t="n">
        <v>43481</v>
      </c>
      <c r="C695" s="1" t="n">
        <v>45360</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3930-2019</t>
        </is>
      </c>
      <c r="B696" s="1" t="n">
        <v>43482</v>
      </c>
      <c r="C696" s="1" t="n">
        <v>45360</v>
      </c>
      <c r="D696" t="inlineStr">
        <is>
          <t>ÖREBRO LÄN</t>
        </is>
      </c>
      <c r="E696" t="inlineStr">
        <is>
          <t>ASKERSUND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3966-2019</t>
        </is>
      </c>
      <c r="B697" s="1" t="n">
        <v>43482</v>
      </c>
      <c r="C697" s="1" t="n">
        <v>45360</v>
      </c>
      <c r="D697" t="inlineStr">
        <is>
          <t>ÖREBRO LÄN</t>
        </is>
      </c>
      <c r="E697" t="inlineStr">
        <is>
          <t>LAXÅ</t>
        </is>
      </c>
      <c r="G697" t="n">
        <v>4.3</v>
      </c>
      <c r="H697" t="n">
        <v>0</v>
      </c>
      <c r="I697" t="n">
        <v>0</v>
      </c>
      <c r="J697" t="n">
        <v>0</v>
      </c>
      <c r="K697" t="n">
        <v>0</v>
      </c>
      <c r="L697" t="n">
        <v>0</v>
      </c>
      <c r="M697" t="n">
        <v>0</v>
      </c>
      <c r="N697" t="n">
        <v>0</v>
      </c>
      <c r="O697" t="n">
        <v>0</v>
      </c>
      <c r="P697" t="n">
        <v>0</v>
      </c>
      <c r="Q697" t="n">
        <v>0</v>
      </c>
      <c r="R697" s="2" t="inlineStr"/>
    </row>
    <row r="698" ht="15" customHeight="1">
      <c r="A698" t="inlineStr">
        <is>
          <t>A 5759-2019</t>
        </is>
      </c>
      <c r="B698" s="1" t="n">
        <v>43482</v>
      </c>
      <c r="C698" s="1" t="n">
        <v>45360</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5760-2019</t>
        </is>
      </c>
      <c r="B699" s="1" t="n">
        <v>43482</v>
      </c>
      <c r="C699" s="1" t="n">
        <v>45360</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3913-2019</t>
        </is>
      </c>
      <c r="B700" s="1" t="n">
        <v>43482</v>
      </c>
      <c r="C700" s="1" t="n">
        <v>45360</v>
      </c>
      <c r="D700" t="inlineStr">
        <is>
          <t>ÖREBRO LÄN</t>
        </is>
      </c>
      <c r="E700" t="inlineStr">
        <is>
          <t>ÖREBRO</t>
        </is>
      </c>
      <c r="G700" t="n">
        <v>3.6</v>
      </c>
      <c r="H700" t="n">
        <v>0</v>
      </c>
      <c r="I700" t="n">
        <v>0</v>
      </c>
      <c r="J700" t="n">
        <v>0</v>
      </c>
      <c r="K700" t="n">
        <v>0</v>
      </c>
      <c r="L700" t="n">
        <v>0</v>
      </c>
      <c r="M700" t="n">
        <v>0</v>
      </c>
      <c r="N700" t="n">
        <v>0</v>
      </c>
      <c r="O700" t="n">
        <v>0</v>
      </c>
      <c r="P700" t="n">
        <v>0</v>
      </c>
      <c r="Q700" t="n">
        <v>0</v>
      </c>
      <c r="R700" s="2" t="inlineStr"/>
    </row>
    <row r="701" ht="15" customHeight="1">
      <c r="A701" t="inlineStr">
        <is>
          <t>A 5756-2019</t>
        </is>
      </c>
      <c r="B701" s="1" t="n">
        <v>43482</v>
      </c>
      <c r="C701" s="1" t="n">
        <v>45360</v>
      </c>
      <c r="D701" t="inlineStr">
        <is>
          <t>ÖREBRO LÄN</t>
        </is>
      </c>
      <c r="E701" t="inlineStr">
        <is>
          <t>LINDESBERG</t>
        </is>
      </c>
      <c r="G701" t="n">
        <v>1.3</v>
      </c>
      <c r="H701" t="n">
        <v>0</v>
      </c>
      <c r="I701" t="n">
        <v>0</v>
      </c>
      <c r="J701" t="n">
        <v>0</v>
      </c>
      <c r="K701" t="n">
        <v>0</v>
      </c>
      <c r="L701" t="n">
        <v>0</v>
      </c>
      <c r="M701" t="n">
        <v>0</v>
      </c>
      <c r="N701" t="n">
        <v>0</v>
      </c>
      <c r="O701" t="n">
        <v>0</v>
      </c>
      <c r="P701" t="n">
        <v>0</v>
      </c>
      <c r="Q701" t="n">
        <v>0</v>
      </c>
      <c r="R701" s="2" t="inlineStr"/>
    </row>
    <row r="702" ht="15" customHeight="1">
      <c r="A702" t="inlineStr">
        <is>
          <t>A 4012-2019</t>
        </is>
      </c>
      <c r="B702" s="1" t="n">
        <v>43482</v>
      </c>
      <c r="C702" s="1" t="n">
        <v>45360</v>
      </c>
      <c r="D702" t="inlineStr">
        <is>
          <t>ÖREBRO LÄN</t>
        </is>
      </c>
      <c r="E702" t="inlineStr">
        <is>
          <t>LAXÅ</t>
        </is>
      </c>
      <c r="G702" t="n">
        <v>1.6</v>
      </c>
      <c r="H702" t="n">
        <v>0</v>
      </c>
      <c r="I702" t="n">
        <v>0</v>
      </c>
      <c r="J702" t="n">
        <v>0</v>
      </c>
      <c r="K702" t="n">
        <v>0</v>
      </c>
      <c r="L702" t="n">
        <v>0</v>
      </c>
      <c r="M702" t="n">
        <v>0</v>
      </c>
      <c r="N702" t="n">
        <v>0</v>
      </c>
      <c r="O702" t="n">
        <v>0</v>
      </c>
      <c r="P702" t="n">
        <v>0</v>
      </c>
      <c r="Q702" t="n">
        <v>0</v>
      </c>
      <c r="R702" s="2" t="inlineStr"/>
    </row>
    <row r="703" ht="15" customHeight="1">
      <c r="A703" t="inlineStr">
        <is>
          <t>A 3944-2019</t>
        </is>
      </c>
      <c r="B703" s="1" t="n">
        <v>43482</v>
      </c>
      <c r="C703" s="1" t="n">
        <v>45360</v>
      </c>
      <c r="D703" t="inlineStr">
        <is>
          <t>ÖREBRO LÄN</t>
        </is>
      </c>
      <c r="E703" t="inlineStr">
        <is>
          <t>ÖREBRO</t>
        </is>
      </c>
      <c r="G703" t="n">
        <v>2</v>
      </c>
      <c r="H703" t="n">
        <v>0</v>
      </c>
      <c r="I703" t="n">
        <v>0</v>
      </c>
      <c r="J703" t="n">
        <v>0</v>
      </c>
      <c r="K703" t="n">
        <v>0</v>
      </c>
      <c r="L703" t="n">
        <v>0</v>
      </c>
      <c r="M703" t="n">
        <v>0</v>
      </c>
      <c r="N703" t="n">
        <v>0</v>
      </c>
      <c r="O703" t="n">
        <v>0</v>
      </c>
      <c r="P703" t="n">
        <v>0</v>
      </c>
      <c r="Q703" t="n">
        <v>0</v>
      </c>
      <c r="R703" s="2" t="inlineStr"/>
    </row>
    <row r="704" ht="15" customHeight="1">
      <c r="A704" t="inlineStr">
        <is>
          <t>A 4188-2019</t>
        </is>
      </c>
      <c r="B704" s="1" t="n">
        <v>43483</v>
      </c>
      <c r="C704" s="1" t="n">
        <v>45360</v>
      </c>
      <c r="D704" t="inlineStr">
        <is>
          <t>ÖREBRO LÄN</t>
        </is>
      </c>
      <c r="E704" t="inlineStr">
        <is>
          <t>ASKERSUND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4205-2019</t>
        </is>
      </c>
      <c r="B705" s="1" t="n">
        <v>43483</v>
      </c>
      <c r="C705" s="1" t="n">
        <v>45360</v>
      </c>
      <c r="D705" t="inlineStr">
        <is>
          <t>ÖREBRO LÄN</t>
        </is>
      </c>
      <c r="E705" t="inlineStr">
        <is>
          <t>ASKERSUND</t>
        </is>
      </c>
      <c r="G705" t="n">
        <v>1</v>
      </c>
      <c r="H705" t="n">
        <v>0</v>
      </c>
      <c r="I705" t="n">
        <v>0</v>
      </c>
      <c r="J705" t="n">
        <v>0</v>
      </c>
      <c r="K705" t="n">
        <v>0</v>
      </c>
      <c r="L705" t="n">
        <v>0</v>
      </c>
      <c r="M705" t="n">
        <v>0</v>
      </c>
      <c r="N705" t="n">
        <v>0</v>
      </c>
      <c r="O705" t="n">
        <v>0</v>
      </c>
      <c r="P705" t="n">
        <v>0</v>
      </c>
      <c r="Q705" t="n">
        <v>0</v>
      </c>
      <c r="R705" s="2" t="inlineStr"/>
    </row>
    <row r="706" ht="15" customHeight="1">
      <c r="A706" t="inlineStr">
        <is>
          <t>A 4458-2019</t>
        </is>
      </c>
      <c r="B706" s="1" t="n">
        <v>43485</v>
      </c>
      <c r="C706" s="1" t="n">
        <v>45360</v>
      </c>
      <c r="D706" t="inlineStr">
        <is>
          <t>ÖREBRO LÄN</t>
        </is>
      </c>
      <c r="E706" t="inlineStr">
        <is>
          <t>HÄLLEFORS</t>
        </is>
      </c>
      <c r="G706" t="n">
        <v>4.5</v>
      </c>
      <c r="H706" t="n">
        <v>0</v>
      </c>
      <c r="I706" t="n">
        <v>0</v>
      </c>
      <c r="J706" t="n">
        <v>0</v>
      </c>
      <c r="K706" t="n">
        <v>0</v>
      </c>
      <c r="L706" t="n">
        <v>0</v>
      </c>
      <c r="M706" t="n">
        <v>0</v>
      </c>
      <c r="N706" t="n">
        <v>0</v>
      </c>
      <c r="O706" t="n">
        <v>0</v>
      </c>
      <c r="P706" t="n">
        <v>0</v>
      </c>
      <c r="Q706" t="n">
        <v>0</v>
      </c>
      <c r="R706" s="2" t="inlineStr"/>
    </row>
    <row r="707" ht="15" customHeight="1">
      <c r="A707" t="inlineStr">
        <is>
          <t>A 4544-2019</t>
        </is>
      </c>
      <c r="B707" s="1" t="n">
        <v>43486</v>
      </c>
      <c r="C707" s="1" t="n">
        <v>45360</v>
      </c>
      <c r="D707" t="inlineStr">
        <is>
          <t>ÖREBRO LÄN</t>
        </is>
      </c>
      <c r="E707" t="inlineStr">
        <is>
          <t>DEGERFORS</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4577-2019</t>
        </is>
      </c>
      <c r="B708" s="1" t="n">
        <v>43486</v>
      </c>
      <c r="C708" s="1" t="n">
        <v>45360</v>
      </c>
      <c r="D708" t="inlineStr">
        <is>
          <t>ÖREBRO LÄN</t>
        </is>
      </c>
      <c r="E708" t="inlineStr">
        <is>
          <t>ÖREBRO</t>
        </is>
      </c>
      <c r="F708" t="inlineStr">
        <is>
          <t>Allmännings- och besparingsskogar</t>
        </is>
      </c>
      <c r="G708" t="n">
        <v>16.5</v>
      </c>
      <c r="H708" t="n">
        <v>0</v>
      </c>
      <c r="I708" t="n">
        <v>0</v>
      </c>
      <c r="J708" t="n">
        <v>0</v>
      </c>
      <c r="K708" t="n">
        <v>0</v>
      </c>
      <c r="L708" t="n">
        <v>0</v>
      </c>
      <c r="M708" t="n">
        <v>0</v>
      </c>
      <c r="N708" t="n">
        <v>0</v>
      </c>
      <c r="O708" t="n">
        <v>0</v>
      </c>
      <c r="P708" t="n">
        <v>0</v>
      </c>
      <c r="Q708" t="n">
        <v>0</v>
      </c>
      <c r="R708" s="2" t="inlineStr"/>
    </row>
    <row r="709" ht="15" customHeight="1">
      <c r="A709" t="inlineStr">
        <is>
          <t>A 4671-2019</t>
        </is>
      </c>
      <c r="B709" s="1" t="n">
        <v>43486</v>
      </c>
      <c r="C709" s="1" t="n">
        <v>45360</v>
      </c>
      <c r="D709" t="inlineStr">
        <is>
          <t>ÖREBRO LÄN</t>
        </is>
      </c>
      <c r="E709" t="inlineStr">
        <is>
          <t>ÖREBRO</t>
        </is>
      </c>
      <c r="F709" t="inlineStr">
        <is>
          <t>Allmännings- och besparingsskogar</t>
        </is>
      </c>
      <c r="G709" t="n">
        <v>2.1</v>
      </c>
      <c r="H709" t="n">
        <v>0</v>
      </c>
      <c r="I709" t="n">
        <v>0</v>
      </c>
      <c r="J709" t="n">
        <v>0</v>
      </c>
      <c r="K709" t="n">
        <v>0</v>
      </c>
      <c r="L709" t="n">
        <v>0</v>
      </c>
      <c r="M709" t="n">
        <v>0</v>
      </c>
      <c r="N709" t="n">
        <v>0</v>
      </c>
      <c r="O709" t="n">
        <v>0</v>
      </c>
      <c r="P709" t="n">
        <v>0</v>
      </c>
      <c r="Q709" t="n">
        <v>0</v>
      </c>
      <c r="R709" s="2" t="inlineStr"/>
    </row>
    <row r="710" ht="15" customHeight="1">
      <c r="A710" t="inlineStr">
        <is>
          <t>A 4761-2019</t>
        </is>
      </c>
      <c r="B710" s="1" t="n">
        <v>43486</v>
      </c>
      <c r="C710" s="1" t="n">
        <v>45360</v>
      </c>
      <c r="D710" t="inlineStr">
        <is>
          <t>ÖREBRO LÄN</t>
        </is>
      </c>
      <c r="E710" t="inlineStr">
        <is>
          <t>ASKERSUND</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4751-2019</t>
        </is>
      </c>
      <c r="B711" s="1" t="n">
        <v>43486</v>
      </c>
      <c r="C711" s="1" t="n">
        <v>45360</v>
      </c>
      <c r="D711" t="inlineStr">
        <is>
          <t>ÖREBRO LÄN</t>
        </is>
      </c>
      <c r="E711" t="inlineStr">
        <is>
          <t>LJUSNARSBERG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4612-2019</t>
        </is>
      </c>
      <c r="B712" s="1" t="n">
        <v>43486</v>
      </c>
      <c r="C712" s="1" t="n">
        <v>45360</v>
      </c>
      <c r="D712" t="inlineStr">
        <is>
          <t>ÖREBRO LÄN</t>
        </is>
      </c>
      <c r="E712" t="inlineStr">
        <is>
          <t>ÖREBRO</t>
        </is>
      </c>
      <c r="F712" t="inlineStr">
        <is>
          <t>Allmännings- och besparingsskogar</t>
        </is>
      </c>
      <c r="G712" t="n">
        <v>3.9</v>
      </c>
      <c r="H712" t="n">
        <v>0</v>
      </c>
      <c r="I712" t="n">
        <v>0</v>
      </c>
      <c r="J712" t="n">
        <v>0</v>
      </c>
      <c r="K712" t="n">
        <v>0</v>
      </c>
      <c r="L712" t="n">
        <v>0</v>
      </c>
      <c r="M712" t="n">
        <v>0</v>
      </c>
      <c r="N712" t="n">
        <v>0</v>
      </c>
      <c r="O712" t="n">
        <v>0</v>
      </c>
      <c r="P712" t="n">
        <v>0</v>
      </c>
      <c r="Q712" t="n">
        <v>0</v>
      </c>
      <c r="R712" s="2" t="inlineStr"/>
    </row>
    <row r="713" ht="15" customHeight="1">
      <c r="A713" t="inlineStr">
        <is>
          <t>A 4563-2019</t>
        </is>
      </c>
      <c r="B713" s="1" t="n">
        <v>43486</v>
      </c>
      <c r="C713" s="1" t="n">
        <v>45360</v>
      </c>
      <c r="D713" t="inlineStr">
        <is>
          <t>ÖREBRO LÄN</t>
        </is>
      </c>
      <c r="E713" t="inlineStr">
        <is>
          <t>ÖREBRO</t>
        </is>
      </c>
      <c r="F713" t="inlineStr">
        <is>
          <t>Allmännings- och besparingsskogar</t>
        </is>
      </c>
      <c r="G713" t="n">
        <v>14.5</v>
      </c>
      <c r="H713" t="n">
        <v>0</v>
      </c>
      <c r="I713" t="n">
        <v>0</v>
      </c>
      <c r="J713" t="n">
        <v>0</v>
      </c>
      <c r="K713" t="n">
        <v>0</v>
      </c>
      <c r="L713" t="n">
        <v>0</v>
      </c>
      <c r="M713" t="n">
        <v>0</v>
      </c>
      <c r="N713" t="n">
        <v>0</v>
      </c>
      <c r="O713" t="n">
        <v>0</v>
      </c>
      <c r="P713" t="n">
        <v>0</v>
      </c>
      <c r="Q713" t="n">
        <v>0</v>
      </c>
      <c r="R713" s="2" t="inlineStr"/>
    </row>
    <row r="714" ht="15" customHeight="1">
      <c r="A714" t="inlineStr">
        <is>
          <t>A 4529-2019</t>
        </is>
      </c>
      <c r="B714" s="1" t="n">
        <v>43486</v>
      </c>
      <c r="C714" s="1" t="n">
        <v>45360</v>
      </c>
      <c r="D714" t="inlineStr">
        <is>
          <t>ÖREBRO LÄN</t>
        </is>
      </c>
      <c r="E714" t="inlineStr">
        <is>
          <t>HÄLLEFORS</t>
        </is>
      </c>
      <c r="G714" t="n">
        <v>2.6</v>
      </c>
      <c r="H714" t="n">
        <v>0</v>
      </c>
      <c r="I714" t="n">
        <v>0</v>
      </c>
      <c r="J714" t="n">
        <v>0</v>
      </c>
      <c r="K714" t="n">
        <v>0</v>
      </c>
      <c r="L714" t="n">
        <v>0</v>
      </c>
      <c r="M714" t="n">
        <v>0</v>
      </c>
      <c r="N714" t="n">
        <v>0</v>
      </c>
      <c r="O714" t="n">
        <v>0</v>
      </c>
      <c r="P714" t="n">
        <v>0</v>
      </c>
      <c r="Q714" t="n">
        <v>0</v>
      </c>
      <c r="R714" s="2" t="inlineStr"/>
    </row>
    <row r="715" ht="15" customHeight="1">
      <c r="A715" t="inlineStr">
        <is>
          <t>A 5083-2019</t>
        </is>
      </c>
      <c r="B715" s="1" t="n">
        <v>43487</v>
      </c>
      <c r="C715" s="1" t="n">
        <v>45360</v>
      </c>
      <c r="D715" t="inlineStr">
        <is>
          <t>ÖREBRO LÄN</t>
        </is>
      </c>
      <c r="E715" t="inlineStr">
        <is>
          <t>HALLSBERG</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6442-2019</t>
        </is>
      </c>
      <c r="B716" s="1" t="n">
        <v>43487</v>
      </c>
      <c r="C716" s="1" t="n">
        <v>45360</v>
      </c>
      <c r="D716" t="inlineStr">
        <is>
          <t>ÖREBRO LÄN</t>
        </is>
      </c>
      <c r="E716" t="inlineStr">
        <is>
          <t>DEGERFORS</t>
        </is>
      </c>
      <c r="G716" t="n">
        <v>1</v>
      </c>
      <c r="H716" t="n">
        <v>0</v>
      </c>
      <c r="I716" t="n">
        <v>0</v>
      </c>
      <c r="J716" t="n">
        <v>0</v>
      </c>
      <c r="K716" t="n">
        <v>0</v>
      </c>
      <c r="L716" t="n">
        <v>0</v>
      </c>
      <c r="M716" t="n">
        <v>0</v>
      </c>
      <c r="N716" t="n">
        <v>0</v>
      </c>
      <c r="O716" t="n">
        <v>0</v>
      </c>
      <c r="P716" t="n">
        <v>0</v>
      </c>
      <c r="Q716" t="n">
        <v>0</v>
      </c>
      <c r="R716" s="2" t="inlineStr"/>
    </row>
    <row r="717" ht="15" customHeight="1">
      <c r="A717" t="inlineStr">
        <is>
          <t>A 6532-2019</t>
        </is>
      </c>
      <c r="B717" s="1" t="n">
        <v>43487</v>
      </c>
      <c r="C717" s="1" t="n">
        <v>45360</v>
      </c>
      <c r="D717" t="inlineStr">
        <is>
          <t>ÖREBRO LÄN</t>
        </is>
      </c>
      <c r="E717" t="inlineStr">
        <is>
          <t>KUMLA</t>
        </is>
      </c>
      <c r="G717" t="n">
        <v>1</v>
      </c>
      <c r="H717" t="n">
        <v>0</v>
      </c>
      <c r="I717" t="n">
        <v>0</v>
      </c>
      <c r="J717" t="n">
        <v>0</v>
      </c>
      <c r="K717" t="n">
        <v>0</v>
      </c>
      <c r="L717" t="n">
        <v>0</v>
      </c>
      <c r="M717" t="n">
        <v>0</v>
      </c>
      <c r="N717" t="n">
        <v>0</v>
      </c>
      <c r="O717" t="n">
        <v>0</v>
      </c>
      <c r="P717" t="n">
        <v>0</v>
      </c>
      <c r="Q717" t="n">
        <v>0</v>
      </c>
      <c r="R717" s="2" t="inlineStr"/>
    </row>
    <row r="718" ht="15" customHeight="1">
      <c r="A718" t="inlineStr">
        <is>
          <t>A 5059-2019</t>
        </is>
      </c>
      <c r="B718" s="1" t="n">
        <v>43487</v>
      </c>
      <c r="C718" s="1" t="n">
        <v>45360</v>
      </c>
      <c r="D718" t="inlineStr">
        <is>
          <t>ÖREBRO LÄN</t>
        </is>
      </c>
      <c r="E718" t="inlineStr">
        <is>
          <t>KUMLA</t>
        </is>
      </c>
      <c r="G718" t="n">
        <v>0.6</v>
      </c>
      <c r="H718" t="n">
        <v>0</v>
      </c>
      <c r="I718" t="n">
        <v>0</v>
      </c>
      <c r="J718" t="n">
        <v>0</v>
      </c>
      <c r="K718" t="n">
        <v>0</v>
      </c>
      <c r="L718" t="n">
        <v>0</v>
      </c>
      <c r="M718" t="n">
        <v>0</v>
      </c>
      <c r="N718" t="n">
        <v>0</v>
      </c>
      <c r="O718" t="n">
        <v>0</v>
      </c>
      <c r="P718" t="n">
        <v>0</v>
      </c>
      <c r="Q718" t="n">
        <v>0</v>
      </c>
      <c r="R718" s="2" t="inlineStr"/>
    </row>
    <row r="719" ht="15" customHeight="1">
      <c r="A719" t="inlineStr">
        <is>
          <t>A 6470-2019</t>
        </is>
      </c>
      <c r="B719" s="1" t="n">
        <v>43487</v>
      </c>
      <c r="C719" s="1" t="n">
        <v>45360</v>
      </c>
      <c r="D719" t="inlineStr">
        <is>
          <t>ÖREBRO LÄN</t>
        </is>
      </c>
      <c r="E719" t="inlineStr">
        <is>
          <t>DEGERFORS</t>
        </is>
      </c>
      <c r="G719" t="n">
        <v>6</v>
      </c>
      <c r="H719" t="n">
        <v>0</v>
      </c>
      <c r="I719" t="n">
        <v>0</v>
      </c>
      <c r="J719" t="n">
        <v>0</v>
      </c>
      <c r="K719" t="n">
        <v>0</v>
      </c>
      <c r="L719" t="n">
        <v>0</v>
      </c>
      <c r="M719" t="n">
        <v>0</v>
      </c>
      <c r="N719" t="n">
        <v>0</v>
      </c>
      <c r="O719" t="n">
        <v>0</v>
      </c>
      <c r="P719" t="n">
        <v>0</v>
      </c>
      <c r="Q719" t="n">
        <v>0</v>
      </c>
      <c r="R719" s="2" t="inlineStr"/>
    </row>
    <row r="720" ht="15" customHeight="1">
      <c r="A720" t="inlineStr">
        <is>
          <t>A 5023-2019</t>
        </is>
      </c>
      <c r="B720" s="1" t="n">
        <v>43487</v>
      </c>
      <c r="C720" s="1" t="n">
        <v>45360</v>
      </c>
      <c r="D720" t="inlineStr">
        <is>
          <t>ÖREBRO LÄN</t>
        </is>
      </c>
      <c r="E720" t="inlineStr">
        <is>
          <t>HALLSBERG</t>
        </is>
      </c>
      <c r="F720" t="inlineStr">
        <is>
          <t>Allmännings- och besparingsskogar</t>
        </is>
      </c>
      <c r="G720" t="n">
        <v>6.2</v>
      </c>
      <c r="H720" t="n">
        <v>0</v>
      </c>
      <c r="I720" t="n">
        <v>0</v>
      </c>
      <c r="J720" t="n">
        <v>0</v>
      </c>
      <c r="K720" t="n">
        <v>0</v>
      </c>
      <c r="L720" t="n">
        <v>0</v>
      </c>
      <c r="M720" t="n">
        <v>0</v>
      </c>
      <c r="N720" t="n">
        <v>0</v>
      </c>
      <c r="O720" t="n">
        <v>0</v>
      </c>
      <c r="P720" t="n">
        <v>0</v>
      </c>
      <c r="Q720" t="n">
        <v>0</v>
      </c>
      <c r="R720" s="2" t="inlineStr"/>
    </row>
    <row r="721" ht="15" customHeight="1">
      <c r="A721" t="inlineStr">
        <is>
          <t>A 6696-2019</t>
        </is>
      </c>
      <c r="B721" s="1" t="n">
        <v>43488</v>
      </c>
      <c r="C721" s="1" t="n">
        <v>45360</v>
      </c>
      <c r="D721" t="inlineStr">
        <is>
          <t>ÖREBRO LÄN</t>
        </is>
      </c>
      <c r="E721" t="inlineStr">
        <is>
          <t>LEKEBERG</t>
        </is>
      </c>
      <c r="G721" t="n">
        <v>1.9</v>
      </c>
      <c r="H721" t="n">
        <v>0</v>
      </c>
      <c r="I721" t="n">
        <v>0</v>
      </c>
      <c r="J721" t="n">
        <v>0</v>
      </c>
      <c r="K721" t="n">
        <v>0</v>
      </c>
      <c r="L721" t="n">
        <v>0</v>
      </c>
      <c r="M721" t="n">
        <v>0</v>
      </c>
      <c r="N721" t="n">
        <v>0</v>
      </c>
      <c r="O721" t="n">
        <v>0</v>
      </c>
      <c r="P721" t="n">
        <v>0</v>
      </c>
      <c r="Q721" t="n">
        <v>0</v>
      </c>
      <c r="R721" s="2" t="inlineStr"/>
    </row>
    <row r="722" ht="15" customHeight="1">
      <c r="A722" t="inlineStr">
        <is>
          <t>A 6929-2019</t>
        </is>
      </c>
      <c r="B722" s="1" t="n">
        <v>43489</v>
      </c>
      <c r="C722" s="1" t="n">
        <v>45360</v>
      </c>
      <c r="D722" t="inlineStr">
        <is>
          <t>ÖREBRO LÄN</t>
        </is>
      </c>
      <c r="E722" t="inlineStr">
        <is>
          <t>LEKEBERG</t>
        </is>
      </c>
      <c r="G722" t="n">
        <v>9.5</v>
      </c>
      <c r="H722" t="n">
        <v>0</v>
      </c>
      <c r="I722" t="n">
        <v>0</v>
      </c>
      <c r="J722" t="n">
        <v>0</v>
      </c>
      <c r="K722" t="n">
        <v>0</v>
      </c>
      <c r="L722" t="n">
        <v>0</v>
      </c>
      <c r="M722" t="n">
        <v>0</v>
      </c>
      <c r="N722" t="n">
        <v>0</v>
      </c>
      <c r="O722" t="n">
        <v>0</v>
      </c>
      <c r="P722" t="n">
        <v>0</v>
      </c>
      <c r="Q722" t="n">
        <v>0</v>
      </c>
      <c r="R722" s="2" t="inlineStr"/>
    </row>
    <row r="723" ht="15" customHeight="1">
      <c r="A723" t="inlineStr">
        <is>
          <t>A 6951-2019</t>
        </is>
      </c>
      <c r="B723" s="1" t="n">
        <v>43489</v>
      </c>
      <c r="C723" s="1" t="n">
        <v>45360</v>
      </c>
      <c r="D723" t="inlineStr">
        <is>
          <t>ÖREBRO LÄN</t>
        </is>
      </c>
      <c r="E723" t="inlineStr">
        <is>
          <t>LEKEBERG</t>
        </is>
      </c>
      <c r="G723" t="n">
        <v>2.5</v>
      </c>
      <c r="H723" t="n">
        <v>0</v>
      </c>
      <c r="I723" t="n">
        <v>0</v>
      </c>
      <c r="J723" t="n">
        <v>0</v>
      </c>
      <c r="K723" t="n">
        <v>0</v>
      </c>
      <c r="L723" t="n">
        <v>0</v>
      </c>
      <c r="M723" t="n">
        <v>0</v>
      </c>
      <c r="N723" t="n">
        <v>0</v>
      </c>
      <c r="O723" t="n">
        <v>0</v>
      </c>
      <c r="P723" t="n">
        <v>0</v>
      </c>
      <c r="Q723" t="n">
        <v>0</v>
      </c>
      <c r="R723" s="2" t="inlineStr"/>
    </row>
    <row r="724" ht="15" customHeight="1">
      <c r="A724" t="inlineStr">
        <is>
          <t>A 6938-2019</t>
        </is>
      </c>
      <c r="B724" s="1" t="n">
        <v>43489</v>
      </c>
      <c r="C724" s="1" t="n">
        <v>45360</v>
      </c>
      <c r="D724" t="inlineStr">
        <is>
          <t>ÖREBRO LÄN</t>
        </is>
      </c>
      <c r="E724" t="inlineStr">
        <is>
          <t>LAXÅ</t>
        </is>
      </c>
      <c r="G724" t="n">
        <v>3</v>
      </c>
      <c r="H724" t="n">
        <v>0</v>
      </c>
      <c r="I724" t="n">
        <v>0</v>
      </c>
      <c r="J724" t="n">
        <v>0</v>
      </c>
      <c r="K724" t="n">
        <v>0</v>
      </c>
      <c r="L724" t="n">
        <v>0</v>
      </c>
      <c r="M724" t="n">
        <v>0</v>
      </c>
      <c r="N724" t="n">
        <v>0</v>
      </c>
      <c r="O724" t="n">
        <v>0</v>
      </c>
      <c r="P724" t="n">
        <v>0</v>
      </c>
      <c r="Q724" t="n">
        <v>0</v>
      </c>
      <c r="R724" s="2" t="inlineStr"/>
    </row>
    <row r="725" ht="15" customHeight="1">
      <c r="A725" t="inlineStr">
        <is>
          <t>A 6943-2019</t>
        </is>
      </c>
      <c r="B725" s="1" t="n">
        <v>43489</v>
      </c>
      <c r="C725" s="1" t="n">
        <v>45360</v>
      </c>
      <c r="D725" t="inlineStr">
        <is>
          <t>ÖREBRO LÄN</t>
        </is>
      </c>
      <c r="E725" t="inlineStr">
        <is>
          <t>ÖREBRO</t>
        </is>
      </c>
      <c r="G725" t="n">
        <v>3.3</v>
      </c>
      <c r="H725" t="n">
        <v>0</v>
      </c>
      <c r="I725" t="n">
        <v>0</v>
      </c>
      <c r="J725" t="n">
        <v>0</v>
      </c>
      <c r="K725" t="n">
        <v>0</v>
      </c>
      <c r="L725" t="n">
        <v>0</v>
      </c>
      <c r="M725" t="n">
        <v>0</v>
      </c>
      <c r="N725" t="n">
        <v>0</v>
      </c>
      <c r="O725" t="n">
        <v>0</v>
      </c>
      <c r="P725" t="n">
        <v>0</v>
      </c>
      <c r="Q725" t="n">
        <v>0</v>
      </c>
      <c r="R725" s="2" t="inlineStr"/>
    </row>
    <row r="726" ht="15" customHeight="1">
      <c r="A726" t="inlineStr">
        <is>
          <t>A 6948-2019</t>
        </is>
      </c>
      <c r="B726" s="1" t="n">
        <v>43489</v>
      </c>
      <c r="C726" s="1" t="n">
        <v>45360</v>
      </c>
      <c r="D726" t="inlineStr">
        <is>
          <t>ÖREBRO LÄN</t>
        </is>
      </c>
      <c r="E726" t="inlineStr">
        <is>
          <t>LAXÅ</t>
        </is>
      </c>
      <c r="G726" t="n">
        <v>2</v>
      </c>
      <c r="H726" t="n">
        <v>0</v>
      </c>
      <c r="I726" t="n">
        <v>0</v>
      </c>
      <c r="J726" t="n">
        <v>0</v>
      </c>
      <c r="K726" t="n">
        <v>0</v>
      </c>
      <c r="L726" t="n">
        <v>0</v>
      </c>
      <c r="M726" t="n">
        <v>0</v>
      </c>
      <c r="N726" t="n">
        <v>0</v>
      </c>
      <c r="O726" t="n">
        <v>0</v>
      </c>
      <c r="P726" t="n">
        <v>0</v>
      </c>
      <c r="Q726" t="n">
        <v>0</v>
      </c>
      <c r="R726" s="2" t="inlineStr"/>
    </row>
    <row r="727" ht="15" customHeight="1">
      <c r="A727" t="inlineStr">
        <is>
          <t>A 5708-2019</t>
        </is>
      </c>
      <c r="B727" s="1" t="n">
        <v>43489</v>
      </c>
      <c r="C727" s="1" t="n">
        <v>45360</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8015-2019</t>
        </is>
      </c>
      <c r="B728" s="1" t="n">
        <v>43493</v>
      </c>
      <c r="C728" s="1" t="n">
        <v>45360</v>
      </c>
      <c r="D728" t="inlineStr">
        <is>
          <t>ÖREBRO LÄN</t>
        </is>
      </c>
      <c r="E728" t="inlineStr">
        <is>
          <t>HÄLLEFORS</t>
        </is>
      </c>
      <c r="G728" t="n">
        <v>11.1</v>
      </c>
      <c r="H728" t="n">
        <v>0</v>
      </c>
      <c r="I728" t="n">
        <v>0</v>
      </c>
      <c r="J728" t="n">
        <v>0</v>
      </c>
      <c r="K728" t="n">
        <v>0</v>
      </c>
      <c r="L728" t="n">
        <v>0</v>
      </c>
      <c r="M728" t="n">
        <v>0</v>
      </c>
      <c r="N728" t="n">
        <v>0</v>
      </c>
      <c r="O728" t="n">
        <v>0</v>
      </c>
      <c r="P728" t="n">
        <v>0</v>
      </c>
      <c r="Q728" t="n">
        <v>0</v>
      </c>
      <c r="R728" s="2" t="inlineStr"/>
    </row>
    <row r="729" ht="15" customHeight="1">
      <c r="A729" t="inlineStr">
        <is>
          <t>A 6096-2019</t>
        </is>
      </c>
      <c r="B729" s="1" t="n">
        <v>43493</v>
      </c>
      <c r="C729" s="1" t="n">
        <v>45360</v>
      </c>
      <c r="D729" t="inlineStr">
        <is>
          <t>ÖREBRO LÄN</t>
        </is>
      </c>
      <c r="E729" t="inlineStr">
        <is>
          <t>NORA</t>
        </is>
      </c>
      <c r="G729" t="n">
        <v>1.9</v>
      </c>
      <c r="H729" t="n">
        <v>0</v>
      </c>
      <c r="I729" t="n">
        <v>0</v>
      </c>
      <c r="J729" t="n">
        <v>0</v>
      </c>
      <c r="K729" t="n">
        <v>0</v>
      </c>
      <c r="L729" t="n">
        <v>0</v>
      </c>
      <c r="M729" t="n">
        <v>0</v>
      </c>
      <c r="N729" t="n">
        <v>0</v>
      </c>
      <c r="O729" t="n">
        <v>0</v>
      </c>
      <c r="P729" t="n">
        <v>0</v>
      </c>
      <c r="Q729" t="n">
        <v>0</v>
      </c>
      <c r="R729" s="2" t="inlineStr"/>
    </row>
    <row r="730" ht="15" customHeight="1">
      <c r="A730" t="inlineStr">
        <is>
          <t>A 6670-2019</t>
        </is>
      </c>
      <c r="B730" s="1" t="n">
        <v>43494</v>
      </c>
      <c r="C730" s="1" t="n">
        <v>45360</v>
      </c>
      <c r="D730" t="inlineStr">
        <is>
          <t>ÖREBRO LÄN</t>
        </is>
      </c>
      <c r="E730" t="inlineStr">
        <is>
          <t>LAXÅ</t>
        </is>
      </c>
      <c r="G730" t="n">
        <v>0.7</v>
      </c>
      <c r="H730" t="n">
        <v>0</v>
      </c>
      <c r="I730" t="n">
        <v>0</v>
      </c>
      <c r="J730" t="n">
        <v>0</v>
      </c>
      <c r="K730" t="n">
        <v>0</v>
      </c>
      <c r="L730" t="n">
        <v>0</v>
      </c>
      <c r="M730" t="n">
        <v>0</v>
      </c>
      <c r="N730" t="n">
        <v>0</v>
      </c>
      <c r="O730" t="n">
        <v>0</v>
      </c>
      <c r="P730" t="n">
        <v>0</v>
      </c>
      <c r="Q730" t="n">
        <v>0</v>
      </c>
      <c r="R730" s="2" t="inlineStr"/>
    </row>
    <row r="731" ht="15" customHeight="1">
      <c r="A731" t="inlineStr">
        <is>
          <t>A 6675-2019</t>
        </is>
      </c>
      <c r="B731" s="1" t="n">
        <v>43494</v>
      </c>
      <c r="C731" s="1" t="n">
        <v>45360</v>
      </c>
      <c r="D731" t="inlineStr">
        <is>
          <t>ÖREBRO LÄN</t>
        </is>
      </c>
      <c r="E731" t="inlineStr">
        <is>
          <t>LAXÅ</t>
        </is>
      </c>
      <c r="G731" t="n">
        <v>0.6</v>
      </c>
      <c r="H731" t="n">
        <v>0</v>
      </c>
      <c r="I731" t="n">
        <v>0</v>
      </c>
      <c r="J731" t="n">
        <v>0</v>
      </c>
      <c r="K731" t="n">
        <v>0</v>
      </c>
      <c r="L731" t="n">
        <v>0</v>
      </c>
      <c r="M731" t="n">
        <v>0</v>
      </c>
      <c r="N731" t="n">
        <v>0</v>
      </c>
      <c r="O731" t="n">
        <v>0</v>
      </c>
      <c r="P731" t="n">
        <v>0</v>
      </c>
      <c r="Q731" t="n">
        <v>0</v>
      </c>
      <c r="R731" s="2" t="inlineStr"/>
    </row>
    <row r="732" ht="15" customHeight="1">
      <c r="A732" t="inlineStr">
        <is>
          <t>A 6687-2019</t>
        </is>
      </c>
      <c r="B732" s="1" t="n">
        <v>43494</v>
      </c>
      <c r="C732" s="1" t="n">
        <v>45360</v>
      </c>
      <c r="D732" t="inlineStr">
        <is>
          <t>ÖREBRO LÄN</t>
        </is>
      </c>
      <c r="E732" t="inlineStr">
        <is>
          <t>ÖREBRO</t>
        </is>
      </c>
      <c r="G732" t="n">
        <v>1.1</v>
      </c>
      <c r="H732" t="n">
        <v>0</v>
      </c>
      <c r="I732" t="n">
        <v>0</v>
      </c>
      <c r="J732" t="n">
        <v>0</v>
      </c>
      <c r="K732" t="n">
        <v>0</v>
      </c>
      <c r="L732" t="n">
        <v>0</v>
      </c>
      <c r="M732" t="n">
        <v>0</v>
      </c>
      <c r="N732" t="n">
        <v>0</v>
      </c>
      <c r="O732" t="n">
        <v>0</v>
      </c>
      <c r="P732" t="n">
        <v>0</v>
      </c>
      <c r="Q732" t="n">
        <v>0</v>
      </c>
      <c r="R732" s="2" t="inlineStr"/>
    </row>
    <row r="733" ht="15" customHeight="1">
      <c r="A733" t="inlineStr">
        <is>
          <t>A 6403-2019</t>
        </is>
      </c>
      <c r="B733" s="1" t="n">
        <v>43494</v>
      </c>
      <c r="C733" s="1" t="n">
        <v>45360</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6699-2019</t>
        </is>
      </c>
      <c r="B734" s="1" t="n">
        <v>43494</v>
      </c>
      <c r="C734" s="1" t="n">
        <v>45360</v>
      </c>
      <c r="D734" t="inlineStr">
        <is>
          <t>ÖREBRO LÄN</t>
        </is>
      </c>
      <c r="E734" t="inlineStr">
        <is>
          <t>ÖREBRO</t>
        </is>
      </c>
      <c r="G734" t="n">
        <v>1.7</v>
      </c>
      <c r="H734" t="n">
        <v>0</v>
      </c>
      <c r="I734" t="n">
        <v>0</v>
      </c>
      <c r="J734" t="n">
        <v>0</v>
      </c>
      <c r="K734" t="n">
        <v>0</v>
      </c>
      <c r="L734" t="n">
        <v>0</v>
      </c>
      <c r="M734" t="n">
        <v>0</v>
      </c>
      <c r="N734" t="n">
        <v>0</v>
      </c>
      <c r="O734" t="n">
        <v>0</v>
      </c>
      <c r="P734" t="n">
        <v>0</v>
      </c>
      <c r="Q734" t="n">
        <v>0</v>
      </c>
      <c r="R734" s="2" t="inlineStr"/>
    </row>
    <row r="735" ht="15" customHeight="1">
      <c r="A735" t="inlineStr">
        <is>
          <t>A 7006-2019</t>
        </is>
      </c>
      <c r="B735" s="1" t="n">
        <v>43495</v>
      </c>
      <c r="C735" s="1" t="n">
        <v>45360</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7000-2019</t>
        </is>
      </c>
      <c r="B736" s="1" t="n">
        <v>43495</v>
      </c>
      <c r="C736" s="1" t="n">
        <v>45360</v>
      </c>
      <c r="D736" t="inlineStr">
        <is>
          <t>ÖREBRO LÄN</t>
        </is>
      </c>
      <c r="E736" t="inlineStr">
        <is>
          <t>ÖREBRO</t>
        </is>
      </c>
      <c r="G736" t="n">
        <v>1</v>
      </c>
      <c r="H736" t="n">
        <v>0</v>
      </c>
      <c r="I736" t="n">
        <v>0</v>
      </c>
      <c r="J736" t="n">
        <v>0</v>
      </c>
      <c r="K736" t="n">
        <v>0</v>
      </c>
      <c r="L736" t="n">
        <v>0</v>
      </c>
      <c r="M736" t="n">
        <v>0</v>
      </c>
      <c r="N736" t="n">
        <v>0</v>
      </c>
      <c r="O736" t="n">
        <v>0</v>
      </c>
      <c r="P736" t="n">
        <v>0</v>
      </c>
      <c r="Q736" t="n">
        <v>0</v>
      </c>
      <c r="R736" s="2" t="inlineStr"/>
    </row>
    <row r="737" ht="15" customHeight="1">
      <c r="A737" t="inlineStr">
        <is>
          <t>A 7004-2019</t>
        </is>
      </c>
      <c r="B737" s="1" t="n">
        <v>43495</v>
      </c>
      <c r="C737" s="1" t="n">
        <v>45360</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6998-2019</t>
        </is>
      </c>
      <c r="B738" s="1" t="n">
        <v>43495</v>
      </c>
      <c r="C738" s="1" t="n">
        <v>45360</v>
      </c>
      <c r="D738" t="inlineStr">
        <is>
          <t>ÖREBRO LÄN</t>
        </is>
      </c>
      <c r="E738" t="inlineStr">
        <is>
          <t>ÖREBRO</t>
        </is>
      </c>
      <c r="G738" t="n">
        <v>3.2</v>
      </c>
      <c r="H738" t="n">
        <v>0</v>
      </c>
      <c r="I738" t="n">
        <v>0</v>
      </c>
      <c r="J738" t="n">
        <v>0</v>
      </c>
      <c r="K738" t="n">
        <v>0</v>
      </c>
      <c r="L738" t="n">
        <v>0</v>
      </c>
      <c r="M738" t="n">
        <v>0</v>
      </c>
      <c r="N738" t="n">
        <v>0</v>
      </c>
      <c r="O738" t="n">
        <v>0</v>
      </c>
      <c r="P738" t="n">
        <v>0</v>
      </c>
      <c r="Q738" t="n">
        <v>0</v>
      </c>
      <c r="R738" s="2" t="inlineStr"/>
    </row>
    <row r="739" ht="15" customHeight="1">
      <c r="A739" t="inlineStr">
        <is>
          <t>A 7002-2019</t>
        </is>
      </c>
      <c r="B739" s="1" t="n">
        <v>43495</v>
      </c>
      <c r="C739" s="1" t="n">
        <v>45360</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6785-2019</t>
        </is>
      </c>
      <c r="B740" s="1" t="n">
        <v>43495</v>
      </c>
      <c r="C740" s="1" t="n">
        <v>45360</v>
      </c>
      <c r="D740" t="inlineStr">
        <is>
          <t>ÖREBRO LÄN</t>
        </is>
      </c>
      <c r="E740" t="inlineStr">
        <is>
          <t>LJUSNARSBERG</t>
        </is>
      </c>
      <c r="G740" t="n">
        <v>2.3</v>
      </c>
      <c r="H740" t="n">
        <v>0</v>
      </c>
      <c r="I740" t="n">
        <v>0</v>
      </c>
      <c r="J740" t="n">
        <v>0</v>
      </c>
      <c r="K740" t="n">
        <v>0</v>
      </c>
      <c r="L740" t="n">
        <v>0</v>
      </c>
      <c r="M740" t="n">
        <v>0</v>
      </c>
      <c r="N740" t="n">
        <v>0</v>
      </c>
      <c r="O740" t="n">
        <v>0</v>
      </c>
      <c r="P740" t="n">
        <v>0</v>
      </c>
      <c r="Q740" t="n">
        <v>0</v>
      </c>
      <c r="R740" s="2" t="inlineStr"/>
    </row>
    <row r="741" ht="15" customHeight="1">
      <c r="A741" t="inlineStr">
        <is>
          <t>A 8344-2019</t>
        </is>
      </c>
      <c r="B741" s="1" t="n">
        <v>43497</v>
      </c>
      <c r="C741" s="1" t="n">
        <v>45360</v>
      </c>
      <c r="D741" t="inlineStr">
        <is>
          <t>ÖREBRO LÄN</t>
        </is>
      </c>
      <c r="E741" t="inlineStr">
        <is>
          <t>DEGERFORS</t>
        </is>
      </c>
      <c r="G741" t="n">
        <v>2.8</v>
      </c>
      <c r="H741" t="n">
        <v>0</v>
      </c>
      <c r="I741" t="n">
        <v>0</v>
      </c>
      <c r="J741" t="n">
        <v>0</v>
      </c>
      <c r="K741" t="n">
        <v>0</v>
      </c>
      <c r="L741" t="n">
        <v>0</v>
      </c>
      <c r="M741" t="n">
        <v>0</v>
      </c>
      <c r="N741" t="n">
        <v>0</v>
      </c>
      <c r="O741" t="n">
        <v>0</v>
      </c>
      <c r="P741" t="n">
        <v>0</v>
      </c>
      <c r="Q741" t="n">
        <v>0</v>
      </c>
      <c r="R741" s="2" t="inlineStr"/>
    </row>
    <row r="742" ht="15" customHeight="1">
      <c r="A742" t="inlineStr">
        <is>
          <t>A 7408-2019</t>
        </is>
      </c>
      <c r="B742" s="1" t="n">
        <v>43497</v>
      </c>
      <c r="C742" s="1" t="n">
        <v>45360</v>
      </c>
      <c r="D742" t="inlineStr">
        <is>
          <t>ÖREBRO LÄN</t>
        </is>
      </c>
      <c r="E742" t="inlineStr">
        <is>
          <t>LINDESBERG</t>
        </is>
      </c>
      <c r="G742" t="n">
        <v>4.1</v>
      </c>
      <c r="H742" t="n">
        <v>0</v>
      </c>
      <c r="I742" t="n">
        <v>0</v>
      </c>
      <c r="J742" t="n">
        <v>0</v>
      </c>
      <c r="K742" t="n">
        <v>0</v>
      </c>
      <c r="L742" t="n">
        <v>0</v>
      </c>
      <c r="M742" t="n">
        <v>0</v>
      </c>
      <c r="N742" t="n">
        <v>0</v>
      </c>
      <c r="O742" t="n">
        <v>0</v>
      </c>
      <c r="P742" t="n">
        <v>0</v>
      </c>
      <c r="Q742" t="n">
        <v>0</v>
      </c>
      <c r="R742" s="2" t="inlineStr"/>
    </row>
    <row r="743" ht="15" customHeight="1">
      <c r="A743" t="inlineStr">
        <is>
          <t>A 7482-2019</t>
        </is>
      </c>
      <c r="B743" s="1" t="n">
        <v>43497</v>
      </c>
      <c r="C743" s="1" t="n">
        <v>45360</v>
      </c>
      <c r="D743" t="inlineStr">
        <is>
          <t>ÖREBRO LÄN</t>
        </is>
      </c>
      <c r="E743" t="inlineStr">
        <is>
          <t>NORA</t>
        </is>
      </c>
      <c r="G743" t="n">
        <v>2.5</v>
      </c>
      <c r="H743" t="n">
        <v>0</v>
      </c>
      <c r="I743" t="n">
        <v>0</v>
      </c>
      <c r="J743" t="n">
        <v>0</v>
      </c>
      <c r="K743" t="n">
        <v>0</v>
      </c>
      <c r="L743" t="n">
        <v>0</v>
      </c>
      <c r="M743" t="n">
        <v>0</v>
      </c>
      <c r="N743" t="n">
        <v>0</v>
      </c>
      <c r="O743" t="n">
        <v>0</v>
      </c>
      <c r="P743" t="n">
        <v>0</v>
      </c>
      <c r="Q743" t="n">
        <v>0</v>
      </c>
      <c r="R743" s="2" t="inlineStr"/>
    </row>
    <row r="744" ht="15" customHeight="1">
      <c r="A744" t="inlineStr">
        <is>
          <t>A 7662-2019</t>
        </is>
      </c>
      <c r="B744" s="1" t="n">
        <v>43500</v>
      </c>
      <c r="C744" s="1" t="n">
        <v>45360</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8697-2019</t>
        </is>
      </c>
      <c r="B745" s="1" t="n">
        <v>43501</v>
      </c>
      <c r="C745" s="1" t="n">
        <v>45360</v>
      </c>
      <c r="D745" t="inlineStr">
        <is>
          <t>ÖREBRO LÄN</t>
        </is>
      </c>
      <c r="E745" t="inlineStr">
        <is>
          <t>DEGERFORS</t>
        </is>
      </c>
      <c r="G745" t="n">
        <v>6.8</v>
      </c>
      <c r="H745" t="n">
        <v>0</v>
      </c>
      <c r="I745" t="n">
        <v>0</v>
      </c>
      <c r="J745" t="n">
        <v>0</v>
      </c>
      <c r="K745" t="n">
        <v>0</v>
      </c>
      <c r="L745" t="n">
        <v>0</v>
      </c>
      <c r="M745" t="n">
        <v>0</v>
      </c>
      <c r="N745" t="n">
        <v>0</v>
      </c>
      <c r="O745" t="n">
        <v>0</v>
      </c>
      <c r="P745" t="n">
        <v>0</v>
      </c>
      <c r="Q745" t="n">
        <v>0</v>
      </c>
      <c r="R745" s="2" t="inlineStr"/>
    </row>
    <row r="746" ht="15" customHeight="1">
      <c r="A746" t="inlineStr">
        <is>
          <t>A 8684-2019</t>
        </is>
      </c>
      <c r="B746" s="1" t="n">
        <v>43501</v>
      </c>
      <c r="C746" s="1" t="n">
        <v>45360</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8699-2019</t>
        </is>
      </c>
      <c r="B747" s="1" t="n">
        <v>43501</v>
      </c>
      <c r="C747" s="1" t="n">
        <v>45360</v>
      </c>
      <c r="D747" t="inlineStr">
        <is>
          <t>ÖREBRO LÄN</t>
        </is>
      </c>
      <c r="E747" t="inlineStr">
        <is>
          <t>DEGERFORS</t>
        </is>
      </c>
      <c r="G747" t="n">
        <v>4.8</v>
      </c>
      <c r="H747" t="n">
        <v>0</v>
      </c>
      <c r="I747" t="n">
        <v>0</v>
      </c>
      <c r="J747" t="n">
        <v>0</v>
      </c>
      <c r="K747" t="n">
        <v>0</v>
      </c>
      <c r="L747" t="n">
        <v>0</v>
      </c>
      <c r="M747" t="n">
        <v>0</v>
      </c>
      <c r="N747" t="n">
        <v>0</v>
      </c>
      <c r="O747" t="n">
        <v>0</v>
      </c>
      <c r="P747" t="n">
        <v>0</v>
      </c>
      <c r="Q747" t="n">
        <v>0</v>
      </c>
      <c r="R747" s="2" t="inlineStr"/>
    </row>
    <row r="748" ht="15" customHeight="1">
      <c r="A748" t="inlineStr">
        <is>
          <t>A 8700-2019</t>
        </is>
      </c>
      <c r="B748" s="1" t="n">
        <v>43501</v>
      </c>
      <c r="C748" s="1" t="n">
        <v>45360</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8679-2019</t>
        </is>
      </c>
      <c r="B749" s="1" t="n">
        <v>43501</v>
      </c>
      <c r="C749" s="1" t="n">
        <v>45360</v>
      </c>
      <c r="D749" t="inlineStr">
        <is>
          <t>ÖREBRO LÄN</t>
        </is>
      </c>
      <c r="E749" t="inlineStr">
        <is>
          <t>DEGERFORS</t>
        </is>
      </c>
      <c r="G749" t="n">
        <v>0.8</v>
      </c>
      <c r="H749" t="n">
        <v>0</v>
      </c>
      <c r="I749" t="n">
        <v>0</v>
      </c>
      <c r="J749" t="n">
        <v>0</v>
      </c>
      <c r="K749" t="n">
        <v>0</v>
      </c>
      <c r="L749" t="n">
        <v>0</v>
      </c>
      <c r="M749" t="n">
        <v>0</v>
      </c>
      <c r="N749" t="n">
        <v>0</v>
      </c>
      <c r="O749" t="n">
        <v>0</v>
      </c>
      <c r="P749" t="n">
        <v>0</v>
      </c>
      <c r="Q749" t="n">
        <v>0</v>
      </c>
      <c r="R749" s="2" t="inlineStr"/>
    </row>
    <row r="750" ht="15" customHeight="1">
      <c r="A750" t="inlineStr">
        <is>
          <t>A 8245-2019</t>
        </is>
      </c>
      <c r="B750" s="1" t="n">
        <v>43501</v>
      </c>
      <c r="C750" s="1" t="n">
        <v>45360</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8533-2019</t>
        </is>
      </c>
      <c r="B751" s="1" t="n">
        <v>43502</v>
      </c>
      <c r="C751" s="1" t="n">
        <v>45360</v>
      </c>
      <c r="D751" t="inlineStr">
        <is>
          <t>ÖREBRO LÄN</t>
        </is>
      </c>
      <c r="E751" t="inlineStr">
        <is>
          <t>LJUSNARSBERG</t>
        </is>
      </c>
      <c r="G751" t="n">
        <v>11.3</v>
      </c>
      <c r="H751" t="n">
        <v>0</v>
      </c>
      <c r="I751" t="n">
        <v>0</v>
      </c>
      <c r="J751" t="n">
        <v>0</v>
      </c>
      <c r="K751" t="n">
        <v>0</v>
      </c>
      <c r="L751" t="n">
        <v>0</v>
      </c>
      <c r="M751" t="n">
        <v>0</v>
      </c>
      <c r="N751" t="n">
        <v>0</v>
      </c>
      <c r="O751" t="n">
        <v>0</v>
      </c>
      <c r="P751" t="n">
        <v>0</v>
      </c>
      <c r="Q751" t="n">
        <v>0</v>
      </c>
      <c r="R751" s="2" t="inlineStr"/>
    </row>
    <row r="752" ht="15" customHeight="1">
      <c r="A752" t="inlineStr">
        <is>
          <t>A 8537-2019</t>
        </is>
      </c>
      <c r="B752" s="1" t="n">
        <v>43502</v>
      </c>
      <c r="C752" s="1" t="n">
        <v>45360</v>
      </c>
      <c r="D752" t="inlineStr">
        <is>
          <t>ÖREBRO LÄN</t>
        </is>
      </c>
      <c r="E752" t="inlineStr">
        <is>
          <t>LJUSNARSBERG</t>
        </is>
      </c>
      <c r="G752" t="n">
        <v>7</v>
      </c>
      <c r="H752" t="n">
        <v>0</v>
      </c>
      <c r="I752" t="n">
        <v>0</v>
      </c>
      <c r="J752" t="n">
        <v>0</v>
      </c>
      <c r="K752" t="n">
        <v>0</v>
      </c>
      <c r="L752" t="n">
        <v>0</v>
      </c>
      <c r="M752" t="n">
        <v>0</v>
      </c>
      <c r="N752" t="n">
        <v>0</v>
      </c>
      <c r="O752" t="n">
        <v>0</v>
      </c>
      <c r="P752" t="n">
        <v>0</v>
      </c>
      <c r="Q752" t="n">
        <v>0</v>
      </c>
      <c r="R752" s="2" t="inlineStr"/>
    </row>
    <row r="753" ht="15" customHeight="1">
      <c r="A753" t="inlineStr">
        <is>
          <t>A 8529-2019</t>
        </is>
      </c>
      <c r="B753" s="1" t="n">
        <v>43502</v>
      </c>
      <c r="C753" s="1" t="n">
        <v>45360</v>
      </c>
      <c r="D753" t="inlineStr">
        <is>
          <t>ÖREBRO LÄN</t>
        </is>
      </c>
      <c r="E753" t="inlineStr">
        <is>
          <t>LJUSNARSBERG</t>
        </is>
      </c>
      <c r="G753" t="n">
        <v>13.5</v>
      </c>
      <c r="H753" t="n">
        <v>0</v>
      </c>
      <c r="I753" t="n">
        <v>0</v>
      </c>
      <c r="J753" t="n">
        <v>0</v>
      </c>
      <c r="K753" t="n">
        <v>0</v>
      </c>
      <c r="L753" t="n">
        <v>0</v>
      </c>
      <c r="M753" t="n">
        <v>0</v>
      </c>
      <c r="N753" t="n">
        <v>0</v>
      </c>
      <c r="O753" t="n">
        <v>0</v>
      </c>
      <c r="P753" t="n">
        <v>0</v>
      </c>
      <c r="Q753" t="n">
        <v>0</v>
      </c>
      <c r="R753" s="2" t="inlineStr"/>
    </row>
    <row r="754" ht="15" customHeight="1">
      <c r="A754" t="inlineStr">
        <is>
          <t>A 8967-2019</t>
        </is>
      </c>
      <c r="B754" s="1" t="n">
        <v>43504</v>
      </c>
      <c r="C754" s="1" t="n">
        <v>45360</v>
      </c>
      <c r="D754" t="inlineStr">
        <is>
          <t>ÖREBRO LÄN</t>
        </is>
      </c>
      <c r="E754" t="inlineStr">
        <is>
          <t>LJUSNARSBERG</t>
        </is>
      </c>
      <c r="G754" t="n">
        <v>0.5</v>
      </c>
      <c r="H754" t="n">
        <v>0</v>
      </c>
      <c r="I754" t="n">
        <v>0</v>
      </c>
      <c r="J754" t="n">
        <v>0</v>
      </c>
      <c r="K754" t="n">
        <v>0</v>
      </c>
      <c r="L754" t="n">
        <v>0</v>
      </c>
      <c r="M754" t="n">
        <v>0</v>
      </c>
      <c r="N754" t="n">
        <v>0</v>
      </c>
      <c r="O754" t="n">
        <v>0</v>
      </c>
      <c r="P754" t="n">
        <v>0</v>
      </c>
      <c r="Q754" t="n">
        <v>0</v>
      </c>
      <c r="R754" s="2" t="inlineStr"/>
    </row>
    <row r="755" ht="15" customHeight="1">
      <c r="A755" t="inlineStr">
        <is>
          <t>A 9003-2019</t>
        </is>
      </c>
      <c r="B755" s="1" t="n">
        <v>43504</v>
      </c>
      <c r="C755" s="1" t="n">
        <v>45360</v>
      </c>
      <c r="D755" t="inlineStr">
        <is>
          <t>ÖREBRO LÄN</t>
        </is>
      </c>
      <c r="E755" t="inlineStr">
        <is>
          <t>DEGERFORS</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9101-2019</t>
        </is>
      </c>
      <c r="B756" s="1" t="n">
        <v>43504</v>
      </c>
      <c r="C756" s="1" t="n">
        <v>45360</v>
      </c>
      <c r="D756" t="inlineStr">
        <is>
          <t>ÖREBRO LÄN</t>
        </is>
      </c>
      <c r="E756" t="inlineStr">
        <is>
          <t>LINDESBERG</t>
        </is>
      </c>
      <c r="G756" t="n">
        <v>6.8</v>
      </c>
      <c r="H756" t="n">
        <v>0</v>
      </c>
      <c r="I756" t="n">
        <v>0</v>
      </c>
      <c r="J756" t="n">
        <v>0</v>
      </c>
      <c r="K756" t="n">
        <v>0</v>
      </c>
      <c r="L756" t="n">
        <v>0</v>
      </c>
      <c r="M756" t="n">
        <v>0</v>
      </c>
      <c r="N756" t="n">
        <v>0</v>
      </c>
      <c r="O756" t="n">
        <v>0</v>
      </c>
      <c r="P756" t="n">
        <v>0</v>
      </c>
      <c r="Q756" t="n">
        <v>0</v>
      </c>
      <c r="R756" s="2" t="inlineStr"/>
    </row>
    <row r="757" ht="15" customHeight="1">
      <c r="A757" t="inlineStr">
        <is>
          <t>A 8999-2019</t>
        </is>
      </c>
      <c r="B757" s="1" t="n">
        <v>43504</v>
      </c>
      <c r="C757" s="1" t="n">
        <v>45360</v>
      </c>
      <c r="D757" t="inlineStr">
        <is>
          <t>ÖREBRO LÄN</t>
        </is>
      </c>
      <c r="E757" t="inlineStr">
        <is>
          <t>DEGERFORS</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9224-2019</t>
        </is>
      </c>
      <c r="B758" s="1" t="n">
        <v>43506</v>
      </c>
      <c r="C758" s="1" t="n">
        <v>45360</v>
      </c>
      <c r="D758" t="inlineStr">
        <is>
          <t>ÖREBRO LÄN</t>
        </is>
      </c>
      <c r="E758" t="inlineStr">
        <is>
          <t>HALLSBERG</t>
        </is>
      </c>
      <c r="G758" t="n">
        <v>3.2</v>
      </c>
      <c r="H758" t="n">
        <v>0</v>
      </c>
      <c r="I758" t="n">
        <v>0</v>
      </c>
      <c r="J758" t="n">
        <v>0</v>
      </c>
      <c r="K758" t="n">
        <v>0</v>
      </c>
      <c r="L758" t="n">
        <v>0</v>
      </c>
      <c r="M758" t="n">
        <v>0</v>
      </c>
      <c r="N758" t="n">
        <v>0</v>
      </c>
      <c r="O758" t="n">
        <v>0</v>
      </c>
      <c r="P758" t="n">
        <v>0</v>
      </c>
      <c r="Q758" t="n">
        <v>0</v>
      </c>
      <c r="R758" s="2" t="inlineStr"/>
    </row>
    <row r="759" ht="15" customHeight="1">
      <c r="A759" t="inlineStr">
        <is>
          <t>A 9588-2019</t>
        </is>
      </c>
      <c r="B759" s="1" t="n">
        <v>43508</v>
      </c>
      <c r="C759" s="1" t="n">
        <v>45360</v>
      </c>
      <c r="D759" t="inlineStr">
        <is>
          <t>ÖREBRO LÄN</t>
        </is>
      </c>
      <c r="E759" t="inlineStr">
        <is>
          <t>ÖREBRO</t>
        </is>
      </c>
      <c r="G759" t="n">
        <v>3.5</v>
      </c>
      <c r="H759" t="n">
        <v>0</v>
      </c>
      <c r="I759" t="n">
        <v>0</v>
      </c>
      <c r="J759" t="n">
        <v>0</v>
      </c>
      <c r="K759" t="n">
        <v>0</v>
      </c>
      <c r="L759" t="n">
        <v>0</v>
      </c>
      <c r="M759" t="n">
        <v>0</v>
      </c>
      <c r="N759" t="n">
        <v>0</v>
      </c>
      <c r="O759" t="n">
        <v>0</v>
      </c>
      <c r="P759" t="n">
        <v>0</v>
      </c>
      <c r="Q759" t="n">
        <v>0</v>
      </c>
      <c r="R759" s="2" t="inlineStr"/>
    </row>
    <row r="760" ht="15" customHeight="1">
      <c r="A760" t="inlineStr">
        <is>
          <t>A 9575-2019</t>
        </is>
      </c>
      <c r="B760" s="1" t="n">
        <v>43508</v>
      </c>
      <c r="C760" s="1" t="n">
        <v>45360</v>
      </c>
      <c r="D760" t="inlineStr">
        <is>
          <t>ÖREBRO LÄN</t>
        </is>
      </c>
      <c r="E760" t="inlineStr">
        <is>
          <t>LAXÅ</t>
        </is>
      </c>
      <c r="G760" t="n">
        <v>5.3</v>
      </c>
      <c r="H760" t="n">
        <v>0</v>
      </c>
      <c r="I760" t="n">
        <v>0</v>
      </c>
      <c r="J760" t="n">
        <v>0</v>
      </c>
      <c r="K760" t="n">
        <v>0</v>
      </c>
      <c r="L760" t="n">
        <v>0</v>
      </c>
      <c r="M760" t="n">
        <v>0</v>
      </c>
      <c r="N760" t="n">
        <v>0</v>
      </c>
      <c r="O760" t="n">
        <v>0</v>
      </c>
      <c r="P760" t="n">
        <v>0</v>
      </c>
      <c r="Q760" t="n">
        <v>0</v>
      </c>
      <c r="R760" s="2" t="inlineStr"/>
    </row>
    <row r="761" ht="15" customHeight="1">
      <c r="A761" t="inlineStr">
        <is>
          <t>A 9718-2019</t>
        </is>
      </c>
      <c r="B761" s="1" t="n">
        <v>43508</v>
      </c>
      <c r="C761" s="1" t="n">
        <v>45360</v>
      </c>
      <c r="D761" t="inlineStr">
        <is>
          <t>ÖREBRO LÄN</t>
        </is>
      </c>
      <c r="E761" t="inlineStr">
        <is>
          <t>LINDESBERG</t>
        </is>
      </c>
      <c r="G761" t="n">
        <v>4.3</v>
      </c>
      <c r="H761" t="n">
        <v>0</v>
      </c>
      <c r="I761" t="n">
        <v>0</v>
      </c>
      <c r="J761" t="n">
        <v>0</v>
      </c>
      <c r="K761" t="n">
        <v>0</v>
      </c>
      <c r="L761" t="n">
        <v>0</v>
      </c>
      <c r="M761" t="n">
        <v>0</v>
      </c>
      <c r="N761" t="n">
        <v>0</v>
      </c>
      <c r="O761" t="n">
        <v>0</v>
      </c>
      <c r="P761" t="n">
        <v>0</v>
      </c>
      <c r="Q761" t="n">
        <v>0</v>
      </c>
      <c r="R761" s="2" t="inlineStr"/>
    </row>
    <row r="762" ht="15" customHeight="1">
      <c r="A762" t="inlineStr">
        <is>
          <t>A 9818-2019</t>
        </is>
      </c>
      <c r="B762" s="1" t="n">
        <v>43509</v>
      </c>
      <c r="C762" s="1" t="n">
        <v>45360</v>
      </c>
      <c r="D762" t="inlineStr">
        <is>
          <t>ÖREBRO LÄN</t>
        </is>
      </c>
      <c r="E762" t="inlineStr">
        <is>
          <t>HALLSBERG</t>
        </is>
      </c>
      <c r="G762" t="n">
        <v>1</v>
      </c>
      <c r="H762" t="n">
        <v>0</v>
      </c>
      <c r="I762" t="n">
        <v>0</v>
      </c>
      <c r="J762" t="n">
        <v>0</v>
      </c>
      <c r="K762" t="n">
        <v>0</v>
      </c>
      <c r="L762" t="n">
        <v>0</v>
      </c>
      <c r="M762" t="n">
        <v>0</v>
      </c>
      <c r="N762" t="n">
        <v>0</v>
      </c>
      <c r="O762" t="n">
        <v>0</v>
      </c>
      <c r="P762" t="n">
        <v>0</v>
      </c>
      <c r="Q762" t="n">
        <v>0</v>
      </c>
      <c r="R762" s="2" t="inlineStr"/>
    </row>
    <row r="763" ht="15" customHeight="1">
      <c r="A763" t="inlineStr">
        <is>
          <t>A 9808-2019</t>
        </is>
      </c>
      <c r="B763" s="1" t="n">
        <v>43509</v>
      </c>
      <c r="C763" s="1" t="n">
        <v>45360</v>
      </c>
      <c r="D763" t="inlineStr">
        <is>
          <t>ÖREBRO LÄN</t>
        </is>
      </c>
      <c r="E763" t="inlineStr">
        <is>
          <t>HALLSBERG</t>
        </is>
      </c>
      <c r="G763" t="n">
        <v>7.9</v>
      </c>
      <c r="H763" t="n">
        <v>0</v>
      </c>
      <c r="I763" t="n">
        <v>0</v>
      </c>
      <c r="J763" t="n">
        <v>0</v>
      </c>
      <c r="K763" t="n">
        <v>0</v>
      </c>
      <c r="L763" t="n">
        <v>0</v>
      </c>
      <c r="M763" t="n">
        <v>0</v>
      </c>
      <c r="N763" t="n">
        <v>0</v>
      </c>
      <c r="O763" t="n">
        <v>0</v>
      </c>
      <c r="P763" t="n">
        <v>0</v>
      </c>
      <c r="Q763" t="n">
        <v>0</v>
      </c>
      <c r="R763" s="2" t="inlineStr"/>
    </row>
    <row r="764" ht="15" customHeight="1">
      <c r="A764" t="inlineStr">
        <is>
          <t>A 9907-2019</t>
        </is>
      </c>
      <c r="B764" s="1" t="n">
        <v>43509</v>
      </c>
      <c r="C764" s="1" t="n">
        <v>45360</v>
      </c>
      <c r="D764" t="inlineStr">
        <is>
          <t>ÖREBRO LÄN</t>
        </is>
      </c>
      <c r="E764" t="inlineStr">
        <is>
          <t>ASKERSUND</t>
        </is>
      </c>
      <c r="G764" t="n">
        <v>3.5</v>
      </c>
      <c r="H764" t="n">
        <v>0</v>
      </c>
      <c r="I764" t="n">
        <v>0</v>
      </c>
      <c r="J764" t="n">
        <v>0</v>
      </c>
      <c r="K764" t="n">
        <v>0</v>
      </c>
      <c r="L764" t="n">
        <v>0</v>
      </c>
      <c r="M764" t="n">
        <v>0</v>
      </c>
      <c r="N764" t="n">
        <v>0</v>
      </c>
      <c r="O764" t="n">
        <v>0</v>
      </c>
      <c r="P764" t="n">
        <v>0</v>
      </c>
      <c r="Q764" t="n">
        <v>0</v>
      </c>
      <c r="R764" s="2" t="inlineStr"/>
    </row>
    <row r="765" ht="15" customHeight="1">
      <c r="A765" t="inlineStr">
        <is>
          <t>A 9816-2019</t>
        </is>
      </c>
      <c r="B765" s="1" t="n">
        <v>43509</v>
      </c>
      <c r="C765" s="1" t="n">
        <v>45360</v>
      </c>
      <c r="D765" t="inlineStr">
        <is>
          <t>ÖREBRO LÄN</t>
        </is>
      </c>
      <c r="E765" t="inlineStr">
        <is>
          <t>HALLSBERG</t>
        </is>
      </c>
      <c r="G765" t="n">
        <v>1.6</v>
      </c>
      <c r="H765" t="n">
        <v>0</v>
      </c>
      <c r="I765" t="n">
        <v>0</v>
      </c>
      <c r="J765" t="n">
        <v>0</v>
      </c>
      <c r="K765" t="n">
        <v>0</v>
      </c>
      <c r="L765" t="n">
        <v>0</v>
      </c>
      <c r="M765" t="n">
        <v>0</v>
      </c>
      <c r="N765" t="n">
        <v>0</v>
      </c>
      <c r="O765" t="n">
        <v>0</v>
      </c>
      <c r="P765" t="n">
        <v>0</v>
      </c>
      <c r="Q765" t="n">
        <v>0</v>
      </c>
      <c r="R765" s="2" t="inlineStr"/>
    </row>
    <row r="766" ht="15" customHeight="1">
      <c r="A766" t="inlineStr">
        <is>
          <t>A 10082-2019</t>
        </is>
      </c>
      <c r="B766" s="1" t="n">
        <v>43510</v>
      </c>
      <c r="C766" s="1" t="n">
        <v>45360</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10215-2019</t>
        </is>
      </c>
      <c r="B767" s="1" t="n">
        <v>43510</v>
      </c>
      <c r="C767" s="1" t="n">
        <v>45360</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10682-2019</t>
        </is>
      </c>
      <c r="B768" s="1" t="n">
        <v>43514</v>
      </c>
      <c r="C768" s="1" t="n">
        <v>45360</v>
      </c>
      <c r="D768" t="inlineStr">
        <is>
          <t>ÖREBRO LÄN</t>
        </is>
      </c>
      <c r="E768" t="inlineStr">
        <is>
          <t>ÖREBRO</t>
        </is>
      </c>
      <c r="G768" t="n">
        <v>5.8</v>
      </c>
      <c r="H768" t="n">
        <v>0</v>
      </c>
      <c r="I768" t="n">
        <v>0</v>
      </c>
      <c r="J768" t="n">
        <v>0</v>
      </c>
      <c r="K768" t="n">
        <v>0</v>
      </c>
      <c r="L768" t="n">
        <v>0</v>
      </c>
      <c r="M768" t="n">
        <v>0</v>
      </c>
      <c r="N768" t="n">
        <v>0</v>
      </c>
      <c r="O768" t="n">
        <v>0</v>
      </c>
      <c r="P768" t="n">
        <v>0</v>
      </c>
      <c r="Q768" t="n">
        <v>0</v>
      </c>
      <c r="R768" s="2" t="inlineStr"/>
    </row>
    <row r="769" ht="15" customHeight="1">
      <c r="A769" t="inlineStr">
        <is>
          <t>A 10615-2019</t>
        </is>
      </c>
      <c r="B769" s="1" t="n">
        <v>43514</v>
      </c>
      <c r="C769" s="1" t="n">
        <v>45360</v>
      </c>
      <c r="D769" t="inlineStr">
        <is>
          <t>ÖREBRO LÄN</t>
        </is>
      </c>
      <c r="E769" t="inlineStr">
        <is>
          <t>ÖREBRO</t>
        </is>
      </c>
      <c r="G769" t="n">
        <v>4.4</v>
      </c>
      <c r="H769" t="n">
        <v>0</v>
      </c>
      <c r="I769" t="n">
        <v>0</v>
      </c>
      <c r="J769" t="n">
        <v>0</v>
      </c>
      <c r="K769" t="n">
        <v>0</v>
      </c>
      <c r="L769" t="n">
        <v>0</v>
      </c>
      <c r="M769" t="n">
        <v>0</v>
      </c>
      <c r="N769" t="n">
        <v>0</v>
      </c>
      <c r="O769" t="n">
        <v>0</v>
      </c>
      <c r="P769" t="n">
        <v>0</v>
      </c>
      <c r="Q769" t="n">
        <v>0</v>
      </c>
      <c r="R769" s="2" t="inlineStr"/>
    </row>
    <row r="770" ht="15" customHeight="1">
      <c r="A770" t="inlineStr">
        <is>
          <t>A 10833-2019</t>
        </is>
      </c>
      <c r="B770" s="1" t="n">
        <v>43514</v>
      </c>
      <c r="C770" s="1" t="n">
        <v>45360</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10897-2019</t>
        </is>
      </c>
      <c r="B771" s="1" t="n">
        <v>43514</v>
      </c>
      <c r="C771" s="1" t="n">
        <v>45360</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11047-2019</t>
        </is>
      </c>
      <c r="B772" s="1" t="n">
        <v>43515</v>
      </c>
      <c r="C772" s="1" t="n">
        <v>45360</v>
      </c>
      <c r="D772" t="inlineStr">
        <is>
          <t>ÖREBRO LÄN</t>
        </is>
      </c>
      <c r="E772" t="inlineStr">
        <is>
          <t>HALLSBERG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10964-2019</t>
        </is>
      </c>
      <c r="B773" s="1" t="n">
        <v>43515</v>
      </c>
      <c r="C773" s="1" t="n">
        <v>45360</v>
      </c>
      <c r="D773" t="inlineStr">
        <is>
          <t>ÖREBRO LÄN</t>
        </is>
      </c>
      <c r="E773" t="inlineStr">
        <is>
          <t>LAXÅ</t>
        </is>
      </c>
      <c r="G773" t="n">
        <v>1.6</v>
      </c>
      <c r="H773" t="n">
        <v>0</v>
      </c>
      <c r="I773" t="n">
        <v>0</v>
      </c>
      <c r="J773" t="n">
        <v>0</v>
      </c>
      <c r="K773" t="n">
        <v>0</v>
      </c>
      <c r="L773" t="n">
        <v>0</v>
      </c>
      <c r="M773" t="n">
        <v>0</v>
      </c>
      <c r="N773" t="n">
        <v>0</v>
      </c>
      <c r="O773" t="n">
        <v>0</v>
      </c>
      <c r="P773" t="n">
        <v>0</v>
      </c>
      <c r="Q773" t="n">
        <v>0</v>
      </c>
      <c r="R773" s="2" t="inlineStr"/>
    </row>
    <row r="774" ht="15" customHeight="1">
      <c r="A774" t="inlineStr">
        <is>
          <t>A 11158-2019</t>
        </is>
      </c>
      <c r="B774" s="1" t="n">
        <v>43516</v>
      </c>
      <c r="C774" s="1" t="n">
        <v>45360</v>
      </c>
      <c r="D774" t="inlineStr">
        <is>
          <t>ÖREBRO LÄN</t>
        </is>
      </c>
      <c r="E774" t="inlineStr">
        <is>
          <t>ÖREBRO</t>
        </is>
      </c>
      <c r="G774" t="n">
        <v>0.8</v>
      </c>
      <c r="H774" t="n">
        <v>0</v>
      </c>
      <c r="I774" t="n">
        <v>0</v>
      </c>
      <c r="J774" t="n">
        <v>0</v>
      </c>
      <c r="K774" t="n">
        <v>0</v>
      </c>
      <c r="L774" t="n">
        <v>0</v>
      </c>
      <c r="M774" t="n">
        <v>0</v>
      </c>
      <c r="N774" t="n">
        <v>0</v>
      </c>
      <c r="O774" t="n">
        <v>0</v>
      </c>
      <c r="P774" t="n">
        <v>0</v>
      </c>
      <c r="Q774" t="n">
        <v>0</v>
      </c>
      <c r="R774" s="2" t="inlineStr"/>
    </row>
    <row r="775" ht="15" customHeight="1">
      <c r="A775" t="inlineStr">
        <is>
          <t>A 11144-2019</t>
        </is>
      </c>
      <c r="B775" s="1" t="n">
        <v>43516</v>
      </c>
      <c r="C775" s="1" t="n">
        <v>45360</v>
      </c>
      <c r="D775" t="inlineStr">
        <is>
          <t>ÖREBRO LÄN</t>
        </is>
      </c>
      <c r="E775" t="inlineStr">
        <is>
          <t>ASKERSUND</t>
        </is>
      </c>
      <c r="G775" t="n">
        <v>3.4</v>
      </c>
      <c r="H775" t="n">
        <v>0</v>
      </c>
      <c r="I775" t="n">
        <v>0</v>
      </c>
      <c r="J775" t="n">
        <v>0</v>
      </c>
      <c r="K775" t="n">
        <v>0</v>
      </c>
      <c r="L775" t="n">
        <v>0</v>
      </c>
      <c r="M775" t="n">
        <v>0</v>
      </c>
      <c r="N775" t="n">
        <v>0</v>
      </c>
      <c r="O775" t="n">
        <v>0</v>
      </c>
      <c r="P775" t="n">
        <v>0</v>
      </c>
      <c r="Q775" t="n">
        <v>0</v>
      </c>
      <c r="R775" s="2" t="inlineStr"/>
    </row>
    <row r="776" ht="15" customHeight="1">
      <c r="A776" t="inlineStr">
        <is>
          <t>A 11304-2019</t>
        </is>
      </c>
      <c r="B776" s="1" t="n">
        <v>43516</v>
      </c>
      <c r="C776" s="1" t="n">
        <v>45360</v>
      </c>
      <c r="D776" t="inlineStr">
        <is>
          <t>ÖREBRO LÄN</t>
        </is>
      </c>
      <c r="E776" t="inlineStr">
        <is>
          <t>HALLSBERG</t>
        </is>
      </c>
      <c r="G776" t="n">
        <v>1.5</v>
      </c>
      <c r="H776" t="n">
        <v>0</v>
      </c>
      <c r="I776" t="n">
        <v>0</v>
      </c>
      <c r="J776" t="n">
        <v>0</v>
      </c>
      <c r="K776" t="n">
        <v>0</v>
      </c>
      <c r="L776" t="n">
        <v>0</v>
      </c>
      <c r="M776" t="n">
        <v>0</v>
      </c>
      <c r="N776" t="n">
        <v>0</v>
      </c>
      <c r="O776" t="n">
        <v>0</v>
      </c>
      <c r="P776" t="n">
        <v>0</v>
      </c>
      <c r="Q776" t="n">
        <v>0</v>
      </c>
      <c r="R776" s="2" t="inlineStr"/>
    </row>
    <row r="777" ht="15" customHeight="1">
      <c r="A777" t="inlineStr">
        <is>
          <t>A 11604-2019</t>
        </is>
      </c>
      <c r="B777" s="1" t="n">
        <v>43517</v>
      </c>
      <c r="C777" s="1" t="n">
        <v>45360</v>
      </c>
      <c r="D777" t="inlineStr">
        <is>
          <t>ÖREBRO LÄN</t>
        </is>
      </c>
      <c r="E777" t="inlineStr">
        <is>
          <t>LJUSNARSBERG</t>
        </is>
      </c>
      <c r="G777" t="n">
        <v>13.4</v>
      </c>
      <c r="H777" t="n">
        <v>0</v>
      </c>
      <c r="I777" t="n">
        <v>0</v>
      </c>
      <c r="J777" t="n">
        <v>0</v>
      </c>
      <c r="K777" t="n">
        <v>0</v>
      </c>
      <c r="L777" t="n">
        <v>0</v>
      </c>
      <c r="M777" t="n">
        <v>0</v>
      </c>
      <c r="N777" t="n">
        <v>0</v>
      </c>
      <c r="O777" t="n">
        <v>0</v>
      </c>
      <c r="P777" t="n">
        <v>0</v>
      </c>
      <c r="Q777" t="n">
        <v>0</v>
      </c>
      <c r="R777" s="2" t="inlineStr"/>
    </row>
    <row r="778" ht="15" customHeight="1">
      <c r="A778" t="inlineStr">
        <is>
          <t>A 11589-2019</t>
        </is>
      </c>
      <c r="B778" s="1" t="n">
        <v>43518</v>
      </c>
      <c r="C778" s="1" t="n">
        <v>45360</v>
      </c>
      <c r="D778" t="inlineStr">
        <is>
          <t>ÖREBRO LÄN</t>
        </is>
      </c>
      <c r="E778" t="inlineStr">
        <is>
          <t>ÖREBRO</t>
        </is>
      </c>
      <c r="G778" t="n">
        <v>1.1</v>
      </c>
      <c r="H778" t="n">
        <v>0</v>
      </c>
      <c r="I778" t="n">
        <v>0</v>
      </c>
      <c r="J778" t="n">
        <v>0</v>
      </c>
      <c r="K778" t="n">
        <v>0</v>
      </c>
      <c r="L778" t="n">
        <v>0</v>
      </c>
      <c r="M778" t="n">
        <v>0</v>
      </c>
      <c r="N778" t="n">
        <v>0</v>
      </c>
      <c r="O778" t="n">
        <v>0</v>
      </c>
      <c r="P778" t="n">
        <v>0</v>
      </c>
      <c r="Q778" t="n">
        <v>0</v>
      </c>
      <c r="R778" s="2" t="inlineStr"/>
    </row>
    <row r="779" ht="15" customHeight="1">
      <c r="A779" t="inlineStr">
        <is>
          <t>A 11637-2019</t>
        </is>
      </c>
      <c r="B779" s="1" t="n">
        <v>43518</v>
      </c>
      <c r="C779" s="1" t="n">
        <v>45360</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11653-2019</t>
        </is>
      </c>
      <c r="B780" s="1" t="n">
        <v>43518</v>
      </c>
      <c r="C780" s="1" t="n">
        <v>45360</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11592-2019</t>
        </is>
      </c>
      <c r="B781" s="1" t="n">
        <v>43518</v>
      </c>
      <c r="C781" s="1" t="n">
        <v>45360</v>
      </c>
      <c r="D781" t="inlineStr">
        <is>
          <t>ÖREBRO LÄN</t>
        </is>
      </c>
      <c r="E781" t="inlineStr">
        <is>
          <t>ÖREBRO</t>
        </is>
      </c>
      <c r="G781" t="n">
        <v>0.3</v>
      </c>
      <c r="H781" t="n">
        <v>0</v>
      </c>
      <c r="I781" t="n">
        <v>0</v>
      </c>
      <c r="J781" t="n">
        <v>0</v>
      </c>
      <c r="K781" t="n">
        <v>0</v>
      </c>
      <c r="L781" t="n">
        <v>0</v>
      </c>
      <c r="M781" t="n">
        <v>0</v>
      </c>
      <c r="N781" t="n">
        <v>0</v>
      </c>
      <c r="O781" t="n">
        <v>0</v>
      </c>
      <c r="P781" t="n">
        <v>0</v>
      </c>
      <c r="Q781" t="n">
        <v>0</v>
      </c>
      <c r="R781" s="2" t="inlineStr"/>
    </row>
    <row r="782" ht="15" customHeight="1">
      <c r="A782" t="inlineStr">
        <is>
          <t>A 11714-2019</t>
        </is>
      </c>
      <c r="B782" s="1" t="n">
        <v>43518</v>
      </c>
      <c r="C782" s="1" t="n">
        <v>45360</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11606-2019</t>
        </is>
      </c>
      <c r="B783" s="1" t="n">
        <v>43518</v>
      </c>
      <c r="C783" s="1" t="n">
        <v>45360</v>
      </c>
      <c r="D783" t="inlineStr">
        <is>
          <t>ÖREBRO LÄN</t>
        </is>
      </c>
      <c r="E783" t="inlineStr">
        <is>
          <t>LAXÅ</t>
        </is>
      </c>
      <c r="G783" t="n">
        <v>1.3</v>
      </c>
      <c r="H783" t="n">
        <v>0</v>
      </c>
      <c r="I783" t="n">
        <v>0</v>
      </c>
      <c r="J783" t="n">
        <v>0</v>
      </c>
      <c r="K783" t="n">
        <v>0</v>
      </c>
      <c r="L783" t="n">
        <v>0</v>
      </c>
      <c r="M783" t="n">
        <v>0</v>
      </c>
      <c r="N783" t="n">
        <v>0</v>
      </c>
      <c r="O783" t="n">
        <v>0</v>
      </c>
      <c r="P783" t="n">
        <v>0</v>
      </c>
      <c r="Q783" t="n">
        <v>0</v>
      </c>
      <c r="R783" s="2" t="inlineStr"/>
    </row>
    <row r="784" ht="15" customHeight="1">
      <c r="A784" t="inlineStr">
        <is>
          <t>A 11716-2019</t>
        </is>
      </c>
      <c r="B784" s="1" t="n">
        <v>43518</v>
      </c>
      <c r="C784" s="1" t="n">
        <v>45360</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11885-2019</t>
        </is>
      </c>
      <c r="B785" s="1" t="n">
        <v>43521</v>
      </c>
      <c r="C785" s="1" t="n">
        <v>45360</v>
      </c>
      <c r="D785" t="inlineStr">
        <is>
          <t>ÖREBRO LÄN</t>
        </is>
      </c>
      <c r="E785" t="inlineStr">
        <is>
          <t>LAXÅ</t>
        </is>
      </c>
      <c r="G785" t="n">
        <v>2.4</v>
      </c>
      <c r="H785" t="n">
        <v>0</v>
      </c>
      <c r="I785" t="n">
        <v>0</v>
      </c>
      <c r="J785" t="n">
        <v>0</v>
      </c>
      <c r="K785" t="n">
        <v>0</v>
      </c>
      <c r="L785" t="n">
        <v>0</v>
      </c>
      <c r="M785" t="n">
        <v>0</v>
      </c>
      <c r="N785" t="n">
        <v>0</v>
      </c>
      <c r="O785" t="n">
        <v>0</v>
      </c>
      <c r="P785" t="n">
        <v>0</v>
      </c>
      <c r="Q785" t="n">
        <v>0</v>
      </c>
      <c r="R785" s="2" t="inlineStr"/>
    </row>
    <row r="786" ht="15" customHeight="1">
      <c r="A786" t="inlineStr">
        <is>
          <t>A 11818-2019</t>
        </is>
      </c>
      <c r="B786" s="1" t="n">
        <v>43521</v>
      </c>
      <c r="C786" s="1" t="n">
        <v>45360</v>
      </c>
      <c r="D786" t="inlineStr">
        <is>
          <t>ÖREBRO LÄN</t>
        </is>
      </c>
      <c r="E786" t="inlineStr">
        <is>
          <t>DEGERFORS</t>
        </is>
      </c>
      <c r="G786" t="n">
        <v>1.6</v>
      </c>
      <c r="H786" t="n">
        <v>0</v>
      </c>
      <c r="I786" t="n">
        <v>0</v>
      </c>
      <c r="J786" t="n">
        <v>0</v>
      </c>
      <c r="K786" t="n">
        <v>0</v>
      </c>
      <c r="L786" t="n">
        <v>0</v>
      </c>
      <c r="M786" t="n">
        <v>0</v>
      </c>
      <c r="N786" t="n">
        <v>0</v>
      </c>
      <c r="O786" t="n">
        <v>0</v>
      </c>
      <c r="P786" t="n">
        <v>0</v>
      </c>
      <c r="Q786" t="n">
        <v>0</v>
      </c>
      <c r="R786" s="2" t="inlineStr"/>
    </row>
    <row r="787" ht="15" customHeight="1">
      <c r="A787" t="inlineStr">
        <is>
          <t>A 11825-2019</t>
        </is>
      </c>
      <c r="B787" s="1" t="n">
        <v>43521</v>
      </c>
      <c r="C787" s="1" t="n">
        <v>45360</v>
      </c>
      <c r="D787" t="inlineStr">
        <is>
          <t>ÖREBRO LÄN</t>
        </is>
      </c>
      <c r="E787" t="inlineStr">
        <is>
          <t>DEGERFORS</t>
        </is>
      </c>
      <c r="G787" t="n">
        <v>1.3</v>
      </c>
      <c r="H787" t="n">
        <v>0</v>
      </c>
      <c r="I787" t="n">
        <v>0</v>
      </c>
      <c r="J787" t="n">
        <v>0</v>
      </c>
      <c r="K787" t="n">
        <v>0</v>
      </c>
      <c r="L787" t="n">
        <v>0</v>
      </c>
      <c r="M787" t="n">
        <v>0</v>
      </c>
      <c r="N787" t="n">
        <v>0</v>
      </c>
      <c r="O787" t="n">
        <v>0</v>
      </c>
      <c r="P787" t="n">
        <v>0</v>
      </c>
      <c r="Q787" t="n">
        <v>0</v>
      </c>
      <c r="R787" s="2" t="inlineStr"/>
    </row>
    <row r="788" ht="15" customHeight="1">
      <c r="A788" t="inlineStr">
        <is>
          <t>A 11963-2019</t>
        </is>
      </c>
      <c r="B788" s="1" t="n">
        <v>43521</v>
      </c>
      <c r="C788" s="1" t="n">
        <v>45360</v>
      </c>
      <c r="D788" t="inlineStr">
        <is>
          <t>ÖREBRO LÄN</t>
        </is>
      </c>
      <c r="E788" t="inlineStr">
        <is>
          <t>LEKEBERG</t>
        </is>
      </c>
      <c r="G788" t="n">
        <v>4</v>
      </c>
      <c r="H788" t="n">
        <v>0</v>
      </c>
      <c r="I788" t="n">
        <v>0</v>
      </c>
      <c r="J788" t="n">
        <v>0</v>
      </c>
      <c r="K788" t="n">
        <v>0</v>
      </c>
      <c r="L788" t="n">
        <v>0</v>
      </c>
      <c r="M788" t="n">
        <v>0</v>
      </c>
      <c r="N788" t="n">
        <v>0</v>
      </c>
      <c r="O788" t="n">
        <v>0</v>
      </c>
      <c r="P788" t="n">
        <v>0</v>
      </c>
      <c r="Q788" t="n">
        <v>0</v>
      </c>
      <c r="R788" s="2" t="inlineStr"/>
    </row>
    <row r="789" ht="15" customHeight="1">
      <c r="A789" t="inlineStr">
        <is>
          <t>A 12000-2019</t>
        </is>
      </c>
      <c r="B789" s="1" t="n">
        <v>43521</v>
      </c>
      <c r="C789" s="1" t="n">
        <v>45360</v>
      </c>
      <c r="D789" t="inlineStr">
        <is>
          <t>ÖREBRO LÄN</t>
        </is>
      </c>
      <c r="E789" t="inlineStr">
        <is>
          <t>ÖREBRO</t>
        </is>
      </c>
      <c r="G789" t="n">
        <v>4.4</v>
      </c>
      <c r="H789" t="n">
        <v>0</v>
      </c>
      <c r="I789" t="n">
        <v>0</v>
      </c>
      <c r="J789" t="n">
        <v>0</v>
      </c>
      <c r="K789" t="n">
        <v>0</v>
      </c>
      <c r="L789" t="n">
        <v>0</v>
      </c>
      <c r="M789" t="n">
        <v>0</v>
      </c>
      <c r="N789" t="n">
        <v>0</v>
      </c>
      <c r="O789" t="n">
        <v>0</v>
      </c>
      <c r="P789" t="n">
        <v>0</v>
      </c>
      <c r="Q789" t="n">
        <v>0</v>
      </c>
      <c r="R789" s="2" t="inlineStr"/>
    </row>
    <row r="790" ht="15" customHeight="1">
      <c r="A790" t="inlineStr">
        <is>
          <t>A 11785-2019</t>
        </is>
      </c>
      <c r="B790" s="1" t="n">
        <v>43521</v>
      </c>
      <c r="C790" s="1" t="n">
        <v>45360</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12131-2019</t>
        </is>
      </c>
      <c r="B791" s="1" t="n">
        <v>43522</v>
      </c>
      <c r="C791" s="1" t="n">
        <v>45360</v>
      </c>
      <c r="D791" t="inlineStr">
        <is>
          <t>ÖREBRO LÄN</t>
        </is>
      </c>
      <c r="E791" t="inlineStr">
        <is>
          <t>ÖREBRO</t>
        </is>
      </c>
      <c r="G791" t="n">
        <v>1.4</v>
      </c>
      <c r="H791" t="n">
        <v>0</v>
      </c>
      <c r="I791" t="n">
        <v>0</v>
      </c>
      <c r="J791" t="n">
        <v>0</v>
      </c>
      <c r="K791" t="n">
        <v>0</v>
      </c>
      <c r="L791" t="n">
        <v>0</v>
      </c>
      <c r="M791" t="n">
        <v>0</v>
      </c>
      <c r="N791" t="n">
        <v>0</v>
      </c>
      <c r="O791" t="n">
        <v>0</v>
      </c>
      <c r="P791" t="n">
        <v>0</v>
      </c>
      <c r="Q791" t="n">
        <v>0</v>
      </c>
      <c r="R791" s="2" t="inlineStr"/>
    </row>
    <row r="792" ht="15" customHeight="1">
      <c r="A792" t="inlineStr">
        <is>
          <t>A 12240-2019</t>
        </is>
      </c>
      <c r="B792" s="1" t="n">
        <v>43522</v>
      </c>
      <c r="C792" s="1" t="n">
        <v>45360</v>
      </c>
      <c r="D792" t="inlineStr">
        <is>
          <t>ÖREBRO LÄN</t>
        </is>
      </c>
      <c r="E792" t="inlineStr">
        <is>
          <t>LAXÅ</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12176-2019</t>
        </is>
      </c>
      <c r="B793" s="1" t="n">
        <v>43522</v>
      </c>
      <c r="C793" s="1" t="n">
        <v>45360</v>
      </c>
      <c r="D793" t="inlineStr">
        <is>
          <t>ÖREBRO LÄN</t>
        </is>
      </c>
      <c r="E793" t="inlineStr">
        <is>
          <t>HALLSBERG</t>
        </is>
      </c>
      <c r="G793" t="n">
        <v>5.9</v>
      </c>
      <c r="H793" t="n">
        <v>0</v>
      </c>
      <c r="I793" t="n">
        <v>0</v>
      </c>
      <c r="J793" t="n">
        <v>0</v>
      </c>
      <c r="K793" t="n">
        <v>0</v>
      </c>
      <c r="L793" t="n">
        <v>0</v>
      </c>
      <c r="M793" t="n">
        <v>0</v>
      </c>
      <c r="N793" t="n">
        <v>0</v>
      </c>
      <c r="O793" t="n">
        <v>0</v>
      </c>
      <c r="P793" t="n">
        <v>0</v>
      </c>
      <c r="Q793" t="n">
        <v>0</v>
      </c>
      <c r="R793" s="2" t="inlineStr"/>
    </row>
    <row r="794" ht="15" customHeight="1">
      <c r="A794" t="inlineStr">
        <is>
          <t>A 12388-2019</t>
        </is>
      </c>
      <c r="B794" s="1" t="n">
        <v>43523</v>
      </c>
      <c r="C794" s="1" t="n">
        <v>45360</v>
      </c>
      <c r="D794" t="inlineStr">
        <is>
          <t>ÖREBRO LÄN</t>
        </is>
      </c>
      <c r="E794" t="inlineStr">
        <is>
          <t>LINDESBERG</t>
        </is>
      </c>
      <c r="G794" t="n">
        <v>8</v>
      </c>
      <c r="H794" t="n">
        <v>0</v>
      </c>
      <c r="I794" t="n">
        <v>0</v>
      </c>
      <c r="J794" t="n">
        <v>0</v>
      </c>
      <c r="K794" t="n">
        <v>0</v>
      </c>
      <c r="L794" t="n">
        <v>0</v>
      </c>
      <c r="M794" t="n">
        <v>0</v>
      </c>
      <c r="N794" t="n">
        <v>0</v>
      </c>
      <c r="O794" t="n">
        <v>0</v>
      </c>
      <c r="P794" t="n">
        <v>0</v>
      </c>
      <c r="Q794" t="n">
        <v>0</v>
      </c>
      <c r="R794" s="2" t="inlineStr"/>
    </row>
    <row r="795" ht="15" customHeight="1">
      <c r="A795" t="inlineStr">
        <is>
          <t>A 12408-2019</t>
        </is>
      </c>
      <c r="B795" s="1" t="n">
        <v>43523</v>
      </c>
      <c r="C795" s="1" t="n">
        <v>45360</v>
      </c>
      <c r="D795" t="inlineStr">
        <is>
          <t>ÖREBRO LÄN</t>
        </is>
      </c>
      <c r="E795" t="inlineStr">
        <is>
          <t>ASKERSUND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12279-2019</t>
        </is>
      </c>
      <c r="B796" s="1" t="n">
        <v>43523</v>
      </c>
      <c r="C796" s="1" t="n">
        <v>45360</v>
      </c>
      <c r="D796" t="inlineStr">
        <is>
          <t>ÖREBRO LÄN</t>
        </is>
      </c>
      <c r="E796" t="inlineStr">
        <is>
          <t>KUMLA</t>
        </is>
      </c>
      <c r="F796" t="inlineStr">
        <is>
          <t>Kyrkan</t>
        </is>
      </c>
      <c r="G796" t="n">
        <v>4.3</v>
      </c>
      <c r="H796" t="n">
        <v>0</v>
      </c>
      <c r="I796" t="n">
        <v>0</v>
      </c>
      <c r="J796" t="n">
        <v>0</v>
      </c>
      <c r="K796" t="n">
        <v>0</v>
      </c>
      <c r="L796" t="n">
        <v>0</v>
      </c>
      <c r="M796" t="n">
        <v>0</v>
      </c>
      <c r="N796" t="n">
        <v>0</v>
      </c>
      <c r="O796" t="n">
        <v>0</v>
      </c>
      <c r="P796" t="n">
        <v>0</v>
      </c>
      <c r="Q796" t="n">
        <v>0</v>
      </c>
      <c r="R796" s="2" t="inlineStr"/>
    </row>
    <row r="797" ht="15" customHeight="1">
      <c r="A797" t="inlineStr">
        <is>
          <t>A 12399-2019</t>
        </is>
      </c>
      <c r="B797" s="1" t="n">
        <v>43523</v>
      </c>
      <c r="C797" s="1" t="n">
        <v>45360</v>
      </c>
      <c r="D797" t="inlineStr">
        <is>
          <t>ÖREBRO LÄN</t>
        </is>
      </c>
      <c r="E797" t="inlineStr">
        <is>
          <t>ASKERSUND</t>
        </is>
      </c>
      <c r="G797" t="n">
        <v>1.8</v>
      </c>
      <c r="H797" t="n">
        <v>0</v>
      </c>
      <c r="I797" t="n">
        <v>0</v>
      </c>
      <c r="J797" t="n">
        <v>0</v>
      </c>
      <c r="K797" t="n">
        <v>0</v>
      </c>
      <c r="L797" t="n">
        <v>0</v>
      </c>
      <c r="M797" t="n">
        <v>0</v>
      </c>
      <c r="N797" t="n">
        <v>0</v>
      </c>
      <c r="O797" t="n">
        <v>0</v>
      </c>
      <c r="P797" t="n">
        <v>0</v>
      </c>
      <c r="Q797" t="n">
        <v>0</v>
      </c>
      <c r="R797" s="2" t="inlineStr"/>
    </row>
    <row r="798" ht="15" customHeight="1">
      <c r="A798" t="inlineStr">
        <is>
          <t>A 12657-2019</t>
        </is>
      </c>
      <c r="B798" s="1" t="n">
        <v>43524</v>
      </c>
      <c r="C798" s="1" t="n">
        <v>45360</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12960-2019</t>
        </is>
      </c>
      <c r="B799" s="1" t="n">
        <v>43526</v>
      </c>
      <c r="C799" s="1" t="n">
        <v>45360</v>
      </c>
      <c r="D799" t="inlineStr">
        <is>
          <t>ÖREBRO LÄN</t>
        </is>
      </c>
      <c r="E799" t="inlineStr">
        <is>
          <t>LINDESBERG</t>
        </is>
      </c>
      <c r="G799" t="n">
        <v>7.7</v>
      </c>
      <c r="H799" t="n">
        <v>0</v>
      </c>
      <c r="I799" t="n">
        <v>0</v>
      </c>
      <c r="J799" t="n">
        <v>0</v>
      </c>
      <c r="K799" t="n">
        <v>0</v>
      </c>
      <c r="L799" t="n">
        <v>0</v>
      </c>
      <c r="M799" t="n">
        <v>0</v>
      </c>
      <c r="N799" t="n">
        <v>0</v>
      </c>
      <c r="O799" t="n">
        <v>0</v>
      </c>
      <c r="P799" t="n">
        <v>0</v>
      </c>
      <c r="Q799" t="n">
        <v>0</v>
      </c>
      <c r="R799" s="2" t="inlineStr"/>
    </row>
    <row r="800" ht="15" customHeight="1">
      <c r="A800" t="inlineStr">
        <is>
          <t>A 13016-2019</t>
        </is>
      </c>
      <c r="B800" s="1" t="n">
        <v>43528</v>
      </c>
      <c r="C800" s="1" t="n">
        <v>45360</v>
      </c>
      <c r="D800" t="inlineStr">
        <is>
          <t>ÖREBRO LÄN</t>
        </is>
      </c>
      <c r="E800" t="inlineStr">
        <is>
          <t>ÖREBRO</t>
        </is>
      </c>
      <c r="G800" t="n">
        <v>6.1</v>
      </c>
      <c r="H800" t="n">
        <v>0</v>
      </c>
      <c r="I800" t="n">
        <v>0</v>
      </c>
      <c r="J800" t="n">
        <v>0</v>
      </c>
      <c r="K800" t="n">
        <v>0</v>
      </c>
      <c r="L800" t="n">
        <v>0</v>
      </c>
      <c r="M800" t="n">
        <v>0</v>
      </c>
      <c r="N800" t="n">
        <v>0</v>
      </c>
      <c r="O800" t="n">
        <v>0</v>
      </c>
      <c r="P800" t="n">
        <v>0</v>
      </c>
      <c r="Q800" t="n">
        <v>0</v>
      </c>
      <c r="R800" s="2" t="inlineStr"/>
    </row>
    <row r="801" ht="15" customHeight="1">
      <c r="A801" t="inlineStr">
        <is>
          <t>A 13281-2019</t>
        </is>
      </c>
      <c r="B801" s="1" t="n">
        <v>43528</v>
      </c>
      <c r="C801" s="1" t="n">
        <v>45360</v>
      </c>
      <c r="D801" t="inlineStr">
        <is>
          <t>ÖREBRO LÄN</t>
        </is>
      </c>
      <c r="E801" t="inlineStr">
        <is>
          <t>ASKERSUND</t>
        </is>
      </c>
      <c r="G801" t="n">
        <v>1.5</v>
      </c>
      <c r="H801" t="n">
        <v>0</v>
      </c>
      <c r="I801" t="n">
        <v>0</v>
      </c>
      <c r="J801" t="n">
        <v>0</v>
      </c>
      <c r="K801" t="n">
        <v>0</v>
      </c>
      <c r="L801" t="n">
        <v>0</v>
      </c>
      <c r="M801" t="n">
        <v>0</v>
      </c>
      <c r="N801" t="n">
        <v>0</v>
      </c>
      <c r="O801" t="n">
        <v>0</v>
      </c>
      <c r="P801" t="n">
        <v>0</v>
      </c>
      <c r="Q801" t="n">
        <v>0</v>
      </c>
      <c r="R801" s="2" t="inlineStr"/>
    </row>
    <row r="802" ht="15" customHeight="1">
      <c r="A802" t="inlineStr">
        <is>
          <t>A 13090-2019</t>
        </is>
      </c>
      <c r="B802" s="1" t="n">
        <v>43528</v>
      </c>
      <c r="C802" s="1" t="n">
        <v>45360</v>
      </c>
      <c r="D802" t="inlineStr">
        <is>
          <t>ÖREBRO LÄN</t>
        </is>
      </c>
      <c r="E802" t="inlineStr">
        <is>
          <t>LAXÅ</t>
        </is>
      </c>
      <c r="G802" t="n">
        <v>2</v>
      </c>
      <c r="H802" t="n">
        <v>0</v>
      </c>
      <c r="I802" t="n">
        <v>0</v>
      </c>
      <c r="J802" t="n">
        <v>0</v>
      </c>
      <c r="K802" t="n">
        <v>0</v>
      </c>
      <c r="L802" t="n">
        <v>0</v>
      </c>
      <c r="M802" t="n">
        <v>0</v>
      </c>
      <c r="N802" t="n">
        <v>0</v>
      </c>
      <c r="O802" t="n">
        <v>0</v>
      </c>
      <c r="P802" t="n">
        <v>0</v>
      </c>
      <c r="Q802" t="n">
        <v>0</v>
      </c>
      <c r="R802" s="2" t="inlineStr"/>
    </row>
    <row r="803" ht="15" customHeight="1">
      <c r="A803" t="inlineStr">
        <is>
          <t>A 13093-2019</t>
        </is>
      </c>
      <c r="B803" s="1" t="n">
        <v>43528</v>
      </c>
      <c r="C803" s="1" t="n">
        <v>45360</v>
      </c>
      <c r="D803" t="inlineStr">
        <is>
          <t>ÖREBRO LÄN</t>
        </is>
      </c>
      <c r="E803" t="inlineStr">
        <is>
          <t>DEGERFORS</t>
        </is>
      </c>
      <c r="G803" t="n">
        <v>0.6</v>
      </c>
      <c r="H803" t="n">
        <v>0</v>
      </c>
      <c r="I803" t="n">
        <v>0</v>
      </c>
      <c r="J803" t="n">
        <v>0</v>
      </c>
      <c r="K803" t="n">
        <v>0</v>
      </c>
      <c r="L803" t="n">
        <v>0</v>
      </c>
      <c r="M803" t="n">
        <v>0</v>
      </c>
      <c r="N803" t="n">
        <v>0</v>
      </c>
      <c r="O803" t="n">
        <v>0</v>
      </c>
      <c r="P803" t="n">
        <v>0</v>
      </c>
      <c r="Q803" t="n">
        <v>0</v>
      </c>
      <c r="R803" s="2" t="inlineStr"/>
    </row>
    <row r="804" ht="15" customHeight="1">
      <c r="A804" t="inlineStr">
        <is>
          <t>A 13263-2019</t>
        </is>
      </c>
      <c r="B804" s="1" t="n">
        <v>43529</v>
      </c>
      <c r="C804" s="1" t="n">
        <v>45360</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13335-2019</t>
        </is>
      </c>
      <c r="B805" s="1" t="n">
        <v>43529</v>
      </c>
      <c r="C805" s="1" t="n">
        <v>45360</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13569-2019</t>
        </is>
      </c>
      <c r="B806" s="1" t="n">
        <v>43530</v>
      </c>
      <c r="C806" s="1" t="n">
        <v>45360</v>
      </c>
      <c r="D806" t="inlineStr">
        <is>
          <t>ÖREBRO LÄN</t>
        </is>
      </c>
      <c r="E806" t="inlineStr">
        <is>
          <t>NORA</t>
        </is>
      </c>
      <c r="G806" t="n">
        <v>1</v>
      </c>
      <c r="H806" t="n">
        <v>0</v>
      </c>
      <c r="I806" t="n">
        <v>0</v>
      </c>
      <c r="J806" t="n">
        <v>0</v>
      </c>
      <c r="K806" t="n">
        <v>0</v>
      </c>
      <c r="L806" t="n">
        <v>0</v>
      </c>
      <c r="M806" t="n">
        <v>0</v>
      </c>
      <c r="N806" t="n">
        <v>0</v>
      </c>
      <c r="O806" t="n">
        <v>0</v>
      </c>
      <c r="P806" t="n">
        <v>0</v>
      </c>
      <c r="Q806" t="n">
        <v>0</v>
      </c>
      <c r="R806" s="2" t="inlineStr"/>
    </row>
    <row r="807" ht="15" customHeight="1">
      <c r="A807" t="inlineStr">
        <is>
          <t>A 13503-2019</t>
        </is>
      </c>
      <c r="B807" s="1" t="n">
        <v>43530</v>
      </c>
      <c r="C807" s="1" t="n">
        <v>45360</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13479-2019</t>
        </is>
      </c>
      <c r="B808" s="1" t="n">
        <v>43530</v>
      </c>
      <c r="C808" s="1" t="n">
        <v>45360</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13759-2019</t>
        </is>
      </c>
      <c r="B809" s="1" t="n">
        <v>43531</v>
      </c>
      <c r="C809" s="1" t="n">
        <v>45360</v>
      </c>
      <c r="D809" t="inlineStr">
        <is>
          <t>ÖREBRO LÄN</t>
        </is>
      </c>
      <c r="E809" t="inlineStr">
        <is>
          <t>HALLSBERG</t>
        </is>
      </c>
      <c r="G809" t="n">
        <v>2.5</v>
      </c>
      <c r="H809" t="n">
        <v>0</v>
      </c>
      <c r="I809" t="n">
        <v>0</v>
      </c>
      <c r="J809" t="n">
        <v>0</v>
      </c>
      <c r="K809" t="n">
        <v>0</v>
      </c>
      <c r="L809" t="n">
        <v>0</v>
      </c>
      <c r="M809" t="n">
        <v>0</v>
      </c>
      <c r="N809" t="n">
        <v>0</v>
      </c>
      <c r="O809" t="n">
        <v>0</v>
      </c>
      <c r="P809" t="n">
        <v>0</v>
      </c>
      <c r="Q809" t="n">
        <v>0</v>
      </c>
      <c r="R809" s="2" t="inlineStr"/>
    </row>
    <row r="810" ht="15" customHeight="1">
      <c r="A810" t="inlineStr">
        <is>
          <t>A 13734-2019</t>
        </is>
      </c>
      <c r="B810" s="1" t="n">
        <v>43531</v>
      </c>
      <c r="C810" s="1" t="n">
        <v>45360</v>
      </c>
      <c r="D810" t="inlineStr">
        <is>
          <t>ÖREBRO LÄN</t>
        </is>
      </c>
      <c r="E810" t="inlineStr">
        <is>
          <t>ÖREBRO</t>
        </is>
      </c>
      <c r="G810" t="n">
        <v>6.4</v>
      </c>
      <c r="H810" t="n">
        <v>0</v>
      </c>
      <c r="I810" t="n">
        <v>0</v>
      </c>
      <c r="J810" t="n">
        <v>0</v>
      </c>
      <c r="K810" t="n">
        <v>0</v>
      </c>
      <c r="L810" t="n">
        <v>0</v>
      </c>
      <c r="M810" t="n">
        <v>0</v>
      </c>
      <c r="N810" t="n">
        <v>0</v>
      </c>
      <c r="O810" t="n">
        <v>0</v>
      </c>
      <c r="P810" t="n">
        <v>0</v>
      </c>
      <c r="Q810" t="n">
        <v>0</v>
      </c>
      <c r="R810" s="2" t="inlineStr"/>
    </row>
    <row r="811" ht="15" customHeight="1">
      <c r="A811" t="inlineStr">
        <is>
          <t>A 13999-2019</t>
        </is>
      </c>
      <c r="B811" s="1" t="n">
        <v>43531</v>
      </c>
      <c r="C811" s="1" t="n">
        <v>45360</v>
      </c>
      <c r="D811" t="inlineStr">
        <is>
          <t>ÖREBRO LÄN</t>
        </is>
      </c>
      <c r="E811" t="inlineStr">
        <is>
          <t>NORA</t>
        </is>
      </c>
      <c r="G811" t="n">
        <v>1.8</v>
      </c>
      <c r="H811" t="n">
        <v>0</v>
      </c>
      <c r="I811" t="n">
        <v>0</v>
      </c>
      <c r="J811" t="n">
        <v>0</v>
      </c>
      <c r="K811" t="n">
        <v>0</v>
      </c>
      <c r="L811" t="n">
        <v>0</v>
      </c>
      <c r="M811" t="n">
        <v>0</v>
      </c>
      <c r="N811" t="n">
        <v>0</v>
      </c>
      <c r="O811" t="n">
        <v>0</v>
      </c>
      <c r="P811" t="n">
        <v>0</v>
      </c>
      <c r="Q811" t="n">
        <v>0</v>
      </c>
      <c r="R811" s="2" t="inlineStr"/>
    </row>
    <row r="812" ht="15" customHeight="1">
      <c r="A812" t="inlineStr">
        <is>
          <t>A 13771-2019</t>
        </is>
      </c>
      <c r="B812" s="1" t="n">
        <v>43531</v>
      </c>
      <c r="C812" s="1" t="n">
        <v>45360</v>
      </c>
      <c r="D812" t="inlineStr">
        <is>
          <t>ÖREBRO LÄN</t>
        </is>
      </c>
      <c r="E812" t="inlineStr">
        <is>
          <t>HALLSBERG</t>
        </is>
      </c>
      <c r="G812" t="n">
        <v>3.1</v>
      </c>
      <c r="H812" t="n">
        <v>0</v>
      </c>
      <c r="I812" t="n">
        <v>0</v>
      </c>
      <c r="J812" t="n">
        <v>0</v>
      </c>
      <c r="K812" t="n">
        <v>0</v>
      </c>
      <c r="L812" t="n">
        <v>0</v>
      </c>
      <c r="M812" t="n">
        <v>0</v>
      </c>
      <c r="N812" t="n">
        <v>0</v>
      </c>
      <c r="O812" t="n">
        <v>0</v>
      </c>
      <c r="P812" t="n">
        <v>0</v>
      </c>
      <c r="Q812" t="n">
        <v>0</v>
      </c>
      <c r="R812" s="2" t="inlineStr"/>
    </row>
    <row r="813" ht="15" customHeight="1">
      <c r="A813" t="inlineStr">
        <is>
          <t>A 14031-2019</t>
        </is>
      </c>
      <c r="B813" s="1" t="n">
        <v>43531</v>
      </c>
      <c r="C813" s="1" t="n">
        <v>45360</v>
      </c>
      <c r="D813" t="inlineStr">
        <is>
          <t>ÖREBRO LÄN</t>
        </is>
      </c>
      <c r="E813" t="inlineStr">
        <is>
          <t>LAXÅ</t>
        </is>
      </c>
      <c r="G813" t="n">
        <v>2.5</v>
      </c>
      <c r="H813" t="n">
        <v>0</v>
      </c>
      <c r="I813" t="n">
        <v>0</v>
      </c>
      <c r="J813" t="n">
        <v>0</v>
      </c>
      <c r="K813" t="n">
        <v>0</v>
      </c>
      <c r="L813" t="n">
        <v>0</v>
      </c>
      <c r="M813" t="n">
        <v>0</v>
      </c>
      <c r="N813" t="n">
        <v>0</v>
      </c>
      <c r="O813" t="n">
        <v>0</v>
      </c>
      <c r="P813" t="n">
        <v>0</v>
      </c>
      <c r="Q813" t="n">
        <v>0</v>
      </c>
      <c r="R813" s="2" t="inlineStr"/>
    </row>
    <row r="814" ht="15" customHeight="1">
      <c r="A814" t="inlineStr">
        <is>
          <t>A 14009-2019</t>
        </is>
      </c>
      <c r="B814" s="1" t="n">
        <v>43532</v>
      </c>
      <c r="C814" s="1" t="n">
        <v>45360</v>
      </c>
      <c r="D814" t="inlineStr">
        <is>
          <t>ÖREBRO LÄN</t>
        </is>
      </c>
      <c r="E814" t="inlineStr">
        <is>
          <t>LJUSNARSBERG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14427-2019</t>
        </is>
      </c>
      <c r="B815" s="1" t="n">
        <v>43532</v>
      </c>
      <c r="C815" s="1" t="n">
        <v>45360</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14348-2019</t>
        </is>
      </c>
      <c r="B816" s="1" t="n">
        <v>43535</v>
      </c>
      <c r="C816" s="1" t="n">
        <v>45360</v>
      </c>
      <c r="D816" t="inlineStr">
        <is>
          <t>ÖREBRO LÄN</t>
        </is>
      </c>
      <c r="E816" t="inlineStr">
        <is>
          <t>ÖREBRO</t>
        </is>
      </c>
      <c r="G816" t="n">
        <v>2.9</v>
      </c>
      <c r="H816" t="n">
        <v>0</v>
      </c>
      <c r="I816" t="n">
        <v>0</v>
      </c>
      <c r="J816" t="n">
        <v>0</v>
      </c>
      <c r="K816" t="n">
        <v>0</v>
      </c>
      <c r="L816" t="n">
        <v>0</v>
      </c>
      <c r="M816" t="n">
        <v>0</v>
      </c>
      <c r="N816" t="n">
        <v>0</v>
      </c>
      <c r="O816" t="n">
        <v>0</v>
      </c>
      <c r="P816" t="n">
        <v>0</v>
      </c>
      <c r="Q816" t="n">
        <v>0</v>
      </c>
      <c r="R816" s="2" t="inlineStr"/>
    </row>
    <row r="817" ht="15" customHeight="1">
      <c r="A817" t="inlineStr">
        <is>
          <t>A 14351-2019</t>
        </is>
      </c>
      <c r="B817" s="1" t="n">
        <v>43535</v>
      </c>
      <c r="C817" s="1" t="n">
        <v>45360</v>
      </c>
      <c r="D817" t="inlineStr">
        <is>
          <t>ÖREBRO LÄN</t>
        </is>
      </c>
      <c r="E817" t="inlineStr">
        <is>
          <t>ASKERSUND</t>
        </is>
      </c>
      <c r="G817" t="n">
        <v>3.5</v>
      </c>
      <c r="H817" t="n">
        <v>0</v>
      </c>
      <c r="I817" t="n">
        <v>0</v>
      </c>
      <c r="J817" t="n">
        <v>0</v>
      </c>
      <c r="K817" t="n">
        <v>0</v>
      </c>
      <c r="L817" t="n">
        <v>0</v>
      </c>
      <c r="M817" t="n">
        <v>0</v>
      </c>
      <c r="N817" t="n">
        <v>0</v>
      </c>
      <c r="O817" t="n">
        <v>0</v>
      </c>
      <c r="P817" t="n">
        <v>0</v>
      </c>
      <c r="Q817" t="n">
        <v>0</v>
      </c>
      <c r="R817" s="2" t="inlineStr"/>
    </row>
    <row r="818" ht="15" customHeight="1">
      <c r="A818" t="inlineStr">
        <is>
          <t>A 14341-2019</t>
        </is>
      </c>
      <c r="B818" s="1" t="n">
        <v>43535</v>
      </c>
      <c r="C818" s="1" t="n">
        <v>45360</v>
      </c>
      <c r="D818" t="inlineStr">
        <is>
          <t>ÖREBRO LÄN</t>
        </is>
      </c>
      <c r="E818" t="inlineStr">
        <is>
          <t>LINDESBERG</t>
        </is>
      </c>
      <c r="G818" t="n">
        <v>3.5</v>
      </c>
      <c r="H818" t="n">
        <v>0</v>
      </c>
      <c r="I818" t="n">
        <v>0</v>
      </c>
      <c r="J818" t="n">
        <v>0</v>
      </c>
      <c r="K818" t="n">
        <v>0</v>
      </c>
      <c r="L818" t="n">
        <v>0</v>
      </c>
      <c r="M818" t="n">
        <v>0</v>
      </c>
      <c r="N818" t="n">
        <v>0</v>
      </c>
      <c r="O818" t="n">
        <v>0</v>
      </c>
      <c r="P818" t="n">
        <v>0</v>
      </c>
      <c r="Q818" t="n">
        <v>0</v>
      </c>
      <c r="R818" s="2" t="inlineStr"/>
    </row>
    <row r="819" ht="15" customHeight="1">
      <c r="A819" t="inlineStr">
        <is>
          <t>A 14372-2019</t>
        </is>
      </c>
      <c r="B819" s="1" t="n">
        <v>43536</v>
      </c>
      <c r="C819" s="1" t="n">
        <v>45360</v>
      </c>
      <c r="D819" t="inlineStr">
        <is>
          <t>ÖREBRO LÄN</t>
        </is>
      </c>
      <c r="E819" t="inlineStr">
        <is>
          <t>ASKERSUND</t>
        </is>
      </c>
      <c r="G819" t="n">
        <v>3.2</v>
      </c>
      <c r="H819" t="n">
        <v>0</v>
      </c>
      <c r="I819" t="n">
        <v>0</v>
      </c>
      <c r="J819" t="n">
        <v>0</v>
      </c>
      <c r="K819" t="n">
        <v>0</v>
      </c>
      <c r="L819" t="n">
        <v>0</v>
      </c>
      <c r="M819" t="n">
        <v>0</v>
      </c>
      <c r="N819" t="n">
        <v>0</v>
      </c>
      <c r="O819" t="n">
        <v>0</v>
      </c>
      <c r="P819" t="n">
        <v>0</v>
      </c>
      <c r="Q819" t="n">
        <v>0</v>
      </c>
      <c r="R819" s="2" t="inlineStr"/>
    </row>
    <row r="820" ht="15" customHeight="1">
      <c r="A820" t="inlineStr">
        <is>
          <t>A 14623-2019</t>
        </is>
      </c>
      <c r="B820" s="1" t="n">
        <v>43536</v>
      </c>
      <c r="C820" s="1" t="n">
        <v>45360</v>
      </c>
      <c r="D820" t="inlineStr">
        <is>
          <t>ÖREBRO LÄN</t>
        </is>
      </c>
      <c r="E820" t="inlineStr">
        <is>
          <t>ASKERSUND</t>
        </is>
      </c>
      <c r="G820" t="n">
        <v>1</v>
      </c>
      <c r="H820" t="n">
        <v>0</v>
      </c>
      <c r="I820" t="n">
        <v>0</v>
      </c>
      <c r="J820" t="n">
        <v>0</v>
      </c>
      <c r="K820" t="n">
        <v>0</v>
      </c>
      <c r="L820" t="n">
        <v>0</v>
      </c>
      <c r="M820" t="n">
        <v>0</v>
      </c>
      <c r="N820" t="n">
        <v>0</v>
      </c>
      <c r="O820" t="n">
        <v>0</v>
      </c>
      <c r="P820" t="n">
        <v>0</v>
      </c>
      <c r="Q820" t="n">
        <v>0</v>
      </c>
      <c r="R820" s="2" t="inlineStr"/>
    </row>
    <row r="821" ht="15" customHeight="1">
      <c r="A821" t="inlineStr">
        <is>
          <t>A 15036-2019</t>
        </is>
      </c>
      <c r="B821" s="1" t="n">
        <v>43537</v>
      </c>
      <c r="C821" s="1" t="n">
        <v>45360</v>
      </c>
      <c r="D821" t="inlineStr">
        <is>
          <t>ÖREBRO LÄN</t>
        </is>
      </c>
      <c r="E821" t="inlineStr">
        <is>
          <t>NORA</t>
        </is>
      </c>
      <c r="G821" t="n">
        <v>3</v>
      </c>
      <c r="H821" t="n">
        <v>0</v>
      </c>
      <c r="I821" t="n">
        <v>0</v>
      </c>
      <c r="J821" t="n">
        <v>0</v>
      </c>
      <c r="K821" t="n">
        <v>0</v>
      </c>
      <c r="L821" t="n">
        <v>0</v>
      </c>
      <c r="M821" t="n">
        <v>0</v>
      </c>
      <c r="N821" t="n">
        <v>0</v>
      </c>
      <c r="O821" t="n">
        <v>0</v>
      </c>
      <c r="P821" t="n">
        <v>0</v>
      </c>
      <c r="Q821" t="n">
        <v>0</v>
      </c>
      <c r="R821" s="2" t="inlineStr"/>
    </row>
    <row r="822" ht="15" customHeight="1">
      <c r="A822" t="inlineStr">
        <is>
          <t>A 14560-2019</t>
        </is>
      </c>
      <c r="B822" s="1" t="n">
        <v>43537</v>
      </c>
      <c r="C822" s="1" t="n">
        <v>45360</v>
      </c>
      <c r="D822" t="inlineStr">
        <is>
          <t>ÖREBRO LÄN</t>
        </is>
      </c>
      <c r="E822" t="inlineStr">
        <is>
          <t>KUMLA</t>
        </is>
      </c>
      <c r="G822" t="n">
        <v>2.8</v>
      </c>
      <c r="H822" t="n">
        <v>0</v>
      </c>
      <c r="I822" t="n">
        <v>0</v>
      </c>
      <c r="J822" t="n">
        <v>0</v>
      </c>
      <c r="K822" t="n">
        <v>0</v>
      </c>
      <c r="L822" t="n">
        <v>0</v>
      </c>
      <c r="M822" t="n">
        <v>0</v>
      </c>
      <c r="N822" t="n">
        <v>0</v>
      </c>
      <c r="O822" t="n">
        <v>0</v>
      </c>
      <c r="P822" t="n">
        <v>0</v>
      </c>
      <c r="Q822" t="n">
        <v>0</v>
      </c>
      <c r="R822" s="2" t="inlineStr"/>
    </row>
    <row r="823" ht="15" customHeight="1">
      <c r="A823" t="inlineStr">
        <is>
          <t>A 14993-2019</t>
        </is>
      </c>
      <c r="B823" s="1" t="n">
        <v>43538</v>
      </c>
      <c r="C823" s="1" t="n">
        <v>45360</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14884-2019</t>
        </is>
      </c>
      <c r="B824" s="1" t="n">
        <v>43538</v>
      </c>
      <c r="C824" s="1" t="n">
        <v>45360</v>
      </c>
      <c r="D824" t="inlineStr">
        <is>
          <t>ÖREBRO LÄN</t>
        </is>
      </c>
      <c r="E824" t="inlineStr">
        <is>
          <t>KUMLA</t>
        </is>
      </c>
      <c r="G824" t="n">
        <v>1.2</v>
      </c>
      <c r="H824" t="n">
        <v>0</v>
      </c>
      <c r="I824" t="n">
        <v>0</v>
      </c>
      <c r="J824" t="n">
        <v>0</v>
      </c>
      <c r="K824" t="n">
        <v>0</v>
      </c>
      <c r="L824" t="n">
        <v>0</v>
      </c>
      <c r="M824" t="n">
        <v>0</v>
      </c>
      <c r="N824" t="n">
        <v>0</v>
      </c>
      <c r="O824" t="n">
        <v>0</v>
      </c>
      <c r="P824" t="n">
        <v>0</v>
      </c>
      <c r="Q824" t="n">
        <v>0</v>
      </c>
      <c r="R824" s="2" t="inlineStr"/>
    </row>
    <row r="825" ht="15" customHeight="1">
      <c r="A825" t="inlineStr">
        <is>
          <t>A 14927-2019</t>
        </is>
      </c>
      <c r="B825" s="1" t="n">
        <v>43538</v>
      </c>
      <c r="C825" s="1" t="n">
        <v>45360</v>
      </c>
      <c r="D825" t="inlineStr">
        <is>
          <t>ÖREBRO LÄN</t>
        </is>
      </c>
      <c r="E825" t="inlineStr">
        <is>
          <t>ÖREBRO</t>
        </is>
      </c>
      <c r="G825" t="n">
        <v>25.7</v>
      </c>
      <c r="H825" t="n">
        <v>0</v>
      </c>
      <c r="I825" t="n">
        <v>0</v>
      </c>
      <c r="J825" t="n">
        <v>0</v>
      </c>
      <c r="K825" t="n">
        <v>0</v>
      </c>
      <c r="L825" t="n">
        <v>0</v>
      </c>
      <c r="M825" t="n">
        <v>0</v>
      </c>
      <c r="N825" t="n">
        <v>0</v>
      </c>
      <c r="O825" t="n">
        <v>0</v>
      </c>
      <c r="P825" t="n">
        <v>0</v>
      </c>
      <c r="Q825" t="n">
        <v>0</v>
      </c>
      <c r="R825" s="2" t="inlineStr"/>
    </row>
    <row r="826" ht="15" customHeight="1">
      <c r="A826" t="inlineStr">
        <is>
          <t>A 15084-2019</t>
        </is>
      </c>
      <c r="B826" s="1" t="n">
        <v>43538</v>
      </c>
      <c r="C826" s="1" t="n">
        <v>45360</v>
      </c>
      <c r="D826" t="inlineStr">
        <is>
          <t>ÖREBRO LÄN</t>
        </is>
      </c>
      <c r="E826" t="inlineStr">
        <is>
          <t>HALLSBERG</t>
        </is>
      </c>
      <c r="G826" t="n">
        <v>2.6</v>
      </c>
      <c r="H826" t="n">
        <v>0</v>
      </c>
      <c r="I826" t="n">
        <v>0</v>
      </c>
      <c r="J826" t="n">
        <v>0</v>
      </c>
      <c r="K826" t="n">
        <v>0</v>
      </c>
      <c r="L826" t="n">
        <v>0</v>
      </c>
      <c r="M826" t="n">
        <v>0</v>
      </c>
      <c r="N826" t="n">
        <v>0</v>
      </c>
      <c r="O826" t="n">
        <v>0</v>
      </c>
      <c r="P826" t="n">
        <v>0</v>
      </c>
      <c r="Q826" t="n">
        <v>0</v>
      </c>
      <c r="R826" s="2" t="inlineStr"/>
    </row>
    <row r="827" ht="15" customHeight="1">
      <c r="A827" t="inlineStr">
        <is>
          <t>A 14943-2019</t>
        </is>
      </c>
      <c r="B827" s="1" t="n">
        <v>43538</v>
      </c>
      <c r="C827" s="1" t="n">
        <v>45360</v>
      </c>
      <c r="D827" t="inlineStr">
        <is>
          <t>ÖREBRO LÄN</t>
        </is>
      </c>
      <c r="E827" t="inlineStr">
        <is>
          <t>HALLSBERG</t>
        </is>
      </c>
      <c r="G827" t="n">
        <v>1.5</v>
      </c>
      <c r="H827" t="n">
        <v>0</v>
      </c>
      <c r="I827" t="n">
        <v>0</v>
      </c>
      <c r="J827" t="n">
        <v>0</v>
      </c>
      <c r="K827" t="n">
        <v>0</v>
      </c>
      <c r="L827" t="n">
        <v>0</v>
      </c>
      <c r="M827" t="n">
        <v>0</v>
      </c>
      <c r="N827" t="n">
        <v>0</v>
      </c>
      <c r="O827" t="n">
        <v>0</v>
      </c>
      <c r="P827" t="n">
        <v>0</v>
      </c>
      <c r="Q827" t="n">
        <v>0</v>
      </c>
      <c r="R827" s="2" t="inlineStr"/>
    </row>
    <row r="828" ht="15" customHeight="1">
      <c r="A828" t="inlineStr">
        <is>
          <t>A 15197-2019</t>
        </is>
      </c>
      <c r="B828" s="1" t="n">
        <v>43539</v>
      </c>
      <c r="C828" s="1" t="n">
        <v>45360</v>
      </c>
      <c r="D828" t="inlineStr">
        <is>
          <t>ÖREBRO LÄN</t>
        </is>
      </c>
      <c r="E828" t="inlineStr">
        <is>
          <t>LEKEBERG</t>
        </is>
      </c>
      <c r="G828" t="n">
        <v>2.9</v>
      </c>
      <c r="H828" t="n">
        <v>0</v>
      </c>
      <c r="I828" t="n">
        <v>0</v>
      </c>
      <c r="J828" t="n">
        <v>0</v>
      </c>
      <c r="K828" t="n">
        <v>0</v>
      </c>
      <c r="L828" t="n">
        <v>0</v>
      </c>
      <c r="M828" t="n">
        <v>0</v>
      </c>
      <c r="N828" t="n">
        <v>0</v>
      </c>
      <c r="O828" t="n">
        <v>0</v>
      </c>
      <c r="P828" t="n">
        <v>0</v>
      </c>
      <c r="Q828" t="n">
        <v>0</v>
      </c>
      <c r="R828" s="2" t="inlineStr"/>
    </row>
    <row r="829" ht="15" customHeight="1">
      <c r="A829" t="inlineStr">
        <is>
          <t>A 15133-2019</t>
        </is>
      </c>
      <c r="B829" s="1" t="n">
        <v>43539</v>
      </c>
      <c r="C829" s="1" t="n">
        <v>45360</v>
      </c>
      <c r="D829" t="inlineStr">
        <is>
          <t>ÖREBRO LÄN</t>
        </is>
      </c>
      <c r="E829" t="inlineStr">
        <is>
          <t>ASKERSUND</t>
        </is>
      </c>
      <c r="G829" t="n">
        <v>0.7</v>
      </c>
      <c r="H829" t="n">
        <v>0</v>
      </c>
      <c r="I829" t="n">
        <v>0</v>
      </c>
      <c r="J829" t="n">
        <v>0</v>
      </c>
      <c r="K829" t="n">
        <v>0</v>
      </c>
      <c r="L829" t="n">
        <v>0</v>
      </c>
      <c r="M829" t="n">
        <v>0</v>
      </c>
      <c r="N829" t="n">
        <v>0</v>
      </c>
      <c r="O829" t="n">
        <v>0</v>
      </c>
      <c r="P829" t="n">
        <v>0</v>
      </c>
      <c r="Q829" t="n">
        <v>0</v>
      </c>
      <c r="R829" s="2" t="inlineStr"/>
    </row>
    <row r="830" ht="15" customHeight="1">
      <c r="A830" t="inlineStr">
        <is>
          <t>A 15349-2019</t>
        </is>
      </c>
      <c r="B830" s="1" t="n">
        <v>43541</v>
      </c>
      <c r="C830" s="1" t="n">
        <v>45360</v>
      </c>
      <c r="D830" t="inlineStr">
        <is>
          <t>ÖREBRO LÄN</t>
        </is>
      </c>
      <c r="E830" t="inlineStr">
        <is>
          <t>ÖREBRO</t>
        </is>
      </c>
      <c r="G830" t="n">
        <v>0.5</v>
      </c>
      <c r="H830" t="n">
        <v>0</v>
      </c>
      <c r="I830" t="n">
        <v>0</v>
      </c>
      <c r="J830" t="n">
        <v>0</v>
      </c>
      <c r="K830" t="n">
        <v>0</v>
      </c>
      <c r="L830" t="n">
        <v>0</v>
      </c>
      <c r="M830" t="n">
        <v>0</v>
      </c>
      <c r="N830" t="n">
        <v>0</v>
      </c>
      <c r="O830" t="n">
        <v>0</v>
      </c>
      <c r="P830" t="n">
        <v>0</v>
      </c>
      <c r="Q830" t="n">
        <v>0</v>
      </c>
      <c r="R830" s="2" t="inlineStr"/>
    </row>
    <row r="831" ht="15" customHeight="1">
      <c r="A831" t="inlineStr">
        <is>
          <t>A 15395-2019</t>
        </is>
      </c>
      <c r="B831" s="1" t="n">
        <v>43542</v>
      </c>
      <c r="C831" s="1" t="n">
        <v>45360</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15740-2019</t>
        </is>
      </c>
      <c r="B832" s="1" t="n">
        <v>43542</v>
      </c>
      <c r="C832" s="1" t="n">
        <v>45360</v>
      </c>
      <c r="D832" t="inlineStr">
        <is>
          <t>ÖREBRO LÄN</t>
        </is>
      </c>
      <c r="E832" t="inlineStr">
        <is>
          <t>ASKERSUND</t>
        </is>
      </c>
      <c r="G832" t="n">
        <v>3.3</v>
      </c>
      <c r="H832" t="n">
        <v>0</v>
      </c>
      <c r="I832" t="n">
        <v>0</v>
      </c>
      <c r="J832" t="n">
        <v>0</v>
      </c>
      <c r="K832" t="n">
        <v>0</v>
      </c>
      <c r="L832" t="n">
        <v>0</v>
      </c>
      <c r="M832" t="n">
        <v>0</v>
      </c>
      <c r="N832" t="n">
        <v>0</v>
      </c>
      <c r="O832" t="n">
        <v>0</v>
      </c>
      <c r="P832" t="n">
        <v>0</v>
      </c>
      <c r="Q832" t="n">
        <v>0</v>
      </c>
      <c r="R832" s="2" t="inlineStr"/>
    </row>
    <row r="833" ht="15" customHeight="1">
      <c r="A833" t="inlineStr">
        <is>
          <t>A 15829-2019</t>
        </is>
      </c>
      <c r="B833" s="1" t="n">
        <v>43542</v>
      </c>
      <c r="C833" s="1" t="n">
        <v>45360</v>
      </c>
      <c r="D833" t="inlineStr">
        <is>
          <t>ÖREBRO LÄN</t>
        </is>
      </c>
      <c r="E833" t="inlineStr">
        <is>
          <t>LAXÅ</t>
        </is>
      </c>
      <c r="G833" t="n">
        <v>2.7</v>
      </c>
      <c r="H833" t="n">
        <v>0</v>
      </c>
      <c r="I833" t="n">
        <v>0</v>
      </c>
      <c r="J833" t="n">
        <v>0</v>
      </c>
      <c r="K833" t="n">
        <v>0</v>
      </c>
      <c r="L833" t="n">
        <v>0</v>
      </c>
      <c r="M833" t="n">
        <v>0</v>
      </c>
      <c r="N833" t="n">
        <v>0</v>
      </c>
      <c r="O833" t="n">
        <v>0</v>
      </c>
      <c r="P833" t="n">
        <v>0</v>
      </c>
      <c r="Q833" t="n">
        <v>0</v>
      </c>
      <c r="R833" s="2" t="inlineStr"/>
    </row>
    <row r="834" ht="15" customHeight="1">
      <c r="A834" t="inlineStr">
        <is>
          <t>A 15801-2019</t>
        </is>
      </c>
      <c r="B834" s="1" t="n">
        <v>43543</v>
      </c>
      <c r="C834" s="1" t="n">
        <v>45360</v>
      </c>
      <c r="D834" t="inlineStr">
        <is>
          <t>ÖREBRO LÄN</t>
        </is>
      </c>
      <c r="E834" t="inlineStr">
        <is>
          <t>ÖREBRO</t>
        </is>
      </c>
      <c r="G834" t="n">
        <v>1.8</v>
      </c>
      <c r="H834" t="n">
        <v>0</v>
      </c>
      <c r="I834" t="n">
        <v>0</v>
      </c>
      <c r="J834" t="n">
        <v>0</v>
      </c>
      <c r="K834" t="n">
        <v>0</v>
      </c>
      <c r="L834" t="n">
        <v>0</v>
      </c>
      <c r="M834" t="n">
        <v>0</v>
      </c>
      <c r="N834" t="n">
        <v>0</v>
      </c>
      <c r="O834" t="n">
        <v>0</v>
      </c>
      <c r="P834" t="n">
        <v>0</v>
      </c>
      <c r="Q834" t="n">
        <v>0</v>
      </c>
      <c r="R834" s="2" t="inlineStr"/>
    </row>
    <row r="835" ht="15" customHeight="1">
      <c r="A835" t="inlineStr">
        <is>
          <t>A 15866-2019</t>
        </is>
      </c>
      <c r="B835" s="1" t="n">
        <v>43543</v>
      </c>
      <c r="C835" s="1" t="n">
        <v>45360</v>
      </c>
      <c r="D835" t="inlineStr">
        <is>
          <t>ÖREBRO LÄN</t>
        </is>
      </c>
      <c r="E835" t="inlineStr">
        <is>
          <t>ASKERSUND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15868-2019</t>
        </is>
      </c>
      <c r="B836" s="1" t="n">
        <v>43543</v>
      </c>
      <c r="C836" s="1" t="n">
        <v>45360</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15864-2019</t>
        </is>
      </c>
      <c r="B837" s="1" t="n">
        <v>43543</v>
      </c>
      <c r="C837" s="1" t="n">
        <v>45360</v>
      </c>
      <c r="D837" t="inlineStr">
        <is>
          <t>ÖREBRO LÄN</t>
        </is>
      </c>
      <c r="E837" t="inlineStr">
        <is>
          <t>ASKERSUND</t>
        </is>
      </c>
      <c r="G837" t="n">
        <v>1</v>
      </c>
      <c r="H837" t="n">
        <v>0</v>
      </c>
      <c r="I837" t="n">
        <v>0</v>
      </c>
      <c r="J837" t="n">
        <v>0</v>
      </c>
      <c r="K837" t="n">
        <v>0</v>
      </c>
      <c r="L837" t="n">
        <v>0</v>
      </c>
      <c r="M837" t="n">
        <v>0</v>
      </c>
      <c r="N837" t="n">
        <v>0</v>
      </c>
      <c r="O837" t="n">
        <v>0</v>
      </c>
      <c r="P837" t="n">
        <v>0</v>
      </c>
      <c r="Q837" t="n">
        <v>0</v>
      </c>
      <c r="R837" s="2" t="inlineStr"/>
    </row>
    <row r="838" ht="15" customHeight="1">
      <c r="A838" t="inlineStr">
        <is>
          <t>A 15623-2019</t>
        </is>
      </c>
      <c r="B838" s="1" t="n">
        <v>43543</v>
      </c>
      <c r="C838" s="1" t="n">
        <v>45360</v>
      </c>
      <c r="D838" t="inlineStr">
        <is>
          <t>ÖREBRO LÄN</t>
        </is>
      </c>
      <c r="E838" t="inlineStr">
        <is>
          <t>HALLSBERG</t>
        </is>
      </c>
      <c r="G838" t="n">
        <v>2.7</v>
      </c>
      <c r="H838" t="n">
        <v>0</v>
      </c>
      <c r="I838" t="n">
        <v>0</v>
      </c>
      <c r="J838" t="n">
        <v>0</v>
      </c>
      <c r="K838" t="n">
        <v>0</v>
      </c>
      <c r="L838" t="n">
        <v>0</v>
      </c>
      <c r="M838" t="n">
        <v>0</v>
      </c>
      <c r="N838" t="n">
        <v>0</v>
      </c>
      <c r="O838" t="n">
        <v>0</v>
      </c>
      <c r="P838" t="n">
        <v>0</v>
      </c>
      <c r="Q838" t="n">
        <v>0</v>
      </c>
      <c r="R838" s="2" t="inlineStr"/>
    </row>
    <row r="839" ht="15" customHeight="1">
      <c r="A839" t="inlineStr">
        <is>
          <t>A 16129-2019</t>
        </is>
      </c>
      <c r="B839" s="1" t="n">
        <v>43544</v>
      </c>
      <c r="C839" s="1" t="n">
        <v>45360</v>
      </c>
      <c r="D839" t="inlineStr">
        <is>
          <t>ÖREBRO LÄN</t>
        </is>
      </c>
      <c r="E839" t="inlineStr">
        <is>
          <t>ÖREBRO</t>
        </is>
      </c>
      <c r="G839" t="n">
        <v>0.3</v>
      </c>
      <c r="H839" t="n">
        <v>0</v>
      </c>
      <c r="I839" t="n">
        <v>0</v>
      </c>
      <c r="J839" t="n">
        <v>0</v>
      </c>
      <c r="K839" t="n">
        <v>0</v>
      </c>
      <c r="L839" t="n">
        <v>0</v>
      </c>
      <c r="M839" t="n">
        <v>0</v>
      </c>
      <c r="N839" t="n">
        <v>0</v>
      </c>
      <c r="O839" t="n">
        <v>0</v>
      </c>
      <c r="P839" t="n">
        <v>0</v>
      </c>
      <c r="Q839" t="n">
        <v>0</v>
      </c>
      <c r="R839" s="2" t="inlineStr"/>
    </row>
    <row r="840" ht="15" customHeight="1">
      <c r="A840" t="inlineStr">
        <is>
          <t>A 16046-2019</t>
        </is>
      </c>
      <c r="B840" s="1" t="n">
        <v>43544</v>
      </c>
      <c r="C840" s="1" t="n">
        <v>45360</v>
      </c>
      <c r="D840" t="inlineStr">
        <is>
          <t>ÖREBRO LÄN</t>
        </is>
      </c>
      <c r="E840" t="inlineStr">
        <is>
          <t>LAXÅ</t>
        </is>
      </c>
      <c r="G840" t="n">
        <v>1.4</v>
      </c>
      <c r="H840" t="n">
        <v>0</v>
      </c>
      <c r="I840" t="n">
        <v>0</v>
      </c>
      <c r="J840" t="n">
        <v>0</v>
      </c>
      <c r="K840" t="n">
        <v>0</v>
      </c>
      <c r="L840" t="n">
        <v>0</v>
      </c>
      <c r="M840" t="n">
        <v>0</v>
      </c>
      <c r="N840" t="n">
        <v>0</v>
      </c>
      <c r="O840" t="n">
        <v>0</v>
      </c>
      <c r="P840" t="n">
        <v>0</v>
      </c>
      <c r="Q840" t="n">
        <v>0</v>
      </c>
      <c r="R840" s="2" t="inlineStr"/>
    </row>
    <row r="841" ht="15" customHeight="1">
      <c r="A841" t="inlineStr">
        <is>
          <t>A 16086-2019</t>
        </is>
      </c>
      <c r="B841" s="1" t="n">
        <v>43544</v>
      </c>
      <c r="C841" s="1" t="n">
        <v>45360</v>
      </c>
      <c r="D841" t="inlineStr">
        <is>
          <t>ÖREBRO LÄN</t>
        </is>
      </c>
      <c r="E841" t="inlineStr">
        <is>
          <t>NORA</t>
        </is>
      </c>
      <c r="G841" t="n">
        <v>5.6</v>
      </c>
      <c r="H841" t="n">
        <v>0</v>
      </c>
      <c r="I841" t="n">
        <v>0</v>
      </c>
      <c r="J841" t="n">
        <v>0</v>
      </c>
      <c r="K841" t="n">
        <v>0</v>
      </c>
      <c r="L841" t="n">
        <v>0</v>
      </c>
      <c r="M841" t="n">
        <v>0</v>
      </c>
      <c r="N841" t="n">
        <v>0</v>
      </c>
      <c r="O841" t="n">
        <v>0</v>
      </c>
      <c r="P841" t="n">
        <v>0</v>
      </c>
      <c r="Q841" t="n">
        <v>0</v>
      </c>
      <c r="R841" s="2" t="inlineStr"/>
    </row>
    <row r="842" ht="15" customHeight="1">
      <c r="A842" t="inlineStr">
        <is>
          <t>A 16088-2019</t>
        </is>
      </c>
      <c r="B842" s="1" t="n">
        <v>43544</v>
      </c>
      <c r="C842" s="1" t="n">
        <v>45360</v>
      </c>
      <c r="D842" t="inlineStr">
        <is>
          <t>ÖREBRO LÄN</t>
        </is>
      </c>
      <c r="E842" t="inlineStr">
        <is>
          <t>LINDESBERG</t>
        </is>
      </c>
      <c r="F842" t="inlineStr">
        <is>
          <t>BillerudKorsnäs AB</t>
        </is>
      </c>
      <c r="G842" t="n">
        <v>1</v>
      </c>
      <c r="H842" t="n">
        <v>0</v>
      </c>
      <c r="I842" t="n">
        <v>0</v>
      </c>
      <c r="J842" t="n">
        <v>0</v>
      </c>
      <c r="K842" t="n">
        <v>0</v>
      </c>
      <c r="L842" t="n">
        <v>0</v>
      </c>
      <c r="M842" t="n">
        <v>0</v>
      </c>
      <c r="N842" t="n">
        <v>0</v>
      </c>
      <c r="O842" t="n">
        <v>0</v>
      </c>
      <c r="P842" t="n">
        <v>0</v>
      </c>
      <c r="Q842" t="n">
        <v>0</v>
      </c>
      <c r="R842" s="2" t="inlineStr"/>
    </row>
    <row r="843" ht="15" customHeight="1">
      <c r="A843" t="inlineStr">
        <is>
          <t>A 16236-2019</t>
        </is>
      </c>
      <c r="B843" s="1" t="n">
        <v>43545</v>
      </c>
      <c r="C843" s="1" t="n">
        <v>45360</v>
      </c>
      <c r="D843" t="inlineStr">
        <is>
          <t>ÖREBRO LÄN</t>
        </is>
      </c>
      <c r="E843" t="inlineStr">
        <is>
          <t>KUMLA</t>
        </is>
      </c>
      <c r="G843" t="n">
        <v>6.5</v>
      </c>
      <c r="H843" t="n">
        <v>0</v>
      </c>
      <c r="I843" t="n">
        <v>0</v>
      </c>
      <c r="J843" t="n">
        <v>0</v>
      </c>
      <c r="K843" t="n">
        <v>0</v>
      </c>
      <c r="L843" t="n">
        <v>0</v>
      </c>
      <c r="M843" t="n">
        <v>0</v>
      </c>
      <c r="N843" t="n">
        <v>0</v>
      </c>
      <c r="O843" t="n">
        <v>0</v>
      </c>
      <c r="P843" t="n">
        <v>0</v>
      </c>
      <c r="Q843" t="n">
        <v>0</v>
      </c>
      <c r="R843" s="2" t="inlineStr"/>
    </row>
    <row r="844" ht="15" customHeight="1">
      <c r="A844" t="inlineStr">
        <is>
          <t>A 16245-2019</t>
        </is>
      </c>
      <c r="B844" s="1" t="n">
        <v>43545</v>
      </c>
      <c r="C844" s="1" t="n">
        <v>45360</v>
      </c>
      <c r="D844" t="inlineStr">
        <is>
          <t>ÖREBRO LÄN</t>
        </is>
      </c>
      <c r="E844" t="inlineStr">
        <is>
          <t>ASKERSUND</t>
        </is>
      </c>
      <c r="G844" t="n">
        <v>3.8</v>
      </c>
      <c r="H844" t="n">
        <v>0</v>
      </c>
      <c r="I844" t="n">
        <v>0</v>
      </c>
      <c r="J844" t="n">
        <v>0</v>
      </c>
      <c r="K844" t="n">
        <v>0</v>
      </c>
      <c r="L844" t="n">
        <v>0</v>
      </c>
      <c r="M844" t="n">
        <v>0</v>
      </c>
      <c r="N844" t="n">
        <v>0</v>
      </c>
      <c r="O844" t="n">
        <v>0</v>
      </c>
      <c r="P844" t="n">
        <v>0</v>
      </c>
      <c r="Q844" t="n">
        <v>0</v>
      </c>
      <c r="R844" s="2" t="inlineStr"/>
    </row>
    <row r="845" ht="15" customHeight="1">
      <c r="A845" t="inlineStr">
        <is>
          <t>A 16425-2019</t>
        </is>
      </c>
      <c r="B845" s="1" t="n">
        <v>43546</v>
      </c>
      <c r="C845" s="1" t="n">
        <v>45360</v>
      </c>
      <c r="D845" t="inlineStr">
        <is>
          <t>ÖREBRO LÄN</t>
        </is>
      </c>
      <c r="E845" t="inlineStr">
        <is>
          <t>LEKEBERG</t>
        </is>
      </c>
      <c r="G845" t="n">
        <v>4</v>
      </c>
      <c r="H845" t="n">
        <v>0</v>
      </c>
      <c r="I845" t="n">
        <v>0</v>
      </c>
      <c r="J845" t="n">
        <v>0</v>
      </c>
      <c r="K845" t="n">
        <v>0</v>
      </c>
      <c r="L845" t="n">
        <v>0</v>
      </c>
      <c r="M845" t="n">
        <v>0</v>
      </c>
      <c r="N845" t="n">
        <v>0</v>
      </c>
      <c r="O845" t="n">
        <v>0</v>
      </c>
      <c r="P845" t="n">
        <v>0</v>
      </c>
      <c r="Q845" t="n">
        <v>0</v>
      </c>
      <c r="R845" s="2" t="inlineStr"/>
    </row>
    <row r="846" ht="15" customHeight="1">
      <c r="A846" t="inlineStr">
        <is>
          <t>A 16516-2019</t>
        </is>
      </c>
      <c r="B846" s="1" t="n">
        <v>43546</v>
      </c>
      <c r="C846" s="1" t="n">
        <v>45360</v>
      </c>
      <c r="D846" t="inlineStr">
        <is>
          <t>ÖREBRO LÄN</t>
        </is>
      </c>
      <c r="E846" t="inlineStr">
        <is>
          <t>LJUSNARSBERG</t>
        </is>
      </c>
      <c r="G846" t="n">
        <v>4</v>
      </c>
      <c r="H846" t="n">
        <v>0</v>
      </c>
      <c r="I846" t="n">
        <v>0</v>
      </c>
      <c r="J846" t="n">
        <v>0</v>
      </c>
      <c r="K846" t="n">
        <v>0</v>
      </c>
      <c r="L846" t="n">
        <v>0</v>
      </c>
      <c r="M846" t="n">
        <v>0</v>
      </c>
      <c r="N846" t="n">
        <v>0</v>
      </c>
      <c r="O846" t="n">
        <v>0</v>
      </c>
      <c r="P846" t="n">
        <v>0</v>
      </c>
      <c r="Q846" t="n">
        <v>0</v>
      </c>
      <c r="R846" s="2" t="inlineStr"/>
    </row>
    <row r="847" ht="15" customHeight="1">
      <c r="A847" t="inlineStr">
        <is>
          <t>A 16700-2019</t>
        </is>
      </c>
      <c r="B847" s="1" t="n">
        <v>43549</v>
      </c>
      <c r="C847" s="1" t="n">
        <v>45360</v>
      </c>
      <c r="D847" t="inlineStr">
        <is>
          <t>ÖREBRO LÄN</t>
        </is>
      </c>
      <c r="E847" t="inlineStr">
        <is>
          <t>LAXÅ</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16785-2019</t>
        </is>
      </c>
      <c r="B848" s="1" t="n">
        <v>43549</v>
      </c>
      <c r="C848" s="1" t="n">
        <v>45360</v>
      </c>
      <c r="D848" t="inlineStr">
        <is>
          <t>ÖREBRO LÄN</t>
        </is>
      </c>
      <c r="E848" t="inlineStr">
        <is>
          <t>NORA</t>
        </is>
      </c>
      <c r="G848" t="n">
        <v>3.7</v>
      </c>
      <c r="H848" t="n">
        <v>0</v>
      </c>
      <c r="I848" t="n">
        <v>0</v>
      </c>
      <c r="J848" t="n">
        <v>0</v>
      </c>
      <c r="K848" t="n">
        <v>0</v>
      </c>
      <c r="L848" t="n">
        <v>0</v>
      </c>
      <c r="M848" t="n">
        <v>0</v>
      </c>
      <c r="N848" t="n">
        <v>0</v>
      </c>
      <c r="O848" t="n">
        <v>0</v>
      </c>
      <c r="P848" t="n">
        <v>0</v>
      </c>
      <c r="Q848" t="n">
        <v>0</v>
      </c>
      <c r="R848" s="2" t="inlineStr"/>
    </row>
    <row r="849" ht="15" customHeight="1">
      <c r="A849" t="inlineStr">
        <is>
          <t>A 16878-2019</t>
        </is>
      </c>
      <c r="B849" s="1" t="n">
        <v>43549</v>
      </c>
      <c r="C849" s="1" t="n">
        <v>45360</v>
      </c>
      <c r="D849" t="inlineStr">
        <is>
          <t>ÖREBRO LÄN</t>
        </is>
      </c>
      <c r="E849" t="inlineStr">
        <is>
          <t>NORA</t>
        </is>
      </c>
      <c r="G849" t="n">
        <v>3.3</v>
      </c>
      <c r="H849" t="n">
        <v>0</v>
      </c>
      <c r="I849" t="n">
        <v>0</v>
      </c>
      <c r="J849" t="n">
        <v>0</v>
      </c>
      <c r="K849" t="n">
        <v>0</v>
      </c>
      <c r="L849" t="n">
        <v>0</v>
      </c>
      <c r="M849" t="n">
        <v>0</v>
      </c>
      <c r="N849" t="n">
        <v>0</v>
      </c>
      <c r="O849" t="n">
        <v>0</v>
      </c>
      <c r="P849" t="n">
        <v>0</v>
      </c>
      <c r="Q849" t="n">
        <v>0</v>
      </c>
      <c r="R849" s="2" t="inlineStr"/>
    </row>
    <row r="850" ht="15" customHeight="1">
      <c r="A850" t="inlineStr">
        <is>
          <t>A 16658-2019</t>
        </is>
      </c>
      <c r="B850" s="1" t="n">
        <v>43549</v>
      </c>
      <c r="C850" s="1" t="n">
        <v>45360</v>
      </c>
      <c r="D850" t="inlineStr">
        <is>
          <t>ÖREBRO LÄN</t>
        </is>
      </c>
      <c r="E850" t="inlineStr">
        <is>
          <t>LAXÅ</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16882-2019</t>
        </is>
      </c>
      <c r="B851" s="1" t="n">
        <v>43549</v>
      </c>
      <c r="C851" s="1" t="n">
        <v>45360</v>
      </c>
      <c r="D851" t="inlineStr">
        <is>
          <t>ÖREBRO LÄN</t>
        </is>
      </c>
      <c r="E851" t="inlineStr">
        <is>
          <t>NORA</t>
        </is>
      </c>
      <c r="G851" t="n">
        <v>10.7</v>
      </c>
      <c r="H851" t="n">
        <v>0</v>
      </c>
      <c r="I851" t="n">
        <v>0</v>
      </c>
      <c r="J851" t="n">
        <v>0</v>
      </c>
      <c r="K851" t="n">
        <v>0</v>
      </c>
      <c r="L851" t="n">
        <v>0</v>
      </c>
      <c r="M851" t="n">
        <v>0</v>
      </c>
      <c r="N851" t="n">
        <v>0</v>
      </c>
      <c r="O851" t="n">
        <v>0</v>
      </c>
      <c r="P851" t="n">
        <v>0</v>
      </c>
      <c r="Q851" t="n">
        <v>0</v>
      </c>
      <c r="R851" s="2" t="inlineStr"/>
    </row>
    <row r="852" ht="15" customHeight="1">
      <c r="A852" t="inlineStr">
        <is>
          <t>A 17014-2019</t>
        </is>
      </c>
      <c r="B852" s="1" t="n">
        <v>43550</v>
      </c>
      <c r="C852" s="1" t="n">
        <v>45360</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17118-2019</t>
        </is>
      </c>
      <c r="B853" s="1" t="n">
        <v>43551</v>
      </c>
      <c r="C853" s="1" t="n">
        <v>45360</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17031-2019</t>
        </is>
      </c>
      <c r="B854" s="1" t="n">
        <v>43551</v>
      </c>
      <c r="C854" s="1" t="n">
        <v>45360</v>
      </c>
      <c r="D854" t="inlineStr">
        <is>
          <t>ÖREBRO LÄN</t>
        </is>
      </c>
      <c r="E854" t="inlineStr">
        <is>
          <t>LINDESBERG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17287-2019</t>
        </is>
      </c>
      <c r="B855" s="1" t="n">
        <v>43552</v>
      </c>
      <c r="C855" s="1" t="n">
        <v>45360</v>
      </c>
      <c r="D855" t="inlineStr">
        <is>
          <t>ÖREBRO LÄN</t>
        </is>
      </c>
      <c r="E855" t="inlineStr">
        <is>
          <t>ASKERSUND</t>
        </is>
      </c>
      <c r="G855" t="n">
        <v>1</v>
      </c>
      <c r="H855" t="n">
        <v>0</v>
      </c>
      <c r="I855" t="n">
        <v>0</v>
      </c>
      <c r="J855" t="n">
        <v>0</v>
      </c>
      <c r="K855" t="n">
        <v>0</v>
      </c>
      <c r="L855" t="n">
        <v>0</v>
      </c>
      <c r="M855" t="n">
        <v>0</v>
      </c>
      <c r="N855" t="n">
        <v>0</v>
      </c>
      <c r="O855" t="n">
        <v>0</v>
      </c>
      <c r="P855" t="n">
        <v>0</v>
      </c>
      <c r="Q855" t="n">
        <v>0</v>
      </c>
      <c r="R855" s="2" t="inlineStr"/>
    </row>
    <row r="856" ht="15" customHeight="1">
      <c r="A856" t="inlineStr">
        <is>
          <t>A 17289-2019</t>
        </is>
      </c>
      <c r="B856" s="1" t="n">
        <v>43552</v>
      </c>
      <c r="C856" s="1" t="n">
        <v>45360</v>
      </c>
      <c r="D856" t="inlineStr">
        <is>
          <t>ÖREBRO LÄN</t>
        </is>
      </c>
      <c r="E856" t="inlineStr">
        <is>
          <t>ASKERSUND</t>
        </is>
      </c>
      <c r="G856" t="n">
        <v>6</v>
      </c>
      <c r="H856" t="n">
        <v>0</v>
      </c>
      <c r="I856" t="n">
        <v>0</v>
      </c>
      <c r="J856" t="n">
        <v>0</v>
      </c>
      <c r="K856" t="n">
        <v>0</v>
      </c>
      <c r="L856" t="n">
        <v>0</v>
      </c>
      <c r="M856" t="n">
        <v>0</v>
      </c>
      <c r="N856" t="n">
        <v>0</v>
      </c>
      <c r="O856" t="n">
        <v>0</v>
      </c>
      <c r="P856" t="n">
        <v>0</v>
      </c>
      <c r="Q856" t="n">
        <v>0</v>
      </c>
      <c r="R856" s="2" t="inlineStr"/>
    </row>
    <row r="857" ht="15" customHeight="1">
      <c r="A857" t="inlineStr">
        <is>
          <t>A 17330-2019</t>
        </is>
      </c>
      <c r="B857" s="1" t="n">
        <v>43552</v>
      </c>
      <c r="C857" s="1" t="n">
        <v>45360</v>
      </c>
      <c r="D857" t="inlineStr">
        <is>
          <t>ÖREBRO LÄN</t>
        </is>
      </c>
      <c r="E857" t="inlineStr">
        <is>
          <t>HALLSBERG</t>
        </is>
      </c>
      <c r="G857" t="n">
        <v>6</v>
      </c>
      <c r="H857" t="n">
        <v>0</v>
      </c>
      <c r="I857" t="n">
        <v>0</v>
      </c>
      <c r="J857" t="n">
        <v>0</v>
      </c>
      <c r="K857" t="n">
        <v>0</v>
      </c>
      <c r="L857" t="n">
        <v>0</v>
      </c>
      <c r="M857" t="n">
        <v>0</v>
      </c>
      <c r="N857" t="n">
        <v>0</v>
      </c>
      <c r="O857" t="n">
        <v>0</v>
      </c>
      <c r="P857" t="n">
        <v>0</v>
      </c>
      <c r="Q857" t="n">
        <v>0</v>
      </c>
      <c r="R857" s="2" t="inlineStr"/>
    </row>
    <row r="858" ht="15" customHeight="1">
      <c r="A858" t="inlineStr">
        <is>
          <t>A 17341-2019</t>
        </is>
      </c>
      <c r="B858" s="1" t="n">
        <v>43552</v>
      </c>
      <c r="C858" s="1" t="n">
        <v>45360</v>
      </c>
      <c r="D858" t="inlineStr">
        <is>
          <t>ÖREBRO LÄN</t>
        </is>
      </c>
      <c r="E858" t="inlineStr">
        <is>
          <t>HALLSBERG</t>
        </is>
      </c>
      <c r="G858" t="n">
        <v>4.8</v>
      </c>
      <c r="H858" t="n">
        <v>0</v>
      </c>
      <c r="I858" t="n">
        <v>0</v>
      </c>
      <c r="J858" t="n">
        <v>0</v>
      </c>
      <c r="K858" t="n">
        <v>0</v>
      </c>
      <c r="L858" t="n">
        <v>0</v>
      </c>
      <c r="M858" t="n">
        <v>0</v>
      </c>
      <c r="N858" t="n">
        <v>0</v>
      </c>
      <c r="O858" t="n">
        <v>0</v>
      </c>
      <c r="P858" t="n">
        <v>0</v>
      </c>
      <c r="Q858" t="n">
        <v>0</v>
      </c>
      <c r="R858" s="2" t="inlineStr"/>
    </row>
    <row r="859" ht="15" customHeight="1">
      <c r="A859" t="inlineStr">
        <is>
          <t>A 17557-2019</t>
        </is>
      </c>
      <c r="B859" s="1" t="n">
        <v>43552</v>
      </c>
      <c r="C859" s="1" t="n">
        <v>45360</v>
      </c>
      <c r="D859" t="inlineStr">
        <is>
          <t>ÖREBRO LÄN</t>
        </is>
      </c>
      <c r="E859" t="inlineStr">
        <is>
          <t>ÖREBRO</t>
        </is>
      </c>
      <c r="G859" t="n">
        <v>3.5</v>
      </c>
      <c r="H859" t="n">
        <v>0</v>
      </c>
      <c r="I859" t="n">
        <v>0</v>
      </c>
      <c r="J859" t="n">
        <v>0</v>
      </c>
      <c r="K859" t="n">
        <v>0</v>
      </c>
      <c r="L859" t="n">
        <v>0</v>
      </c>
      <c r="M859" t="n">
        <v>0</v>
      </c>
      <c r="N859" t="n">
        <v>0</v>
      </c>
      <c r="O859" t="n">
        <v>0</v>
      </c>
      <c r="P859" t="n">
        <v>0</v>
      </c>
      <c r="Q859" t="n">
        <v>0</v>
      </c>
      <c r="R859" s="2" t="inlineStr"/>
    </row>
    <row r="860" ht="15" customHeight="1">
      <c r="A860" t="inlineStr">
        <is>
          <t>A 17563-2019</t>
        </is>
      </c>
      <c r="B860" s="1" t="n">
        <v>43552</v>
      </c>
      <c r="C860" s="1" t="n">
        <v>45360</v>
      </c>
      <c r="D860" t="inlineStr">
        <is>
          <t>ÖREBRO LÄN</t>
        </is>
      </c>
      <c r="E860" t="inlineStr">
        <is>
          <t>ÖREBRO</t>
        </is>
      </c>
      <c r="G860" t="n">
        <v>5</v>
      </c>
      <c r="H860" t="n">
        <v>0</v>
      </c>
      <c r="I860" t="n">
        <v>0</v>
      </c>
      <c r="J860" t="n">
        <v>0</v>
      </c>
      <c r="K860" t="n">
        <v>0</v>
      </c>
      <c r="L860" t="n">
        <v>0</v>
      </c>
      <c r="M860" t="n">
        <v>0</v>
      </c>
      <c r="N860" t="n">
        <v>0</v>
      </c>
      <c r="O860" t="n">
        <v>0</v>
      </c>
      <c r="P860" t="n">
        <v>0</v>
      </c>
      <c r="Q860" t="n">
        <v>0</v>
      </c>
      <c r="R860" s="2" t="inlineStr"/>
    </row>
    <row r="861" ht="15" customHeight="1">
      <c r="A861" t="inlineStr">
        <is>
          <t>A 17548-2019</t>
        </is>
      </c>
      <c r="B861" s="1" t="n">
        <v>43552</v>
      </c>
      <c r="C861" s="1" t="n">
        <v>45360</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17554-2019</t>
        </is>
      </c>
      <c r="B862" s="1" t="n">
        <v>43552</v>
      </c>
      <c r="C862" s="1" t="n">
        <v>45360</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17640-2019</t>
        </is>
      </c>
      <c r="B863" s="1" t="n">
        <v>43552</v>
      </c>
      <c r="C863" s="1" t="n">
        <v>45360</v>
      </c>
      <c r="D863" t="inlineStr">
        <is>
          <t>ÖREBRO LÄN</t>
        </is>
      </c>
      <c r="E863" t="inlineStr">
        <is>
          <t>ÖREBRO</t>
        </is>
      </c>
      <c r="G863" t="n">
        <v>4.4</v>
      </c>
      <c r="H863" t="n">
        <v>0</v>
      </c>
      <c r="I863" t="n">
        <v>0</v>
      </c>
      <c r="J863" t="n">
        <v>0</v>
      </c>
      <c r="K863" t="n">
        <v>0</v>
      </c>
      <c r="L863" t="n">
        <v>0</v>
      </c>
      <c r="M863" t="n">
        <v>0</v>
      </c>
      <c r="N863" t="n">
        <v>0</v>
      </c>
      <c r="O863" t="n">
        <v>0</v>
      </c>
      <c r="P863" t="n">
        <v>0</v>
      </c>
      <c r="Q863" t="n">
        <v>0</v>
      </c>
      <c r="R863" s="2" t="inlineStr"/>
    </row>
    <row r="864" ht="15" customHeight="1">
      <c r="A864" t="inlineStr">
        <is>
          <t>A 17560-2019</t>
        </is>
      </c>
      <c r="B864" s="1" t="n">
        <v>43552</v>
      </c>
      <c r="C864" s="1" t="n">
        <v>45360</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17648-2019</t>
        </is>
      </c>
      <c r="B865" s="1" t="n">
        <v>43552</v>
      </c>
      <c r="C865" s="1" t="n">
        <v>45360</v>
      </c>
      <c r="D865" t="inlineStr">
        <is>
          <t>ÖREBRO LÄN</t>
        </is>
      </c>
      <c r="E865" t="inlineStr">
        <is>
          <t>ÖREBRO</t>
        </is>
      </c>
      <c r="G865" t="n">
        <v>4</v>
      </c>
      <c r="H865" t="n">
        <v>0</v>
      </c>
      <c r="I865" t="n">
        <v>0</v>
      </c>
      <c r="J865" t="n">
        <v>0</v>
      </c>
      <c r="K865" t="n">
        <v>0</v>
      </c>
      <c r="L865" t="n">
        <v>0</v>
      </c>
      <c r="M865" t="n">
        <v>0</v>
      </c>
      <c r="N865" t="n">
        <v>0</v>
      </c>
      <c r="O865" t="n">
        <v>0</v>
      </c>
      <c r="P865" t="n">
        <v>0</v>
      </c>
      <c r="Q865" t="n">
        <v>0</v>
      </c>
      <c r="R865" s="2" t="inlineStr"/>
    </row>
    <row r="866" ht="15" customHeight="1">
      <c r="A866" t="inlineStr">
        <is>
          <t>A 17320-2019</t>
        </is>
      </c>
      <c r="B866" s="1" t="n">
        <v>43552</v>
      </c>
      <c r="C866" s="1" t="n">
        <v>45360</v>
      </c>
      <c r="D866" t="inlineStr">
        <is>
          <t>ÖREBRO LÄN</t>
        </is>
      </c>
      <c r="E866" t="inlineStr">
        <is>
          <t>HÄLLEFORS</t>
        </is>
      </c>
      <c r="F866" t="inlineStr">
        <is>
          <t>Bergvik skog väst AB</t>
        </is>
      </c>
      <c r="G866" t="n">
        <v>44.2</v>
      </c>
      <c r="H866" t="n">
        <v>0</v>
      </c>
      <c r="I866" t="n">
        <v>0</v>
      </c>
      <c r="J866" t="n">
        <v>0</v>
      </c>
      <c r="K866" t="n">
        <v>0</v>
      </c>
      <c r="L866" t="n">
        <v>0</v>
      </c>
      <c r="M866" t="n">
        <v>0</v>
      </c>
      <c r="N866" t="n">
        <v>0</v>
      </c>
      <c r="O866" t="n">
        <v>0</v>
      </c>
      <c r="P866" t="n">
        <v>0</v>
      </c>
      <c r="Q866" t="n">
        <v>0</v>
      </c>
      <c r="R866" s="2" t="inlineStr"/>
    </row>
    <row r="867" ht="15" customHeight="1">
      <c r="A867" t="inlineStr">
        <is>
          <t>A 17643-2019</t>
        </is>
      </c>
      <c r="B867" s="1" t="n">
        <v>43552</v>
      </c>
      <c r="C867" s="1" t="n">
        <v>45360</v>
      </c>
      <c r="D867" t="inlineStr">
        <is>
          <t>ÖREBRO LÄN</t>
        </is>
      </c>
      <c r="E867" t="inlineStr">
        <is>
          <t>ÖREBRO</t>
        </is>
      </c>
      <c r="G867" t="n">
        <v>3.7</v>
      </c>
      <c r="H867" t="n">
        <v>0</v>
      </c>
      <c r="I867" t="n">
        <v>0</v>
      </c>
      <c r="J867" t="n">
        <v>0</v>
      </c>
      <c r="K867" t="n">
        <v>0</v>
      </c>
      <c r="L867" t="n">
        <v>0</v>
      </c>
      <c r="M867" t="n">
        <v>0</v>
      </c>
      <c r="N867" t="n">
        <v>0</v>
      </c>
      <c r="O867" t="n">
        <v>0</v>
      </c>
      <c r="P867" t="n">
        <v>0</v>
      </c>
      <c r="Q867" t="n">
        <v>0</v>
      </c>
      <c r="R867" s="2" t="inlineStr"/>
    </row>
    <row r="868" ht="15" customHeight="1">
      <c r="A868" t="inlineStr">
        <is>
          <t>A 17293-2019</t>
        </is>
      </c>
      <c r="B868" s="1" t="n">
        <v>43552</v>
      </c>
      <c r="C868" s="1" t="n">
        <v>45360</v>
      </c>
      <c r="D868" t="inlineStr">
        <is>
          <t>ÖREBRO LÄN</t>
        </is>
      </c>
      <c r="E868" t="inlineStr">
        <is>
          <t>ASKERSUND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17549-2019</t>
        </is>
      </c>
      <c r="B869" s="1" t="n">
        <v>43553</v>
      </c>
      <c r="C869" s="1" t="n">
        <v>45360</v>
      </c>
      <c r="D869" t="inlineStr">
        <is>
          <t>ÖREBRO LÄN</t>
        </is>
      </c>
      <c r="E869" t="inlineStr">
        <is>
          <t>LINDESBERG</t>
        </is>
      </c>
      <c r="G869" t="n">
        <v>2.5</v>
      </c>
      <c r="H869" t="n">
        <v>0</v>
      </c>
      <c r="I869" t="n">
        <v>0</v>
      </c>
      <c r="J869" t="n">
        <v>0</v>
      </c>
      <c r="K869" t="n">
        <v>0</v>
      </c>
      <c r="L869" t="n">
        <v>0</v>
      </c>
      <c r="M869" t="n">
        <v>0</v>
      </c>
      <c r="N869" t="n">
        <v>0</v>
      </c>
      <c r="O869" t="n">
        <v>0</v>
      </c>
      <c r="P869" t="n">
        <v>0</v>
      </c>
      <c r="Q869" t="n">
        <v>0</v>
      </c>
      <c r="R869" s="2" t="inlineStr"/>
    </row>
    <row r="870" ht="15" customHeight="1">
      <c r="A870" t="inlineStr">
        <is>
          <t>A 17632-2019</t>
        </is>
      </c>
      <c r="B870" s="1" t="n">
        <v>43556</v>
      </c>
      <c r="C870" s="1" t="n">
        <v>45360</v>
      </c>
      <c r="D870" t="inlineStr">
        <is>
          <t>ÖREBRO LÄN</t>
        </is>
      </c>
      <c r="E870" t="inlineStr">
        <is>
          <t>HALLSBERG</t>
        </is>
      </c>
      <c r="G870" t="n">
        <v>3.6</v>
      </c>
      <c r="H870" t="n">
        <v>0</v>
      </c>
      <c r="I870" t="n">
        <v>0</v>
      </c>
      <c r="J870" t="n">
        <v>0</v>
      </c>
      <c r="K870" t="n">
        <v>0</v>
      </c>
      <c r="L870" t="n">
        <v>0</v>
      </c>
      <c r="M870" t="n">
        <v>0</v>
      </c>
      <c r="N870" t="n">
        <v>0</v>
      </c>
      <c r="O870" t="n">
        <v>0</v>
      </c>
      <c r="P870" t="n">
        <v>0</v>
      </c>
      <c r="Q870" t="n">
        <v>0</v>
      </c>
      <c r="R870" s="2" t="inlineStr"/>
    </row>
    <row r="871" ht="15" customHeight="1">
      <c r="A871" t="inlineStr">
        <is>
          <t>A 17995-2019</t>
        </is>
      </c>
      <c r="B871" s="1" t="n">
        <v>43556</v>
      </c>
      <c r="C871" s="1" t="n">
        <v>45360</v>
      </c>
      <c r="D871" t="inlineStr">
        <is>
          <t>ÖREBRO LÄN</t>
        </is>
      </c>
      <c r="E871" t="inlineStr">
        <is>
          <t>ASKERSUND</t>
        </is>
      </c>
      <c r="G871" t="n">
        <v>4.6</v>
      </c>
      <c r="H871" t="n">
        <v>0</v>
      </c>
      <c r="I871" t="n">
        <v>0</v>
      </c>
      <c r="J871" t="n">
        <v>0</v>
      </c>
      <c r="K871" t="n">
        <v>0</v>
      </c>
      <c r="L871" t="n">
        <v>0</v>
      </c>
      <c r="M871" t="n">
        <v>0</v>
      </c>
      <c r="N871" t="n">
        <v>0</v>
      </c>
      <c r="O871" t="n">
        <v>0</v>
      </c>
      <c r="P871" t="n">
        <v>0</v>
      </c>
      <c r="Q871" t="n">
        <v>0</v>
      </c>
      <c r="R871" s="2" t="inlineStr"/>
    </row>
    <row r="872" ht="15" customHeight="1">
      <c r="A872" t="inlineStr">
        <is>
          <t>A 17842-2019</t>
        </is>
      </c>
      <c r="B872" s="1" t="n">
        <v>43556</v>
      </c>
      <c r="C872" s="1" t="n">
        <v>45360</v>
      </c>
      <c r="D872" t="inlineStr">
        <is>
          <t>ÖREBRO LÄN</t>
        </is>
      </c>
      <c r="E872" t="inlineStr">
        <is>
          <t>DEGERFORS</t>
        </is>
      </c>
      <c r="G872" t="n">
        <v>2.9</v>
      </c>
      <c r="H872" t="n">
        <v>0</v>
      </c>
      <c r="I872" t="n">
        <v>0</v>
      </c>
      <c r="J872" t="n">
        <v>0</v>
      </c>
      <c r="K872" t="n">
        <v>0</v>
      </c>
      <c r="L872" t="n">
        <v>0</v>
      </c>
      <c r="M872" t="n">
        <v>0</v>
      </c>
      <c r="N872" t="n">
        <v>0</v>
      </c>
      <c r="O872" t="n">
        <v>0</v>
      </c>
      <c r="P872" t="n">
        <v>0</v>
      </c>
      <c r="Q872" t="n">
        <v>0</v>
      </c>
      <c r="R872" s="2" t="inlineStr"/>
    </row>
    <row r="873" ht="15" customHeight="1">
      <c r="A873" t="inlineStr">
        <is>
          <t>A 18053-2019</t>
        </is>
      </c>
      <c r="B873" s="1" t="n">
        <v>43557</v>
      </c>
      <c r="C873" s="1" t="n">
        <v>45360</v>
      </c>
      <c r="D873" t="inlineStr">
        <is>
          <t>ÖREBRO LÄN</t>
        </is>
      </c>
      <c r="E873" t="inlineStr">
        <is>
          <t>LINDESBERG</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18433-2019</t>
        </is>
      </c>
      <c r="B874" s="1" t="n">
        <v>43557</v>
      </c>
      <c r="C874" s="1" t="n">
        <v>45360</v>
      </c>
      <c r="D874" t="inlineStr">
        <is>
          <t>ÖREBRO LÄN</t>
        </is>
      </c>
      <c r="E874" t="inlineStr">
        <is>
          <t>LEKEBERG</t>
        </is>
      </c>
      <c r="G874" t="n">
        <v>2.9</v>
      </c>
      <c r="H874" t="n">
        <v>0</v>
      </c>
      <c r="I874" t="n">
        <v>0</v>
      </c>
      <c r="J874" t="n">
        <v>0</v>
      </c>
      <c r="K874" t="n">
        <v>0</v>
      </c>
      <c r="L874" t="n">
        <v>0</v>
      </c>
      <c r="M874" t="n">
        <v>0</v>
      </c>
      <c r="N874" t="n">
        <v>0</v>
      </c>
      <c r="O874" t="n">
        <v>0</v>
      </c>
      <c r="P874" t="n">
        <v>0</v>
      </c>
      <c r="Q874" t="n">
        <v>0</v>
      </c>
      <c r="R874" s="2" t="inlineStr"/>
    </row>
    <row r="875" ht="15" customHeight="1">
      <c r="A875" t="inlineStr">
        <is>
          <t>A 18034-2019</t>
        </is>
      </c>
      <c r="B875" s="1" t="n">
        <v>43557</v>
      </c>
      <c r="C875" s="1" t="n">
        <v>45360</v>
      </c>
      <c r="D875" t="inlineStr">
        <is>
          <t>ÖREBRO LÄN</t>
        </is>
      </c>
      <c r="E875" t="inlineStr">
        <is>
          <t>ÖREBRO</t>
        </is>
      </c>
      <c r="G875" t="n">
        <v>1</v>
      </c>
      <c r="H875" t="n">
        <v>0</v>
      </c>
      <c r="I875" t="n">
        <v>0</v>
      </c>
      <c r="J875" t="n">
        <v>0</v>
      </c>
      <c r="K875" t="n">
        <v>0</v>
      </c>
      <c r="L875" t="n">
        <v>0</v>
      </c>
      <c r="M875" t="n">
        <v>0</v>
      </c>
      <c r="N875" t="n">
        <v>0</v>
      </c>
      <c r="O875" t="n">
        <v>0</v>
      </c>
      <c r="P875" t="n">
        <v>0</v>
      </c>
      <c r="Q875" t="n">
        <v>0</v>
      </c>
      <c r="R875" s="2" t="inlineStr"/>
    </row>
    <row r="876" ht="15" customHeight="1">
      <c r="A876" t="inlineStr">
        <is>
          <t>A 18437-2019</t>
        </is>
      </c>
      <c r="B876" s="1" t="n">
        <v>43557</v>
      </c>
      <c r="C876" s="1" t="n">
        <v>45360</v>
      </c>
      <c r="D876" t="inlineStr">
        <is>
          <t>ÖREBRO LÄN</t>
        </is>
      </c>
      <c r="E876" t="inlineStr">
        <is>
          <t>LEKEBERG</t>
        </is>
      </c>
      <c r="G876" t="n">
        <v>0.7</v>
      </c>
      <c r="H876" t="n">
        <v>0</v>
      </c>
      <c r="I876" t="n">
        <v>0</v>
      </c>
      <c r="J876" t="n">
        <v>0</v>
      </c>
      <c r="K876" t="n">
        <v>0</v>
      </c>
      <c r="L876" t="n">
        <v>0</v>
      </c>
      <c r="M876" t="n">
        <v>0</v>
      </c>
      <c r="N876" t="n">
        <v>0</v>
      </c>
      <c r="O876" t="n">
        <v>0</v>
      </c>
      <c r="P876" t="n">
        <v>0</v>
      </c>
      <c r="Q876" t="n">
        <v>0</v>
      </c>
      <c r="R876" s="2" t="inlineStr"/>
    </row>
    <row r="877" ht="15" customHeight="1">
      <c r="A877" t="inlineStr">
        <is>
          <t>A 18193-2019</t>
        </is>
      </c>
      <c r="B877" s="1" t="n">
        <v>43558</v>
      </c>
      <c r="C877" s="1" t="n">
        <v>45360</v>
      </c>
      <c r="D877" t="inlineStr">
        <is>
          <t>ÖREBRO LÄN</t>
        </is>
      </c>
      <c r="E877" t="inlineStr">
        <is>
          <t>ASKERSUND</t>
        </is>
      </c>
      <c r="G877" t="n">
        <v>5.9</v>
      </c>
      <c r="H877" t="n">
        <v>0</v>
      </c>
      <c r="I877" t="n">
        <v>0</v>
      </c>
      <c r="J877" t="n">
        <v>0</v>
      </c>
      <c r="K877" t="n">
        <v>0</v>
      </c>
      <c r="L877" t="n">
        <v>0</v>
      </c>
      <c r="M877" t="n">
        <v>0</v>
      </c>
      <c r="N877" t="n">
        <v>0</v>
      </c>
      <c r="O877" t="n">
        <v>0</v>
      </c>
      <c r="P877" t="n">
        <v>0</v>
      </c>
      <c r="Q877" t="n">
        <v>0</v>
      </c>
      <c r="R877" s="2" t="inlineStr"/>
    </row>
    <row r="878" ht="15" customHeight="1">
      <c r="A878" t="inlineStr">
        <is>
          <t>A 18119-2019</t>
        </is>
      </c>
      <c r="B878" s="1" t="n">
        <v>43558</v>
      </c>
      <c r="C878" s="1" t="n">
        <v>45360</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18702-2019</t>
        </is>
      </c>
      <c r="B879" s="1" t="n">
        <v>43558</v>
      </c>
      <c r="C879" s="1" t="n">
        <v>45360</v>
      </c>
      <c r="D879" t="inlineStr">
        <is>
          <t>ÖREBRO LÄN</t>
        </is>
      </c>
      <c r="E879" t="inlineStr">
        <is>
          <t>ASKERSUND</t>
        </is>
      </c>
      <c r="G879" t="n">
        <v>7.7</v>
      </c>
      <c r="H879" t="n">
        <v>0</v>
      </c>
      <c r="I879" t="n">
        <v>0</v>
      </c>
      <c r="J879" t="n">
        <v>0</v>
      </c>
      <c r="K879" t="n">
        <v>0</v>
      </c>
      <c r="L879" t="n">
        <v>0</v>
      </c>
      <c r="M879" t="n">
        <v>0</v>
      </c>
      <c r="N879" t="n">
        <v>0</v>
      </c>
      <c r="O879" t="n">
        <v>0</v>
      </c>
      <c r="P879" t="n">
        <v>0</v>
      </c>
      <c r="Q879" t="n">
        <v>0</v>
      </c>
      <c r="R879" s="2" t="inlineStr"/>
    </row>
    <row r="880" ht="15" customHeight="1">
      <c r="A880" t="inlineStr">
        <is>
          <t>A 18123-2019</t>
        </is>
      </c>
      <c r="B880" s="1" t="n">
        <v>43558</v>
      </c>
      <c r="C880" s="1" t="n">
        <v>45360</v>
      </c>
      <c r="D880" t="inlineStr">
        <is>
          <t>ÖREBRO LÄN</t>
        </is>
      </c>
      <c r="E880" t="inlineStr">
        <is>
          <t>KUMLA</t>
        </is>
      </c>
      <c r="G880" t="n">
        <v>0.9</v>
      </c>
      <c r="H880" t="n">
        <v>0</v>
      </c>
      <c r="I880" t="n">
        <v>0</v>
      </c>
      <c r="J880" t="n">
        <v>0</v>
      </c>
      <c r="K880" t="n">
        <v>0</v>
      </c>
      <c r="L880" t="n">
        <v>0</v>
      </c>
      <c r="M880" t="n">
        <v>0</v>
      </c>
      <c r="N880" t="n">
        <v>0</v>
      </c>
      <c r="O880" t="n">
        <v>0</v>
      </c>
      <c r="P880" t="n">
        <v>0</v>
      </c>
      <c r="Q880" t="n">
        <v>0</v>
      </c>
      <c r="R880" s="2" t="inlineStr"/>
    </row>
    <row r="881" ht="15" customHeight="1">
      <c r="A881" t="inlineStr">
        <is>
          <t>A 18331-2019</t>
        </is>
      </c>
      <c r="B881" s="1" t="n">
        <v>43558</v>
      </c>
      <c r="C881" s="1" t="n">
        <v>45360</v>
      </c>
      <c r="D881" t="inlineStr">
        <is>
          <t>ÖREBRO LÄN</t>
        </is>
      </c>
      <c r="E881" t="inlineStr">
        <is>
          <t>HALLSBERG</t>
        </is>
      </c>
      <c r="G881" t="n">
        <v>3.1</v>
      </c>
      <c r="H881" t="n">
        <v>0</v>
      </c>
      <c r="I881" t="n">
        <v>0</v>
      </c>
      <c r="J881" t="n">
        <v>0</v>
      </c>
      <c r="K881" t="n">
        <v>0</v>
      </c>
      <c r="L881" t="n">
        <v>0</v>
      </c>
      <c r="M881" t="n">
        <v>0</v>
      </c>
      <c r="N881" t="n">
        <v>0</v>
      </c>
      <c r="O881" t="n">
        <v>0</v>
      </c>
      <c r="P881" t="n">
        <v>0</v>
      </c>
      <c r="Q881" t="n">
        <v>0</v>
      </c>
      <c r="R881" s="2" t="inlineStr"/>
    </row>
    <row r="882" ht="15" customHeight="1">
      <c r="A882" t="inlineStr">
        <is>
          <t>A 18382-2019</t>
        </is>
      </c>
      <c r="B882" s="1" t="n">
        <v>43559</v>
      </c>
      <c r="C882" s="1" t="n">
        <v>45360</v>
      </c>
      <c r="D882" t="inlineStr">
        <is>
          <t>ÖREBRO LÄN</t>
        </is>
      </c>
      <c r="E882" t="inlineStr">
        <is>
          <t>KARLSKOGA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18461-2019</t>
        </is>
      </c>
      <c r="B883" s="1" t="n">
        <v>43559</v>
      </c>
      <c r="C883" s="1" t="n">
        <v>45360</v>
      </c>
      <c r="D883" t="inlineStr">
        <is>
          <t>ÖREBRO LÄN</t>
        </is>
      </c>
      <c r="E883" t="inlineStr">
        <is>
          <t>KARLSKOGA</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18747-2019</t>
        </is>
      </c>
      <c r="B884" s="1" t="n">
        <v>43560</v>
      </c>
      <c r="C884" s="1" t="n">
        <v>45360</v>
      </c>
      <c r="D884" t="inlineStr">
        <is>
          <t>ÖREBRO LÄN</t>
        </is>
      </c>
      <c r="E884" t="inlineStr">
        <is>
          <t>LINDESBERG</t>
        </is>
      </c>
      <c r="G884" t="n">
        <v>3.5</v>
      </c>
      <c r="H884" t="n">
        <v>0</v>
      </c>
      <c r="I884" t="n">
        <v>0</v>
      </c>
      <c r="J884" t="n">
        <v>0</v>
      </c>
      <c r="K884" t="n">
        <v>0</v>
      </c>
      <c r="L884" t="n">
        <v>0</v>
      </c>
      <c r="M884" t="n">
        <v>0</v>
      </c>
      <c r="N884" t="n">
        <v>0</v>
      </c>
      <c r="O884" t="n">
        <v>0</v>
      </c>
      <c r="P884" t="n">
        <v>0</v>
      </c>
      <c r="Q884" t="n">
        <v>0</v>
      </c>
      <c r="R884" s="2" t="inlineStr"/>
    </row>
    <row r="885" ht="15" customHeight="1">
      <c r="A885" t="inlineStr">
        <is>
          <t>A 18743-2019</t>
        </is>
      </c>
      <c r="B885" s="1" t="n">
        <v>43560</v>
      </c>
      <c r="C885" s="1" t="n">
        <v>45360</v>
      </c>
      <c r="D885" t="inlineStr">
        <is>
          <t>ÖREBRO LÄN</t>
        </is>
      </c>
      <c r="E885" t="inlineStr">
        <is>
          <t>LINDESBERG</t>
        </is>
      </c>
      <c r="G885" t="n">
        <v>2.8</v>
      </c>
      <c r="H885" t="n">
        <v>0</v>
      </c>
      <c r="I885" t="n">
        <v>0</v>
      </c>
      <c r="J885" t="n">
        <v>0</v>
      </c>
      <c r="K885" t="n">
        <v>0</v>
      </c>
      <c r="L885" t="n">
        <v>0</v>
      </c>
      <c r="M885" t="n">
        <v>0</v>
      </c>
      <c r="N885" t="n">
        <v>0</v>
      </c>
      <c r="O885" t="n">
        <v>0</v>
      </c>
      <c r="P885" t="n">
        <v>0</v>
      </c>
      <c r="Q885" t="n">
        <v>0</v>
      </c>
      <c r="R885" s="2" t="inlineStr"/>
    </row>
    <row r="886" ht="15" customHeight="1">
      <c r="A886" t="inlineStr">
        <is>
          <t>A 18595-2019</t>
        </is>
      </c>
      <c r="B886" s="1" t="n">
        <v>43560</v>
      </c>
      <c r="C886" s="1" t="n">
        <v>45360</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18891-2019</t>
        </is>
      </c>
      <c r="B887" s="1" t="n">
        <v>43563</v>
      </c>
      <c r="C887" s="1" t="n">
        <v>45360</v>
      </c>
      <c r="D887" t="inlineStr">
        <is>
          <t>ÖREBRO LÄN</t>
        </is>
      </c>
      <c r="E887" t="inlineStr">
        <is>
          <t>NORA</t>
        </is>
      </c>
      <c r="F887" t="inlineStr">
        <is>
          <t>Kommuner</t>
        </is>
      </c>
      <c r="G887" t="n">
        <v>7.8</v>
      </c>
      <c r="H887" t="n">
        <v>0</v>
      </c>
      <c r="I887" t="n">
        <v>0</v>
      </c>
      <c r="J887" t="n">
        <v>0</v>
      </c>
      <c r="K887" t="n">
        <v>0</v>
      </c>
      <c r="L887" t="n">
        <v>0</v>
      </c>
      <c r="M887" t="n">
        <v>0</v>
      </c>
      <c r="N887" t="n">
        <v>0</v>
      </c>
      <c r="O887" t="n">
        <v>0</v>
      </c>
      <c r="P887" t="n">
        <v>0</v>
      </c>
      <c r="Q887" t="n">
        <v>0</v>
      </c>
      <c r="R887" s="2" t="inlineStr"/>
    </row>
    <row r="888" ht="15" customHeight="1">
      <c r="A888" t="inlineStr">
        <is>
          <t>A 18914-2019</t>
        </is>
      </c>
      <c r="B888" s="1" t="n">
        <v>43563</v>
      </c>
      <c r="C888" s="1" t="n">
        <v>45360</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19042-2019</t>
        </is>
      </c>
      <c r="B889" s="1" t="n">
        <v>43563</v>
      </c>
      <c r="C889" s="1" t="n">
        <v>45360</v>
      </c>
      <c r="D889" t="inlineStr">
        <is>
          <t>ÖREBRO LÄN</t>
        </is>
      </c>
      <c r="E889" t="inlineStr">
        <is>
          <t>ÖREBRO</t>
        </is>
      </c>
      <c r="G889" t="n">
        <v>2.8</v>
      </c>
      <c r="H889" t="n">
        <v>0</v>
      </c>
      <c r="I889" t="n">
        <v>0</v>
      </c>
      <c r="J889" t="n">
        <v>0</v>
      </c>
      <c r="K889" t="n">
        <v>0</v>
      </c>
      <c r="L889" t="n">
        <v>0</v>
      </c>
      <c r="M889" t="n">
        <v>0</v>
      </c>
      <c r="N889" t="n">
        <v>0</v>
      </c>
      <c r="O889" t="n">
        <v>0</v>
      </c>
      <c r="P889" t="n">
        <v>0</v>
      </c>
      <c r="Q889" t="n">
        <v>0</v>
      </c>
      <c r="R889" s="2" t="inlineStr"/>
    </row>
    <row r="890" ht="15" customHeight="1">
      <c r="A890" t="inlineStr">
        <is>
          <t>A 19047-2019</t>
        </is>
      </c>
      <c r="B890" s="1" t="n">
        <v>43563</v>
      </c>
      <c r="C890" s="1" t="n">
        <v>45360</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19049-2019</t>
        </is>
      </c>
      <c r="B891" s="1" t="n">
        <v>43563</v>
      </c>
      <c r="C891" s="1" t="n">
        <v>45360</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19044-2019</t>
        </is>
      </c>
      <c r="B892" s="1" t="n">
        <v>43563</v>
      </c>
      <c r="C892" s="1" t="n">
        <v>45360</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19048-2019</t>
        </is>
      </c>
      <c r="B893" s="1" t="n">
        <v>43563</v>
      </c>
      <c r="C893" s="1" t="n">
        <v>45360</v>
      </c>
      <c r="D893" t="inlineStr">
        <is>
          <t>ÖREBRO LÄN</t>
        </is>
      </c>
      <c r="E893" t="inlineStr">
        <is>
          <t>ÖREBRO</t>
        </is>
      </c>
      <c r="G893" t="n">
        <v>1.8</v>
      </c>
      <c r="H893" t="n">
        <v>0</v>
      </c>
      <c r="I893" t="n">
        <v>0</v>
      </c>
      <c r="J893" t="n">
        <v>0</v>
      </c>
      <c r="K893" t="n">
        <v>0</v>
      </c>
      <c r="L893" t="n">
        <v>0</v>
      </c>
      <c r="M893" t="n">
        <v>0</v>
      </c>
      <c r="N893" t="n">
        <v>0</v>
      </c>
      <c r="O893" t="n">
        <v>0</v>
      </c>
      <c r="P893" t="n">
        <v>0</v>
      </c>
      <c r="Q893" t="n">
        <v>0</v>
      </c>
      <c r="R893" s="2" t="inlineStr"/>
    </row>
    <row r="894" ht="15" customHeight="1">
      <c r="A894" t="inlineStr">
        <is>
          <t>A 19045-2019</t>
        </is>
      </c>
      <c r="B894" s="1" t="n">
        <v>43563</v>
      </c>
      <c r="C894" s="1" t="n">
        <v>45360</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19046-2019</t>
        </is>
      </c>
      <c r="B895" s="1" t="n">
        <v>43563</v>
      </c>
      <c r="C895" s="1" t="n">
        <v>45360</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19227-2019</t>
        </is>
      </c>
      <c r="B896" s="1" t="n">
        <v>43564</v>
      </c>
      <c r="C896" s="1" t="n">
        <v>45360</v>
      </c>
      <c r="D896" t="inlineStr">
        <is>
          <t>ÖREBRO LÄN</t>
        </is>
      </c>
      <c r="E896" t="inlineStr">
        <is>
          <t>LINDESBERG</t>
        </is>
      </c>
      <c r="G896" t="n">
        <v>22.1</v>
      </c>
      <c r="H896" t="n">
        <v>0</v>
      </c>
      <c r="I896" t="n">
        <v>0</v>
      </c>
      <c r="J896" t="n">
        <v>0</v>
      </c>
      <c r="K896" t="n">
        <v>0</v>
      </c>
      <c r="L896" t="n">
        <v>0</v>
      </c>
      <c r="M896" t="n">
        <v>0</v>
      </c>
      <c r="N896" t="n">
        <v>0</v>
      </c>
      <c r="O896" t="n">
        <v>0</v>
      </c>
      <c r="P896" t="n">
        <v>0</v>
      </c>
      <c r="Q896" t="n">
        <v>0</v>
      </c>
      <c r="R896" s="2" t="inlineStr"/>
    </row>
    <row r="897" ht="15" customHeight="1">
      <c r="A897" t="inlineStr">
        <is>
          <t>A 19184-2019</t>
        </is>
      </c>
      <c r="B897" s="1" t="n">
        <v>43564</v>
      </c>
      <c r="C897" s="1" t="n">
        <v>45360</v>
      </c>
      <c r="D897" t="inlineStr">
        <is>
          <t>ÖREBRO LÄN</t>
        </is>
      </c>
      <c r="E897" t="inlineStr">
        <is>
          <t>LJUSNARSBERG</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19192-2019</t>
        </is>
      </c>
      <c r="B898" s="1" t="n">
        <v>43564</v>
      </c>
      <c r="C898" s="1" t="n">
        <v>45360</v>
      </c>
      <c r="D898" t="inlineStr">
        <is>
          <t>ÖREBRO LÄN</t>
        </is>
      </c>
      <c r="E898" t="inlineStr">
        <is>
          <t>LJUSNARSBERG</t>
        </is>
      </c>
      <c r="G898" t="n">
        <v>1.5</v>
      </c>
      <c r="H898" t="n">
        <v>0</v>
      </c>
      <c r="I898" t="n">
        <v>0</v>
      </c>
      <c r="J898" t="n">
        <v>0</v>
      </c>
      <c r="K898" t="n">
        <v>0</v>
      </c>
      <c r="L898" t="n">
        <v>0</v>
      </c>
      <c r="M898" t="n">
        <v>0</v>
      </c>
      <c r="N898" t="n">
        <v>0</v>
      </c>
      <c r="O898" t="n">
        <v>0</v>
      </c>
      <c r="P898" t="n">
        <v>0</v>
      </c>
      <c r="Q898" t="n">
        <v>0</v>
      </c>
      <c r="R898" s="2" t="inlineStr"/>
    </row>
    <row r="899" ht="15" customHeight="1">
      <c r="A899" t="inlineStr">
        <is>
          <t>A 19221-2019</t>
        </is>
      </c>
      <c r="B899" s="1" t="n">
        <v>43564</v>
      </c>
      <c r="C899" s="1" t="n">
        <v>45360</v>
      </c>
      <c r="D899" t="inlineStr">
        <is>
          <t>ÖREBRO LÄN</t>
        </is>
      </c>
      <c r="E899" t="inlineStr">
        <is>
          <t>LJUSNARSBERG</t>
        </is>
      </c>
      <c r="G899" t="n">
        <v>1.8</v>
      </c>
      <c r="H899" t="n">
        <v>0</v>
      </c>
      <c r="I899" t="n">
        <v>0</v>
      </c>
      <c r="J899" t="n">
        <v>0</v>
      </c>
      <c r="K899" t="n">
        <v>0</v>
      </c>
      <c r="L899" t="n">
        <v>0</v>
      </c>
      <c r="M899" t="n">
        <v>0</v>
      </c>
      <c r="N899" t="n">
        <v>0</v>
      </c>
      <c r="O899" t="n">
        <v>0</v>
      </c>
      <c r="P899" t="n">
        <v>0</v>
      </c>
      <c r="Q899" t="n">
        <v>0</v>
      </c>
      <c r="R899" s="2" t="inlineStr"/>
    </row>
    <row r="900" ht="15" customHeight="1">
      <c r="A900" t="inlineStr">
        <is>
          <t>A 19627-2019</t>
        </is>
      </c>
      <c r="B900" s="1" t="n">
        <v>43566</v>
      </c>
      <c r="C900" s="1" t="n">
        <v>45360</v>
      </c>
      <c r="D900" t="inlineStr">
        <is>
          <t>ÖREBRO LÄN</t>
        </is>
      </c>
      <c r="E900" t="inlineStr">
        <is>
          <t>LEKEBERG</t>
        </is>
      </c>
      <c r="G900" t="n">
        <v>2.7</v>
      </c>
      <c r="H900" t="n">
        <v>0</v>
      </c>
      <c r="I900" t="n">
        <v>0</v>
      </c>
      <c r="J900" t="n">
        <v>0</v>
      </c>
      <c r="K900" t="n">
        <v>0</v>
      </c>
      <c r="L900" t="n">
        <v>0</v>
      </c>
      <c r="M900" t="n">
        <v>0</v>
      </c>
      <c r="N900" t="n">
        <v>0</v>
      </c>
      <c r="O900" t="n">
        <v>0</v>
      </c>
      <c r="P900" t="n">
        <v>0</v>
      </c>
      <c r="Q900" t="n">
        <v>0</v>
      </c>
      <c r="R900" s="2" t="inlineStr"/>
    </row>
    <row r="901" ht="15" customHeight="1">
      <c r="A901" t="inlineStr">
        <is>
          <t>A 19631-2019</t>
        </is>
      </c>
      <c r="B901" s="1" t="n">
        <v>43566</v>
      </c>
      <c r="C901" s="1" t="n">
        <v>45360</v>
      </c>
      <c r="D901" t="inlineStr">
        <is>
          <t>ÖREBRO LÄN</t>
        </is>
      </c>
      <c r="E901" t="inlineStr">
        <is>
          <t>LEKEBERG</t>
        </is>
      </c>
      <c r="G901" t="n">
        <v>1</v>
      </c>
      <c r="H901" t="n">
        <v>0</v>
      </c>
      <c r="I901" t="n">
        <v>0</v>
      </c>
      <c r="J901" t="n">
        <v>0</v>
      </c>
      <c r="K901" t="n">
        <v>0</v>
      </c>
      <c r="L901" t="n">
        <v>0</v>
      </c>
      <c r="M901" t="n">
        <v>0</v>
      </c>
      <c r="N901" t="n">
        <v>0</v>
      </c>
      <c r="O901" t="n">
        <v>0</v>
      </c>
      <c r="P901" t="n">
        <v>0</v>
      </c>
      <c r="Q901" t="n">
        <v>0</v>
      </c>
      <c r="R901" s="2" t="inlineStr"/>
    </row>
    <row r="902" ht="15" customHeight="1">
      <c r="A902" t="inlineStr">
        <is>
          <t>A 19723-2019</t>
        </is>
      </c>
      <c r="B902" s="1" t="n">
        <v>43566</v>
      </c>
      <c r="C902" s="1" t="n">
        <v>45360</v>
      </c>
      <c r="D902" t="inlineStr">
        <is>
          <t>ÖREBRO LÄN</t>
        </is>
      </c>
      <c r="E902" t="inlineStr">
        <is>
          <t>KARLSKOGA</t>
        </is>
      </c>
      <c r="G902" t="n">
        <v>5.5</v>
      </c>
      <c r="H902" t="n">
        <v>0</v>
      </c>
      <c r="I902" t="n">
        <v>0</v>
      </c>
      <c r="J902" t="n">
        <v>0</v>
      </c>
      <c r="K902" t="n">
        <v>0</v>
      </c>
      <c r="L902" t="n">
        <v>0</v>
      </c>
      <c r="M902" t="n">
        <v>0</v>
      </c>
      <c r="N902" t="n">
        <v>0</v>
      </c>
      <c r="O902" t="n">
        <v>0</v>
      </c>
      <c r="P902" t="n">
        <v>0</v>
      </c>
      <c r="Q902" t="n">
        <v>0</v>
      </c>
      <c r="R902" s="2" t="inlineStr"/>
    </row>
    <row r="903" ht="15" customHeight="1">
      <c r="A903" t="inlineStr">
        <is>
          <t>A 19910-2019</t>
        </is>
      </c>
      <c r="B903" s="1" t="n">
        <v>43567</v>
      </c>
      <c r="C903" s="1" t="n">
        <v>45360</v>
      </c>
      <c r="D903" t="inlineStr">
        <is>
          <t>ÖREBRO LÄN</t>
        </is>
      </c>
      <c r="E903" t="inlineStr">
        <is>
          <t>NORA</t>
        </is>
      </c>
      <c r="G903" t="n">
        <v>3.9</v>
      </c>
      <c r="H903" t="n">
        <v>0</v>
      </c>
      <c r="I903" t="n">
        <v>0</v>
      </c>
      <c r="J903" t="n">
        <v>0</v>
      </c>
      <c r="K903" t="n">
        <v>0</v>
      </c>
      <c r="L903" t="n">
        <v>0</v>
      </c>
      <c r="M903" t="n">
        <v>0</v>
      </c>
      <c r="N903" t="n">
        <v>0</v>
      </c>
      <c r="O903" t="n">
        <v>0</v>
      </c>
      <c r="P903" t="n">
        <v>0</v>
      </c>
      <c r="Q903" t="n">
        <v>0</v>
      </c>
      <c r="R903" s="2" t="inlineStr"/>
    </row>
    <row r="904" ht="15" customHeight="1">
      <c r="A904" t="inlineStr">
        <is>
          <t>A 19845-2019</t>
        </is>
      </c>
      <c r="B904" s="1" t="n">
        <v>43567</v>
      </c>
      <c r="C904" s="1" t="n">
        <v>45360</v>
      </c>
      <c r="D904" t="inlineStr">
        <is>
          <t>ÖREBRO LÄN</t>
        </is>
      </c>
      <c r="E904" t="inlineStr">
        <is>
          <t>LINDESBERG</t>
        </is>
      </c>
      <c r="G904" t="n">
        <v>2.9</v>
      </c>
      <c r="H904" t="n">
        <v>0</v>
      </c>
      <c r="I904" t="n">
        <v>0</v>
      </c>
      <c r="J904" t="n">
        <v>0</v>
      </c>
      <c r="K904" t="n">
        <v>0</v>
      </c>
      <c r="L904" t="n">
        <v>0</v>
      </c>
      <c r="M904" t="n">
        <v>0</v>
      </c>
      <c r="N904" t="n">
        <v>0</v>
      </c>
      <c r="O904" t="n">
        <v>0</v>
      </c>
      <c r="P904" t="n">
        <v>0</v>
      </c>
      <c r="Q904" t="n">
        <v>0</v>
      </c>
      <c r="R904" s="2" t="inlineStr"/>
    </row>
    <row r="905" ht="15" customHeight="1">
      <c r="A905" t="inlineStr">
        <is>
          <t>A 20197-2019</t>
        </is>
      </c>
      <c r="B905" s="1" t="n">
        <v>43570</v>
      </c>
      <c r="C905" s="1" t="n">
        <v>45360</v>
      </c>
      <c r="D905" t="inlineStr">
        <is>
          <t>ÖREBRO LÄN</t>
        </is>
      </c>
      <c r="E905" t="inlineStr">
        <is>
          <t>LINDESBERG</t>
        </is>
      </c>
      <c r="G905" t="n">
        <v>10.6</v>
      </c>
      <c r="H905" t="n">
        <v>0</v>
      </c>
      <c r="I905" t="n">
        <v>0</v>
      </c>
      <c r="J905" t="n">
        <v>0</v>
      </c>
      <c r="K905" t="n">
        <v>0</v>
      </c>
      <c r="L905" t="n">
        <v>0</v>
      </c>
      <c r="M905" t="n">
        <v>0</v>
      </c>
      <c r="N905" t="n">
        <v>0</v>
      </c>
      <c r="O905" t="n">
        <v>0</v>
      </c>
      <c r="P905" t="n">
        <v>0</v>
      </c>
      <c r="Q905" t="n">
        <v>0</v>
      </c>
      <c r="R905" s="2" t="inlineStr"/>
    </row>
    <row r="906" ht="15" customHeight="1">
      <c r="A906" t="inlineStr">
        <is>
          <t>A 20150-2019</t>
        </is>
      </c>
      <c r="B906" s="1" t="n">
        <v>43570</v>
      </c>
      <c r="C906" s="1" t="n">
        <v>45360</v>
      </c>
      <c r="D906" t="inlineStr">
        <is>
          <t>ÖREBRO LÄN</t>
        </is>
      </c>
      <c r="E906" t="inlineStr">
        <is>
          <t>HALLSBERG</t>
        </is>
      </c>
      <c r="G906" t="n">
        <v>5.8</v>
      </c>
      <c r="H906" t="n">
        <v>0</v>
      </c>
      <c r="I906" t="n">
        <v>0</v>
      </c>
      <c r="J906" t="n">
        <v>0</v>
      </c>
      <c r="K906" t="n">
        <v>0</v>
      </c>
      <c r="L906" t="n">
        <v>0</v>
      </c>
      <c r="M906" t="n">
        <v>0</v>
      </c>
      <c r="N906" t="n">
        <v>0</v>
      </c>
      <c r="O906" t="n">
        <v>0</v>
      </c>
      <c r="P906" t="n">
        <v>0</v>
      </c>
      <c r="Q906" t="n">
        <v>0</v>
      </c>
      <c r="R906" s="2" t="inlineStr"/>
    </row>
    <row r="907" ht="15" customHeight="1">
      <c r="A907" t="inlineStr">
        <is>
          <t>A 20120-2019</t>
        </is>
      </c>
      <c r="B907" s="1" t="n">
        <v>43570</v>
      </c>
      <c r="C907" s="1" t="n">
        <v>45360</v>
      </c>
      <c r="D907" t="inlineStr">
        <is>
          <t>ÖREBRO LÄN</t>
        </is>
      </c>
      <c r="E907" t="inlineStr">
        <is>
          <t>ASKERSUND</t>
        </is>
      </c>
      <c r="G907" t="n">
        <v>3.3</v>
      </c>
      <c r="H907" t="n">
        <v>0</v>
      </c>
      <c r="I907" t="n">
        <v>0</v>
      </c>
      <c r="J907" t="n">
        <v>0</v>
      </c>
      <c r="K907" t="n">
        <v>0</v>
      </c>
      <c r="L907" t="n">
        <v>0</v>
      </c>
      <c r="M907" t="n">
        <v>0</v>
      </c>
      <c r="N907" t="n">
        <v>0</v>
      </c>
      <c r="O907" t="n">
        <v>0</v>
      </c>
      <c r="P907" t="n">
        <v>0</v>
      </c>
      <c r="Q907" t="n">
        <v>0</v>
      </c>
      <c r="R907" s="2" t="inlineStr"/>
    </row>
    <row r="908" ht="15" customHeight="1">
      <c r="A908" t="inlineStr">
        <is>
          <t>A 20232-2019</t>
        </is>
      </c>
      <c r="B908" s="1" t="n">
        <v>43571</v>
      </c>
      <c r="C908" s="1" t="n">
        <v>45360</v>
      </c>
      <c r="D908" t="inlineStr">
        <is>
          <t>ÖREBRO LÄN</t>
        </is>
      </c>
      <c r="E908" t="inlineStr">
        <is>
          <t>ÖREBRO</t>
        </is>
      </c>
      <c r="G908" t="n">
        <v>1.1</v>
      </c>
      <c r="H908" t="n">
        <v>0</v>
      </c>
      <c r="I908" t="n">
        <v>0</v>
      </c>
      <c r="J908" t="n">
        <v>0</v>
      </c>
      <c r="K908" t="n">
        <v>0</v>
      </c>
      <c r="L908" t="n">
        <v>0</v>
      </c>
      <c r="M908" t="n">
        <v>0</v>
      </c>
      <c r="N908" t="n">
        <v>0</v>
      </c>
      <c r="O908" t="n">
        <v>0</v>
      </c>
      <c r="P908" t="n">
        <v>0</v>
      </c>
      <c r="Q908" t="n">
        <v>0</v>
      </c>
      <c r="R908" s="2" t="inlineStr"/>
    </row>
    <row r="909" ht="15" customHeight="1">
      <c r="A909" t="inlineStr">
        <is>
          <t>A 20454-2019</t>
        </is>
      </c>
      <c r="B909" s="1" t="n">
        <v>43571</v>
      </c>
      <c r="C909" s="1" t="n">
        <v>45360</v>
      </c>
      <c r="D909" t="inlineStr">
        <is>
          <t>ÖREBRO LÄN</t>
        </is>
      </c>
      <c r="E909" t="inlineStr">
        <is>
          <t>LINDESBERG</t>
        </is>
      </c>
      <c r="G909" t="n">
        <v>1.7</v>
      </c>
      <c r="H909" t="n">
        <v>0</v>
      </c>
      <c r="I909" t="n">
        <v>0</v>
      </c>
      <c r="J909" t="n">
        <v>0</v>
      </c>
      <c r="K909" t="n">
        <v>0</v>
      </c>
      <c r="L909" t="n">
        <v>0</v>
      </c>
      <c r="M909" t="n">
        <v>0</v>
      </c>
      <c r="N909" t="n">
        <v>0</v>
      </c>
      <c r="O909" t="n">
        <v>0</v>
      </c>
      <c r="P909" t="n">
        <v>0</v>
      </c>
      <c r="Q909" t="n">
        <v>0</v>
      </c>
      <c r="R909" s="2" t="inlineStr"/>
    </row>
    <row r="910" ht="15" customHeight="1">
      <c r="A910" t="inlineStr">
        <is>
          <t>A 20211-2019</t>
        </is>
      </c>
      <c r="B910" s="1" t="n">
        <v>43571</v>
      </c>
      <c r="C910" s="1" t="n">
        <v>45360</v>
      </c>
      <c r="D910" t="inlineStr">
        <is>
          <t>ÖREBRO LÄN</t>
        </is>
      </c>
      <c r="E910" t="inlineStr">
        <is>
          <t>LINDESBERG</t>
        </is>
      </c>
      <c r="F910" t="inlineStr">
        <is>
          <t>Kyrkan</t>
        </is>
      </c>
      <c r="G910" t="n">
        <v>1.8</v>
      </c>
      <c r="H910" t="n">
        <v>0</v>
      </c>
      <c r="I910" t="n">
        <v>0</v>
      </c>
      <c r="J910" t="n">
        <v>0</v>
      </c>
      <c r="K910" t="n">
        <v>0</v>
      </c>
      <c r="L910" t="n">
        <v>0</v>
      </c>
      <c r="M910" t="n">
        <v>0</v>
      </c>
      <c r="N910" t="n">
        <v>0</v>
      </c>
      <c r="O910" t="n">
        <v>0</v>
      </c>
      <c r="P910" t="n">
        <v>0</v>
      </c>
      <c r="Q910" t="n">
        <v>0</v>
      </c>
      <c r="R910" s="2" t="inlineStr"/>
    </row>
    <row r="911" ht="15" customHeight="1">
      <c r="A911" t="inlineStr">
        <is>
          <t>A 20506-2019</t>
        </is>
      </c>
      <c r="B911" s="1" t="n">
        <v>43572</v>
      </c>
      <c r="C911" s="1" t="n">
        <v>45360</v>
      </c>
      <c r="D911" t="inlineStr">
        <is>
          <t>ÖREBRO LÄN</t>
        </is>
      </c>
      <c r="E911" t="inlineStr">
        <is>
          <t>DEGERFORS</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20514-2019</t>
        </is>
      </c>
      <c r="B912" s="1" t="n">
        <v>43572</v>
      </c>
      <c r="C912" s="1" t="n">
        <v>45360</v>
      </c>
      <c r="D912" t="inlineStr">
        <is>
          <t>ÖREBRO LÄN</t>
        </is>
      </c>
      <c r="E912" t="inlineStr">
        <is>
          <t>DEGERFORS</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20609-2019</t>
        </is>
      </c>
      <c r="B913" s="1" t="n">
        <v>43572</v>
      </c>
      <c r="C913" s="1" t="n">
        <v>45360</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20547-2019</t>
        </is>
      </c>
      <c r="B914" s="1" t="n">
        <v>43572</v>
      </c>
      <c r="C914" s="1" t="n">
        <v>45360</v>
      </c>
      <c r="D914" t="inlineStr">
        <is>
          <t>ÖREBRO LÄN</t>
        </is>
      </c>
      <c r="E914" t="inlineStr">
        <is>
          <t>KARLSKOGA</t>
        </is>
      </c>
      <c r="G914" t="n">
        <v>1</v>
      </c>
      <c r="H914" t="n">
        <v>0</v>
      </c>
      <c r="I914" t="n">
        <v>0</v>
      </c>
      <c r="J914" t="n">
        <v>0</v>
      </c>
      <c r="K914" t="n">
        <v>0</v>
      </c>
      <c r="L914" t="n">
        <v>0</v>
      </c>
      <c r="M914" t="n">
        <v>0</v>
      </c>
      <c r="N914" t="n">
        <v>0</v>
      </c>
      <c r="O914" t="n">
        <v>0</v>
      </c>
      <c r="P914" t="n">
        <v>0</v>
      </c>
      <c r="Q914" t="n">
        <v>0</v>
      </c>
      <c r="R914" s="2" t="inlineStr"/>
    </row>
    <row r="915" ht="15" customHeight="1">
      <c r="A915" t="inlineStr">
        <is>
          <t>A 20601-2019</t>
        </is>
      </c>
      <c r="B915" s="1" t="n">
        <v>43572</v>
      </c>
      <c r="C915" s="1" t="n">
        <v>45360</v>
      </c>
      <c r="D915" t="inlineStr">
        <is>
          <t>ÖREBRO LÄN</t>
        </is>
      </c>
      <c r="E915" t="inlineStr">
        <is>
          <t>LJUSNARSBERG</t>
        </is>
      </c>
      <c r="G915" t="n">
        <v>2.1</v>
      </c>
      <c r="H915" t="n">
        <v>0</v>
      </c>
      <c r="I915" t="n">
        <v>0</v>
      </c>
      <c r="J915" t="n">
        <v>0</v>
      </c>
      <c r="K915" t="n">
        <v>0</v>
      </c>
      <c r="L915" t="n">
        <v>0</v>
      </c>
      <c r="M915" t="n">
        <v>0</v>
      </c>
      <c r="N915" t="n">
        <v>0</v>
      </c>
      <c r="O915" t="n">
        <v>0</v>
      </c>
      <c r="P915" t="n">
        <v>0</v>
      </c>
      <c r="Q915" t="n">
        <v>0</v>
      </c>
      <c r="R915" s="2" t="inlineStr"/>
    </row>
    <row r="916" ht="15" customHeight="1">
      <c r="A916" t="inlineStr">
        <is>
          <t>A 20511-2019</t>
        </is>
      </c>
      <c r="B916" s="1" t="n">
        <v>43572</v>
      </c>
      <c r="C916" s="1" t="n">
        <v>45360</v>
      </c>
      <c r="D916" t="inlineStr">
        <is>
          <t>ÖREBRO LÄN</t>
        </is>
      </c>
      <c r="E916" t="inlineStr">
        <is>
          <t>LEKEBERG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20681-2019</t>
        </is>
      </c>
      <c r="B917" s="1" t="n">
        <v>43573</v>
      </c>
      <c r="C917" s="1" t="n">
        <v>45360</v>
      </c>
      <c r="D917" t="inlineStr">
        <is>
          <t>ÖREBRO LÄN</t>
        </is>
      </c>
      <c r="E917" t="inlineStr">
        <is>
          <t>LINDESBERG</t>
        </is>
      </c>
      <c r="F917" t="inlineStr">
        <is>
          <t>Kyrkan</t>
        </is>
      </c>
      <c r="G917" t="n">
        <v>1.7</v>
      </c>
      <c r="H917" t="n">
        <v>0</v>
      </c>
      <c r="I917" t="n">
        <v>0</v>
      </c>
      <c r="J917" t="n">
        <v>0</v>
      </c>
      <c r="K917" t="n">
        <v>0</v>
      </c>
      <c r="L917" t="n">
        <v>0</v>
      </c>
      <c r="M917" t="n">
        <v>0</v>
      </c>
      <c r="N917" t="n">
        <v>0</v>
      </c>
      <c r="O917" t="n">
        <v>0</v>
      </c>
      <c r="P917" t="n">
        <v>0</v>
      </c>
      <c r="Q917" t="n">
        <v>0</v>
      </c>
      <c r="R917" s="2" t="inlineStr"/>
    </row>
    <row r="918" ht="15" customHeight="1">
      <c r="A918" t="inlineStr">
        <is>
          <t>A 20676-2019</t>
        </is>
      </c>
      <c r="B918" s="1" t="n">
        <v>43573</v>
      </c>
      <c r="C918" s="1" t="n">
        <v>45360</v>
      </c>
      <c r="D918" t="inlineStr">
        <is>
          <t>ÖREBRO LÄN</t>
        </is>
      </c>
      <c r="E918" t="inlineStr">
        <is>
          <t>LINDESBERG</t>
        </is>
      </c>
      <c r="F918" t="inlineStr">
        <is>
          <t>Kyrkan</t>
        </is>
      </c>
      <c r="G918" t="n">
        <v>2</v>
      </c>
      <c r="H918" t="n">
        <v>0</v>
      </c>
      <c r="I918" t="n">
        <v>0</v>
      </c>
      <c r="J918" t="n">
        <v>0</v>
      </c>
      <c r="K918" t="n">
        <v>0</v>
      </c>
      <c r="L918" t="n">
        <v>0</v>
      </c>
      <c r="M918" t="n">
        <v>0</v>
      </c>
      <c r="N918" t="n">
        <v>0</v>
      </c>
      <c r="O918" t="n">
        <v>0</v>
      </c>
      <c r="P918" t="n">
        <v>0</v>
      </c>
      <c r="Q918" t="n">
        <v>0</v>
      </c>
      <c r="R918" s="2" t="inlineStr"/>
    </row>
    <row r="919" ht="15" customHeight="1">
      <c r="A919" t="inlineStr">
        <is>
          <t>A 20984-2019</t>
        </is>
      </c>
      <c r="B919" s="1" t="n">
        <v>43573</v>
      </c>
      <c r="C919" s="1" t="n">
        <v>45360</v>
      </c>
      <c r="D919" t="inlineStr">
        <is>
          <t>ÖREBRO LÄN</t>
        </is>
      </c>
      <c r="E919" t="inlineStr">
        <is>
          <t>LINDESBERG</t>
        </is>
      </c>
      <c r="G919" t="n">
        <v>3</v>
      </c>
      <c r="H919" t="n">
        <v>0</v>
      </c>
      <c r="I919" t="n">
        <v>0</v>
      </c>
      <c r="J919" t="n">
        <v>0</v>
      </c>
      <c r="K919" t="n">
        <v>0</v>
      </c>
      <c r="L919" t="n">
        <v>0</v>
      </c>
      <c r="M919" t="n">
        <v>0</v>
      </c>
      <c r="N919" t="n">
        <v>0</v>
      </c>
      <c r="O919" t="n">
        <v>0</v>
      </c>
      <c r="P919" t="n">
        <v>0</v>
      </c>
      <c r="Q919" t="n">
        <v>0</v>
      </c>
      <c r="R919" s="2" t="inlineStr"/>
    </row>
    <row r="920" ht="15" customHeight="1">
      <c r="A920" t="inlineStr">
        <is>
          <t>A 21263-2019</t>
        </is>
      </c>
      <c r="B920" s="1" t="n">
        <v>43579</v>
      </c>
      <c r="C920" s="1" t="n">
        <v>45360</v>
      </c>
      <c r="D920" t="inlineStr">
        <is>
          <t>ÖREBRO LÄN</t>
        </is>
      </c>
      <c r="E920" t="inlineStr">
        <is>
          <t>LEKEBERG</t>
        </is>
      </c>
      <c r="G920" t="n">
        <v>1.6</v>
      </c>
      <c r="H920" t="n">
        <v>0</v>
      </c>
      <c r="I920" t="n">
        <v>0</v>
      </c>
      <c r="J920" t="n">
        <v>0</v>
      </c>
      <c r="K920" t="n">
        <v>0</v>
      </c>
      <c r="L920" t="n">
        <v>0</v>
      </c>
      <c r="M920" t="n">
        <v>0</v>
      </c>
      <c r="N920" t="n">
        <v>0</v>
      </c>
      <c r="O920" t="n">
        <v>0</v>
      </c>
      <c r="P920" t="n">
        <v>0</v>
      </c>
      <c r="Q920" t="n">
        <v>0</v>
      </c>
      <c r="R920" s="2" t="inlineStr"/>
    </row>
    <row r="921" ht="15" customHeight="1">
      <c r="A921" t="inlineStr">
        <is>
          <t>A 21260-2019</t>
        </is>
      </c>
      <c r="B921" s="1" t="n">
        <v>43579</v>
      </c>
      <c r="C921" s="1" t="n">
        <v>45360</v>
      </c>
      <c r="D921" t="inlineStr">
        <is>
          <t>ÖREBRO LÄN</t>
        </is>
      </c>
      <c r="E921" t="inlineStr">
        <is>
          <t>LEKEBERG</t>
        </is>
      </c>
      <c r="G921" t="n">
        <v>6.3</v>
      </c>
      <c r="H921" t="n">
        <v>0</v>
      </c>
      <c r="I921" t="n">
        <v>0</v>
      </c>
      <c r="J921" t="n">
        <v>0</v>
      </c>
      <c r="K921" t="n">
        <v>0</v>
      </c>
      <c r="L921" t="n">
        <v>0</v>
      </c>
      <c r="M921" t="n">
        <v>0</v>
      </c>
      <c r="N921" t="n">
        <v>0</v>
      </c>
      <c r="O921" t="n">
        <v>0</v>
      </c>
      <c r="P921" t="n">
        <v>0</v>
      </c>
      <c r="Q921" t="n">
        <v>0</v>
      </c>
      <c r="R921" s="2" t="inlineStr"/>
    </row>
    <row r="922" ht="15" customHeight="1">
      <c r="A922" t="inlineStr">
        <is>
          <t>A 21402-2019</t>
        </is>
      </c>
      <c r="B922" s="1" t="n">
        <v>43579</v>
      </c>
      <c r="C922" s="1" t="n">
        <v>45360</v>
      </c>
      <c r="D922" t="inlineStr">
        <is>
          <t>ÖREBRO LÄN</t>
        </is>
      </c>
      <c r="E922" t="inlineStr">
        <is>
          <t>LINDESBERG</t>
        </is>
      </c>
      <c r="G922" t="n">
        <v>6.4</v>
      </c>
      <c r="H922" t="n">
        <v>0</v>
      </c>
      <c r="I922" t="n">
        <v>0</v>
      </c>
      <c r="J922" t="n">
        <v>0</v>
      </c>
      <c r="K922" t="n">
        <v>0</v>
      </c>
      <c r="L922" t="n">
        <v>0</v>
      </c>
      <c r="M922" t="n">
        <v>0</v>
      </c>
      <c r="N922" t="n">
        <v>0</v>
      </c>
      <c r="O922" t="n">
        <v>0</v>
      </c>
      <c r="P922" t="n">
        <v>0</v>
      </c>
      <c r="Q922" t="n">
        <v>0</v>
      </c>
      <c r="R922" s="2" t="inlineStr"/>
    </row>
    <row r="923" ht="15" customHeight="1">
      <c r="A923" t="inlineStr">
        <is>
          <t>A 21399-2019</t>
        </is>
      </c>
      <c r="B923" s="1" t="n">
        <v>43580</v>
      </c>
      <c r="C923" s="1" t="n">
        <v>45360</v>
      </c>
      <c r="D923" t="inlineStr">
        <is>
          <t>ÖREBRO LÄN</t>
        </is>
      </c>
      <c r="E923" t="inlineStr">
        <is>
          <t>HÄLLEFORS</t>
        </is>
      </c>
      <c r="G923" t="n">
        <v>1.4</v>
      </c>
      <c r="H923" t="n">
        <v>0</v>
      </c>
      <c r="I923" t="n">
        <v>0</v>
      </c>
      <c r="J923" t="n">
        <v>0</v>
      </c>
      <c r="K923" t="n">
        <v>0</v>
      </c>
      <c r="L923" t="n">
        <v>0</v>
      </c>
      <c r="M923" t="n">
        <v>0</v>
      </c>
      <c r="N923" t="n">
        <v>0</v>
      </c>
      <c r="O923" t="n">
        <v>0</v>
      </c>
      <c r="P923" t="n">
        <v>0</v>
      </c>
      <c r="Q923" t="n">
        <v>0</v>
      </c>
      <c r="R923" s="2" t="inlineStr"/>
    </row>
    <row r="924" ht="15" customHeight="1">
      <c r="A924" t="inlineStr">
        <is>
          <t>A 21409-2019</t>
        </is>
      </c>
      <c r="B924" s="1" t="n">
        <v>43580</v>
      </c>
      <c r="C924" s="1" t="n">
        <v>45360</v>
      </c>
      <c r="D924" t="inlineStr">
        <is>
          <t>ÖREBRO LÄN</t>
        </is>
      </c>
      <c r="E924" t="inlineStr">
        <is>
          <t>HALLSBERG</t>
        </is>
      </c>
      <c r="G924" t="n">
        <v>9.4</v>
      </c>
      <c r="H924" t="n">
        <v>0</v>
      </c>
      <c r="I924" t="n">
        <v>0</v>
      </c>
      <c r="J924" t="n">
        <v>0</v>
      </c>
      <c r="K924" t="n">
        <v>0</v>
      </c>
      <c r="L924" t="n">
        <v>0</v>
      </c>
      <c r="M924" t="n">
        <v>0</v>
      </c>
      <c r="N924" t="n">
        <v>0</v>
      </c>
      <c r="O924" t="n">
        <v>0</v>
      </c>
      <c r="P924" t="n">
        <v>0</v>
      </c>
      <c r="Q924" t="n">
        <v>0</v>
      </c>
      <c r="R924" s="2" t="inlineStr"/>
    </row>
    <row r="925" ht="15" customHeight="1">
      <c r="A925" t="inlineStr">
        <is>
          <t>A 21538-2019</t>
        </is>
      </c>
      <c r="B925" s="1" t="n">
        <v>43580</v>
      </c>
      <c r="C925" s="1" t="n">
        <v>45360</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21432-2019</t>
        </is>
      </c>
      <c r="B926" s="1" t="n">
        <v>43580</v>
      </c>
      <c r="C926" s="1" t="n">
        <v>45360</v>
      </c>
      <c r="D926" t="inlineStr">
        <is>
          <t>ÖREBRO LÄN</t>
        </is>
      </c>
      <c r="E926" t="inlineStr">
        <is>
          <t>LEKEBERG</t>
        </is>
      </c>
      <c r="G926" t="n">
        <v>3.3</v>
      </c>
      <c r="H926" t="n">
        <v>0</v>
      </c>
      <c r="I926" t="n">
        <v>0</v>
      </c>
      <c r="J926" t="n">
        <v>0</v>
      </c>
      <c r="K926" t="n">
        <v>0</v>
      </c>
      <c r="L926" t="n">
        <v>0</v>
      </c>
      <c r="M926" t="n">
        <v>0</v>
      </c>
      <c r="N926" t="n">
        <v>0</v>
      </c>
      <c r="O926" t="n">
        <v>0</v>
      </c>
      <c r="P926" t="n">
        <v>0</v>
      </c>
      <c r="Q926" t="n">
        <v>0</v>
      </c>
      <c r="R926" s="2" t="inlineStr"/>
    </row>
    <row r="927" ht="15" customHeight="1">
      <c r="A927" t="inlineStr">
        <is>
          <t>A 21596-2019</t>
        </is>
      </c>
      <c r="B927" s="1" t="n">
        <v>43581</v>
      </c>
      <c r="C927" s="1" t="n">
        <v>45360</v>
      </c>
      <c r="D927" t="inlineStr">
        <is>
          <t>ÖREBRO LÄN</t>
        </is>
      </c>
      <c r="E927" t="inlineStr">
        <is>
          <t>LINDESBERG</t>
        </is>
      </c>
      <c r="G927" t="n">
        <v>2.1</v>
      </c>
      <c r="H927" t="n">
        <v>0</v>
      </c>
      <c r="I927" t="n">
        <v>0</v>
      </c>
      <c r="J927" t="n">
        <v>0</v>
      </c>
      <c r="K927" t="n">
        <v>0</v>
      </c>
      <c r="L927" t="n">
        <v>0</v>
      </c>
      <c r="M927" t="n">
        <v>0</v>
      </c>
      <c r="N927" t="n">
        <v>0</v>
      </c>
      <c r="O927" t="n">
        <v>0</v>
      </c>
      <c r="P927" t="n">
        <v>0</v>
      </c>
      <c r="Q927" t="n">
        <v>0</v>
      </c>
      <c r="R927" s="2" t="inlineStr"/>
    </row>
    <row r="928" ht="15" customHeight="1">
      <c r="A928" t="inlineStr">
        <is>
          <t>A 21722-2019</t>
        </is>
      </c>
      <c r="B928" s="1" t="n">
        <v>43581</v>
      </c>
      <c r="C928" s="1" t="n">
        <v>45360</v>
      </c>
      <c r="D928" t="inlineStr">
        <is>
          <t>ÖREBRO LÄN</t>
        </is>
      </c>
      <c r="E928" t="inlineStr">
        <is>
          <t>ÖREBRO</t>
        </is>
      </c>
      <c r="G928" t="n">
        <v>11.3</v>
      </c>
      <c r="H928" t="n">
        <v>0</v>
      </c>
      <c r="I928" t="n">
        <v>0</v>
      </c>
      <c r="J928" t="n">
        <v>0</v>
      </c>
      <c r="K928" t="n">
        <v>0</v>
      </c>
      <c r="L928" t="n">
        <v>0</v>
      </c>
      <c r="M928" t="n">
        <v>0</v>
      </c>
      <c r="N928" t="n">
        <v>0</v>
      </c>
      <c r="O928" t="n">
        <v>0</v>
      </c>
      <c r="P928" t="n">
        <v>0</v>
      </c>
      <c r="Q928" t="n">
        <v>0</v>
      </c>
      <c r="R928" s="2" t="inlineStr"/>
    </row>
    <row r="929" ht="15" customHeight="1">
      <c r="A929" t="inlineStr">
        <is>
          <t>A 21830-2019</t>
        </is>
      </c>
      <c r="B929" s="1" t="n">
        <v>43584</v>
      </c>
      <c r="C929" s="1" t="n">
        <v>45360</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22012-2019</t>
        </is>
      </c>
      <c r="B930" s="1" t="n">
        <v>43584</v>
      </c>
      <c r="C930" s="1" t="n">
        <v>45360</v>
      </c>
      <c r="D930" t="inlineStr">
        <is>
          <t>ÖREBRO LÄN</t>
        </is>
      </c>
      <c r="E930" t="inlineStr">
        <is>
          <t>HALLSBERG</t>
        </is>
      </c>
      <c r="G930" t="n">
        <v>0.6</v>
      </c>
      <c r="H930" t="n">
        <v>0</v>
      </c>
      <c r="I930" t="n">
        <v>0</v>
      </c>
      <c r="J930" t="n">
        <v>0</v>
      </c>
      <c r="K930" t="n">
        <v>0</v>
      </c>
      <c r="L930" t="n">
        <v>0</v>
      </c>
      <c r="M930" t="n">
        <v>0</v>
      </c>
      <c r="N930" t="n">
        <v>0</v>
      </c>
      <c r="O930" t="n">
        <v>0</v>
      </c>
      <c r="P930" t="n">
        <v>0</v>
      </c>
      <c r="Q930" t="n">
        <v>0</v>
      </c>
      <c r="R930" s="2" t="inlineStr"/>
    </row>
    <row r="931" ht="15" customHeight="1">
      <c r="A931" t="inlineStr">
        <is>
          <t>A 21835-2019</t>
        </is>
      </c>
      <c r="B931" s="1" t="n">
        <v>43584</v>
      </c>
      <c r="C931" s="1" t="n">
        <v>45360</v>
      </c>
      <c r="D931" t="inlineStr">
        <is>
          <t>ÖREBRO LÄN</t>
        </is>
      </c>
      <c r="E931" t="inlineStr">
        <is>
          <t>ÖREBRO</t>
        </is>
      </c>
      <c r="G931" t="n">
        <v>2</v>
      </c>
      <c r="H931" t="n">
        <v>0</v>
      </c>
      <c r="I931" t="n">
        <v>0</v>
      </c>
      <c r="J931" t="n">
        <v>0</v>
      </c>
      <c r="K931" t="n">
        <v>0</v>
      </c>
      <c r="L931" t="n">
        <v>0</v>
      </c>
      <c r="M931" t="n">
        <v>0</v>
      </c>
      <c r="N931" t="n">
        <v>0</v>
      </c>
      <c r="O931" t="n">
        <v>0</v>
      </c>
      <c r="P931" t="n">
        <v>0</v>
      </c>
      <c r="Q931" t="n">
        <v>0</v>
      </c>
      <c r="R931" s="2" t="inlineStr"/>
    </row>
    <row r="932" ht="15" customHeight="1">
      <c r="A932" t="inlineStr">
        <is>
          <t>A 22243-2019</t>
        </is>
      </c>
      <c r="B932" s="1" t="n">
        <v>43585</v>
      </c>
      <c r="C932" s="1" t="n">
        <v>45360</v>
      </c>
      <c r="D932" t="inlineStr">
        <is>
          <t>ÖREBRO LÄN</t>
        </is>
      </c>
      <c r="E932" t="inlineStr">
        <is>
          <t>ÖREBRO</t>
        </is>
      </c>
      <c r="G932" t="n">
        <v>2.8</v>
      </c>
      <c r="H932" t="n">
        <v>0</v>
      </c>
      <c r="I932" t="n">
        <v>0</v>
      </c>
      <c r="J932" t="n">
        <v>0</v>
      </c>
      <c r="K932" t="n">
        <v>0</v>
      </c>
      <c r="L932" t="n">
        <v>0</v>
      </c>
      <c r="M932" t="n">
        <v>0</v>
      </c>
      <c r="N932" t="n">
        <v>0</v>
      </c>
      <c r="O932" t="n">
        <v>0</v>
      </c>
      <c r="P932" t="n">
        <v>0</v>
      </c>
      <c r="Q932" t="n">
        <v>0</v>
      </c>
      <c r="R932" s="2" t="inlineStr"/>
    </row>
    <row r="933" ht="15" customHeight="1">
      <c r="A933" t="inlineStr">
        <is>
          <t>A 22251-2019</t>
        </is>
      </c>
      <c r="B933" s="1" t="n">
        <v>43585</v>
      </c>
      <c r="C933" s="1" t="n">
        <v>45360</v>
      </c>
      <c r="D933" t="inlineStr">
        <is>
          <t>ÖREBRO LÄN</t>
        </is>
      </c>
      <c r="E933" t="inlineStr">
        <is>
          <t>HALLSBERG</t>
        </is>
      </c>
      <c r="G933" t="n">
        <v>2.8</v>
      </c>
      <c r="H933" t="n">
        <v>0</v>
      </c>
      <c r="I933" t="n">
        <v>0</v>
      </c>
      <c r="J933" t="n">
        <v>0</v>
      </c>
      <c r="K933" t="n">
        <v>0</v>
      </c>
      <c r="L933" t="n">
        <v>0</v>
      </c>
      <c r="M933" t="n">
        <v>0</v>
      </c>
      <c r="N933" t="n">
        <v>0</v>
      </c>
      <c r="O933" t="n">
        <v>0</v>
      </c>
      <c r="P933" t="n">
        <v>0</v>
      </c>
      <c r="Q933" t="n">
        <v>0</v>
      </c>
      <c r="R933" s="2" t="inlineStr"/>
    </row>
    <row r="934" ht="15" customHeight="1">
      <c r="A934" t="inlineStr">
        <is>
          <t>A 22333-2019</t>
        </is>
      </c>
      <c r="B934" s="1" t="n">
        <v>43586</v>
      </c>
      <c r="C934" s="1" t="n">
        <v>45360</v>
      </c>
      <c r="D934" t="inlineStr">
        <is>
          <t>ÖREBRO LÄN</t>
        </is>
      </c>
      <c r="E934" t="inlineStr">
        <is>
          <t>NORA</t>
        </is>
      </c>
      <c r="G934" t="n">
        <v>1.5</v>
      </c>
      <c r="H934" t="n">
        <v>0</v>
      </c>
      <c r="I934" t="n">
        <v>0</v>
      </c>
      <c r="J934" t="n">
        <v>0</v>
      </c>
      <c r="K934" t="n">
        <v>0</v>
      </c>
      <c r="L934" t="n">
        <v>0</v>
      </c>
      <c r="M934" t="n">
        <v>0</v>
      </c>
      <c r="N934" t="n">
        <v>0</v>
      </c>
      <c r="O934" t="n">
        <v>0</v>
      </c>
      <c r="P934" t="n">
        <v>0</v>
      </c>
      <c r="Q934" t="n">
        <v>0</v>
      </c>
      <c r="R934" s="2" t="inlineStr"/>
    </row>
    <row r="935" ht="15" customHeight="1">
      <c r="A935" t="inlineStr">
        <is>
          <t>A 22348-2019</t>
        </is>
      </c>
      <c r="B935" s="1" t="n">
        <v>43587</v>
      </c>
      <c r="C935" s="1" t="n">
        <v>45360</v>
      </c>
      <c r="D935" t="inlineStr">
        <is>
          <t>ÖREBRO LÄN</t>
        </is>
      </c>
      <c r="E935" t="inlineStr">
        <is>
          <t>HÄLLEFORS</t>
        </is>
      </c>
      <c r="G935" t="n">
        <v>3.5</v>
      </c>
      <c r="H935" t="n">
        <v>0</v>
      </c>
      <c r="I935" t="n">
        <v>0</v>
      </c>
      <c r="J935" t="n">
        <v>0</v>
      </c>
      <c r="K935" t="n">
        <v>0</v>
      </c>
      <c r="L935" t="n">
        <v>0</v>
      </c>
      <c r="M935" t="n">
        <v>0</v>
      </c>
      <c r="N935" t="n">
        <v>0</v>
      </c>
      <c r="O935" t="n">
        <v>0</v>
      </c>
      <c r="P935" t="n">
        <v>0</v>
      </c>
      <c r="Q935" t="n">
        <v>0</v>
      </c>
      <c r="R935" s="2" t="inlineStr"/>
    </row>
    <row r="936" ht="15" customHeight="1">
      <c r="A936" t="inlineStr">
        <is>
          <t>A 22508-2019</t>
        </is>
      </c>
      <c r="B936" s="1" t="n">
        <v>43587</v>
      </c>
      <c r="C936" s="1" t="n">
        <v>45360</v>
      </c>
      <c r="D936" t="inlineStr">
        <is>
          <t>ÖREBRO LÄN</t>
        </is>
      </c>
      <c r="E936" t="inlineStr">
        <is>
          <t>LEKEBERG</t>
        </is>
      </c>
      <c r="G936" t="n">
        <v>0.8</v>
      </c>
      <c r="H936" t="n">
        <v>0</v>
      </c>
      <c r="I936" t="n">
        <v>0</v>
      </c>
      <c r="J936" t="n">
        <v>0</v>
      </c>
      <c r="K936" t="n">
        <v>0</v>
      </c>
      <c r="L936" t="n">
        <v>0</v>
      </c>
      <c r="M936" t="n">
        <v>0</v>
      </c>
      <c r="N936" t="n">
        <v>0</v>
      </c>
      <c r="O936" t="n">
        <v>0</v>
      </c>
      <c r="P936" t="n">
        <v>0</v>
      </c>
      <c r="Q936" t="n">
        <v>0</v>
      </c>
      <c r="R936" s="2" t="inlineStr"/>
    </row>
    <row r="937" ht="15" customHeight="1">
      <c r="A937" t="inlineStr">
        <is>
          <t>A 22760-2019</t>
        </is>
      </c>
      <c r="B937" s="1" t="n">
        <v>43587</v>
      </c>
      <c r="C937" s="1" t="n">
        <v>45360</v>
      </c>
      <c r="D937" t="inlineStr">
        <is>
          <t>ÖREBRO LÄN</t>
        </is>
      </c>
      <c r="E937" t="inlineStr">
        <is>
          <t>KARLSKOGA</t>
        </is>
      </c>
      <c r="F937" t="inlineStr">
        <is>
          <t>Kyrkan</t>
        </is>
      </c>
      <c r="G937" t="n">
        <v>1.3</v>
      </c>
      <c r="H937" t="n">
        <v>0</v>
      </c>
      <c r="I937" t="n">
        <v>0</v>
      </c>
      <c r="J937" t="n">
        <v>0</v>
      </c>
      <c r="K937" t="n">
        <v>0</v>
      </c>
      <c r="L937" t="n">
        <v>0</v>
      </c>
      <c r="M937" t="n">
        <v>0</v>
      </c>
      <c r="N937" t="n">
        <v>0</v>
      </c>
      <c r="O937" t="n">
        <v>0</v>
      </c>
      <c r="P937" t="n">
        <v>0</v>
      </c>
      <c r="Q937" t="n">
        <v>0</v>
      </c>
      <c r="R937" s="2" t="inlineStr"/>
    </row>
    <row r="938" ht="15" customHeight="1">
      <c r="A938" t="inlineStr">
        <is>
          <t>A 22672-2019</t>
        </is>
      </c>
      <c r="B938" s="1" t="n">
        <v>43588</v>
      </c>
      <c r="C938" s="1" t="n">
        <v>45360</v>
      </c>
      <c r="D938" t="inlineStr">
        <is>
          <t>ÖREBRO LÄN</t>
        </is>
      </c>
      <c r="E938" t="inlineStr">
        <is>
          <t>LINDESBERG</t>
        </is>
      </c>
      <c r="F938" t="inlineStr">
        <is>
          <t>Sveaskog</t>
        </is>
      </c>
      <c r="G938" t="n">
        <v>6.3</v>
      </c>
      <c r="H938" t="n">
        <v>0</v>
      </c>
      <c r="I938" t="n">
        <v>0</v>
      </c>
      <c r="J938" t="n">
        <v>0</v>
      </c>
      <c r="K938" t="n">
        <v>0</v>
      </c>
      <c r="L938" t="n">
        <v>0</v>
      </c>
      <c r="M938" t="n">
        <v>0</v>
      </c>
      <c r="N938" t="n">
        <v>0</v>
      </c>
      <c r="O938" t="n">
        <v>0</v>
      </c>
      <c r="P938" t="n">
        <v>0</v>
      </c>
      <c r="Q938" t="n">
        <v>0</v>
      </c>
      <c r="R938" s="2" t="inlineStr"/>
    </row>
    <row r="939" ht="15" customHeight="1">
      <c r="A939" t="inlineStr">
        <is>
          <t>A 22661-2019</t>
        </is>
      </c>
      <c r="B939" s="1" t="n">
        <v>43588</v>
      </c>
      <c r="C939" s="1" t="n">
        <v>45360</v>
      </c>
      <c r="D939" t="inlineStr">
        <is>
          <t>ÖREBRO LÄN</t>
        </is>
      </c>
      <c r="E939" t="inlineStr">
        <is>
          <t>LJUSNARSBERG</t>
        </is>
      </c>
      <c r="G939" t="n">
        <v>5.7</v>
      </c>
      <c r="H939" t="n">
        <v>0</v>
      </c>
      <c r="I939" t="n">
        <v>0</v>
      </c>
      <c r="J939" t="n">
        <v>0</v>
      </c>
      <c r="K939" t="n">
        <v>0</v>
      </c>
      <c r="L939" t="n">
        <v>0</v>
      </c>
      <c r="M939" t="n">
        <v>0</v>
      </c>
      <c r="N939" t="n">
        <v>0</v>
      </c>
      <c r="O939" t="n">
        <v>0</v>
      </c>
      <c r="P939" t="n">
        <v>0</v>
      </c>
      <c r="Q939" t="n">
        <v>0</v>
      </c>
      <c r="R939" s="2" t="inlineStr"/>
    </row>
    <row r="940" ht="15" customHeight="1">
      <c r="A940" t="inlineStr">
        <is>
          <t>A 22675-2019</t>
        </is>
      </c>
      <c r="B940" s="1" t="n">
        <v>43588</v>
      </c>
      <c r="C940" s="1" t="n">
        <v>45360</v>
      </c>
      <c r="D940" t="inlineStr">
        <is>
          <t>ÖREBRO LÄN</t>
        </is>
      </c>
      <c r="E940" t="inlineStr">
        <is>
          <t>LINDESBERG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22634-2019</t>
        </is>
      </c>
      <c r="B941" s="1" t="n">
        <v>43588</v>
      </c>
      <c r="C941" s="1" t="n">
        <v>45360</v>
      </c>
      <c r="D941" t="inlineStr">
        <is>
          <t>ÖREBRO LÄN</t>
        </is>
      </c>
      <c r="E941" t="inlineStr">
        <is>
          <t>ASKERSUND</t>
        </is>
      </c>
      <c r="G941" t="n">
        <v>0.7</v>
      </c>
      <c r="H941" t="n">
        <v>0</v>
      </c>
      <c r="I941" t="n">
        <v>0</v>
      </c>
      <c r="J941" t="n">
        <v>0</v>
      </c>
      <c r="K941" t="n">
        <v>0</v>
      </c>
      <c r="L941" t="n">
        <v>0</v>
      </c>
      <c r="M941" t="n">
        <v>0</v>
      </c>
      <c r="N941" t="n">
        <v>0</v>
      </c>
      <c r="O941" t="n">
        <v>0</v>
      </c>
      <c r="P941" t="n">
        <v>0</v>
      </c>
      <c r="Q941" t="n">
        <v>0</v>
      </c>
      <c r="R941" s="2" t="inlineStr"/>
    </row>
    <row r="942" ht="15" customHeight="1">
      <c r="A942" t="inlineStr">
        <is>
          <t>A 22705-2019</t>
        </is>
      </c>
      <c r="B942" s="1" t="n">
        <v>43588</v>
      </c>
      <c r="C942" s="1" t="n">
        <v>45360</v>
      </c>
      <c r="D942" t="inlineStr">
        <is>
          <t>ÖREBRO LÄN</t>
        </is>
      </c>
      <c r="E942" t="inlineStr">
        <is>
          <t>LINDESBERG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22723-2019</t>
        </is>
      </c>
      <c r="B943" s="1" t="n">
        <v>43588</v>
      </c>
      <c r="C943" s="1" t="n">
        <v>45360</v>
      </c>
      <c r="D943" t="inlineStr">
        <is>
          <t>ÖREBRO LÄN</t>
        </is>
      </c>
      <c r="E943" t="inlineStr">
        <is>
          <t>LJUSNARSBERG</t>
        </is>
      </c>
      <c r="G943" t="n">
        <v>0.7</v>
      </c>
      <c r="H943" t="n">
        <v>0</v>
      </c>
      <c r="I943" t="n">
        <v>0</v>
      </c>
      <c r="J943" t="n">
        <v>0</v>
      </c>
      <c r="K943" t="n">
        <v>0</v>
      </c>
      <c r="L943" t="n">
        <v>0</v>
      </c>
      <c r="M943" t="n">
        <v>0</v>
      </c>
      <c r="N943" t="n">
        <v>0</v>
      </c>
      <c r="O943" t="n">
        <v>0</v>
      </c>
      <c r="P943" t="n">
        <v>0</v>
      </c>
      <c r="Q943" t="n">
        <v>0</v>
      </c>
      <c r="R943" s="2" t="inlineStr"/>
    </row>
    <row r="944" ht="15" customHeight="1">
      <c r="A944" t="inlineStr">
        <is>
          <t>A 22695-2019</t>
        </is>
      </c>
      <c r="B944" s="1" t="n">
        <v>43588</v>
      </c>
      <c r="C944" s="1" t="n">
        <v>45360</v>
      </c>
      <c r="D944" t="inlineStr">
        <is>
          <t>ÖREBRO LÄN</t>
        </is>
      </c>
      <c r="E944" t="inlineStr">
        <is>
          <t>LINDESBERG</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22670-2019</t>
        </is>
      </c>
      <c r="B945" s="1" t="n">
        <v>43588</v>
      </c>
      <c r="C945" s="1" t="n">
        <v>45360</v>
      </c>
      <c r="D945" t="inlineStr">
        <is>
          <t>ÖREBRO LÄN</t>
        </is>
      </c>
      <c r="E945" t="inlineStr">
        <is>
          <t>LINDESBERG</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22854-2019</t>
        </is>
      </c>
      <c r="B946" s="1" t="n">
        <v>43591</v>
      </c>
      <c r="C946" s="1" t="n">
        <v>45360</v>
      </c>
      <c r="D946" t="inlineStr">
        <is>
          <t>ÖREBRO LÄN</t>
        </is>
      </c>
      <c r="E946" t="inlineStr">
        <is>
          <t>NORA</t>
        </is>
      </c>
      <c r="G946" t="n">
        <v>4.4</v>
      </c>
      <c r="H946" t="n">
        <v>0</v>
      </c>
      <c r="I946" t="n">
        <v>0</v>
      </c>
      <c r="J946" t="n">
        <v>0</v>
      </c>
      <c r="K946" t="n">
        <v>0</v>
      </c>
      <c r="L946" t="n">
        <v>0</v>
      </c>
      <c r="M946" t="n">
        <v>0</v>
      </c>
      <c r="N946" t="n">
        <v>0</v>
      </c>
      <c r="O946" t="n">
        <v>0</v>
      </c>
      <c r="P946" t="n">
        <v>0</v>
      </c>
      <c r="Q946" t="n">
        <v>0</v>
      </c>
      <c r="R946" s="2" t="inlineStr"/>
    </row>
    <row r="947" ht="15" customHeight="1">
      <c r="A947" t="inlineStr">
        <is>
          <t>A 22864-2019</t>
        </is>
      </c>
      <c r="B947" s="1" t="n">
        <v>43591</v>
      </c>
      <c r="C947" s="1" t="n">
        <v>45360</v>
      </c>
      <c r="D947" t="inlineStr">
        <is>
          <t>ÖREBRO LÄN</t>
        </is>
      </c>
      <c r="E947" t="inlineStr">
        <is>
          <t>KUMLA</t>
        </is>
      </c>
      <c r="G947" t="n">
        <v>1.7</v>
      </c>
      <c r="H947" t="n">
        <v>0</v>
      </c>
      <c r="I947" t="n">
        <v>0</v>
      </c>
      <c r="J947" t="n">
        <v>0</v>
      </c>
      <c r="K947" t="n">
        <v>0</v>
      </c>
      <c r="L947" t="n">
        <v>0</v>
      </c>
      <c r="M947" t="n">
        <v>0</v>
      </c>
      <c r="N947" t="n">
        <v>0</v>
      </c>
      <c r="O947" t="n">
        <v>0</v>
      </c>
      <c r="P947" t="n">
        <v>0</v>
      </c>
      <c r="Q947" t="n">
        <v>0</v>
      </c>
      <c r="R947" s="2" t="inlineStr"/>
    </row>
    <row r="948" ht="15" customHeight="1">
      <c r="A948" t="inlineStr">
        <is>
          <t>A 23132-2019</t>
        </is>
      </c>
      <c r="B948" s="1" t="n">
        <v>43592</v>
      </c>
      <c r="C948" s="1" t="n">
        <v>45360</v>
      </c>
      <c r="D948" t="inlineStr">
        <is>
          <t>ÖREBRO LÄN</t>
        </is>
      </c>
      <c r="E948" t="inlineStr">
        <is>
          <t>ASKERSUND</t>
        </is>
      </c>
      <c r="F948" t="inlineStr">
        <is>
          <t>Kyrkan</t>
        </is>
      </c>
      <c r="G948" t="n">
        <v>4.9</v>
      </c>
      <c r="H948" t="n">
        <v>0</v>
      </c>
      <c r="I948" t="n">
        <v>0</v>
      </c>
      <c r="J948" t="n">
        <v>0</v>
      </c>
      <c r="K948" t="n">
        <v>0</v>
      </c>
      <c r="L948" t="n">
        <v>0</v>
      </c>
      <c r="M948" t="n">
        <v>0</v>
      </c>
      <c r="N948" t="n">
        <v>0</v>
      </c>
      <c r="O948" t="n">
        <v>0</v>
      </c>
      <c r="P948" t="n">
        <v>0</v>
      </c>
      <c r="Q948" t="n">
        <v>0</v>
      </c>
      <c r="R948" s="2" t="inlineStr"/>
    </row>
    <row r="949" ht="15" customHeight="1">
      <c r="A949" t="inlineStr">
        <is>
          <t>A 23264-2019</t>
        </is>
      </c>
      <c r="B949" s="1" t="n">
        <v>43592</v>
      </c>
      <c r="C949" s="1" t="n">
        <v>45360</v>
      </c>
      <c r="D949" t="inlineStr">
        <is>
          <t>ÖREBRO LÄN</t>
        </is>
      </c>
      <c r="E949" t="inlineStr">
        <is>
          <t>LINDESBERG</t>
        </is>
      </c>
      <c r="G949" t="n">
        <v>1.8</v>
      </c>
      <c r="H949" t="n">
        <v>0</v>
      </c>
      <c r="I949" t="n">
        <v>0</v>
      </c>
      <c r="J949" t="n">
        <v>0</v>
      </c>
      <c r="K949" t="n">
        <v>0</v>
      </c>
      <c r="L949" t="n">
        <v>0</v>
      </c>
      <c r="M949" t="n">
        <v>0</v>
      </c>
      <c r="N949" t="n">
        <v>0</v>
      </c>
      <c r="O949" t="n">
        <v>0</v>
      </c>
      <c r="P949" t="n">
        <v>0</v>
      </c>
      <c r="Q949" t="n">
        <v>0</v>
      </c>
      <c r="R949" s="2" t="inlineStr"/>
    </row>
    <row r="950" ht="15" customHeight="1">
      <c r="A950" t="inlineStr">
        <is>
          <t>A 23259-2019</t>
        </is>
      </c>
      <c r="B950" s="1" t="n">
        <v>43592</v>
      </c>
      <c r="C950" s="1" t="n">
        <v>45360</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23393-2019</t>
        </is>
      </c>
      <c r="B951" s="1" t="n">
        <v>43593</v>
      </c>
      <c r="C951" s="1" t="n">
        <v>45360</v>
      </c>
      <c r="D951" t="inlineStr">
        <is>
          <t>ÖREBRO LÄN</t>
        </is>
      </c>
      <c r="E951" t="inlineStr">
        <is>
          <t>LINDESBERG</t>
        </is>
      </c>
      <c r="G951" t="n">
        <v>1.9</v>
      </c>
      <c r="H951" t="n">
        <v>0</v>
      </c>
      <c r="I951" t="n">
        <v>0</v>
      </c>
      <c r="J951" t="n">
        <v>0</v>
      </c>
      <c r="K951" t="n">
        <v>0</v>
      </c>
      <c r="L951" t="n">
        <v>0</v>
      </c>
      <c r="M951" t="n">
        <v>0</v>
      </c>
      <c r="N951" t="n">
        <v>0</v>
      </c>
      <c r="O951" t="n">
        <v>0</v>
      </c>
      <c r="P951" t="n">
        <v>0</v>
      </c>
      <c r="Q951" t="n">
        <v>0</v>
      </c>
      <c r="R951" s="2" t="inlineStr"/>
    </row>
    <row r="952" ht="15" customHeight="1">
      <c r="A952" t="inlineStr">
        <is>
          <t>A 23666-2019</t>
        </is>
      </c>
      <c r="B952" s="1" t="n">
        <v>43594</v>
      </c>
      <c r="C952" s="1" t="n">
        <v>45360</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23504-2019</t>
        </is>
      </c>
      <c r="B953" s="1" t="n">
        <v>43594</v>
      </c>
      <c r="C953" s="1" t="n">
        <v>45360</v>
      </c>
      <c r="D953" t="inlineStr">
        <is>
          <t>ÖREBRO LÄN</t>
        </is>
      </c>
      <c r="E953" t="inlineStr">
        <is>
          <t>ASKERSUND</t>
        </is>
      </c>
      <c r="G953" t="n">
        <v>7.3</v>
      </c>
      <c r="H953" t="n">
        <v>0</v>
      </c>
      <c r="I953" t="n">
        <v>0</v>
      </c>
      <c r="J953" t="n">
        <v>0</v>
      </c>
      <c r="K953" t="n">
        <v>0</v>
      </c>
      <c r="L953" t="n">
        <v>0</v>
      </c>
      <c r="M953" t="n">
        <v>0</v>
      </c>
      <c r="N953" t="n">
        <v>0</v>
      </c>
      <c r="O953" t="n">
        <v>0</v>
      </c>
      <c r="P953" t="n">
        <v>0</v>
      </c>
      <c r="Q953" t="n">
        <v>0</v>
      </c>
      <c r="R953" s="2" t="inlineStr"/>
    </row>
    <row r="954" ht="15" customHeight="1">
      <c r="A954" t="inlineStr">
        <is>
          <t>A 23700-2019</t>
        </is>
      </c>
      <c r="B954" s="1" t="n">
        <v>43594</v>
      </c>
      <c r="C954" s="1" t="n">
        <v>45360</v>
      </c>
      <c r="D954" t="inlineStr">
        <is>
          <t>ÖREBRO LÄN</t>
        </is>
      </c>
      <c r="E954" t="inlineStr">
        <is>
          <t>LINDESBERG</t>
        </is>
      </c>
      <c r="F954" t="inlineStr">
        <is>
          <t>Kyrkan</t>
        </is>
      </c>
      <c r="G954" t="n">
        <v>3.1</v>
      </c>
      <c r="H954" t="n">
        <v>0</v>
      </c>
      <c r="I954" t="n">
        <v>0</v>
      </c>
      <c r="J954" t="n">
        <v>0</v>
      </c>
      <c r="K954" t="n">
        <v>0</v>
      </c>
      <c r="L954" t="n">
        <v>0</v>
      </c>
      <c r="M954" t="n">
        <v>0</v>
      </c>
      <c r="N954" t="n">
        <v>0</v>
      </c>
      <c r="O954" t="n">
        <v>0</v>
      </c>
      <c r="P954" t="n">
        <v>0</v>
      </c>
      <c r="Q954" t="n">
        <v>0</v>
      </c>
      <c r="R954" s="2" t="inlineStr"/>
    </row>
    <row r="955" ht="15" customHeight="1">
      <c r="A955" t="inlineStr">
        <is>
          <t>A 23667-2019</t>
        </is>
      </c>
      <c r="B955" s="1" t="n">
        <v>43594</v>
      </c>
      <c r="C955" s="1" t="n">
        <v>45360</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23701-2019</t>
        </is>
      </c>
      <c r="B956" s="1" t="n">
        <v>43594</v>
      </c>
      <c r="C956" s="1" t="n">
        <v>45360</v>
      </c>
      <c r="D956" t="inlineStr">
        <is>
          <t>ÖREBRO LÄN</t>
        </is>
      </c>
      <c r="E956" t="inlineStr">
        <is>
          <t>LINDESBERG</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24146-2019</t>
        </is>
      </c>
      <c r="B957" s="1" t="n">
        <v>43598</v>
      </c>
      <c r="C957" s="1" t="n">
        <v>45360</v>
      </c>
      <c r="D957" t="inlineStr">
        <is>
          <t>ÖREBRO LÄN</t>
        </is>
      </c>
      <c r="E957" t="inlineStr">
        <is>
          <t>LINDESBERG</t>
        </is>
      </c>
      <c r="F957" t="inlineStr">
        <is>
          <t>Kyrkan</t>
        </is>
      </c>
      <c r="G957" t="n">
        <v>6.5</v>
      </c>
      <c r="H957" t="n">
        <v>0</v>
      </c>
      <c r="I957" t="n">
        <v>0</v>
      </c>
      <c r="J957" t="n">
        <v>0</v>
      </c>
      <c r="K957" t="n">
        <v>0</v>
      </c>
      <c r="L957" t="n">
        <v>0</v>
      </c>
      <c r="M957" t="n">
        <v>0</v>
      </c>
      <c r="N957" t="n">
        <v>0</v>
      </c>
      <c r="O957" t="n">
        <v>0</v>
      </c>
      <c r="P957" t="n">
        <v>0</v>
      </c>
      <c r="Q957" t="n">
        <v>0</v>
      </c>
      <c r="R957" s="2" t="inlineStr"/>
    </row>
    <row r="958" ht="15" customHeight="1">
      <c r="A958" t="inlineStr">
        <is>
          <t>A 24112-2019</t>
        </is>
      </c>
      <c r="B958" s="1" t="n">
        <v>43598</v>
      </c>
      <c r="C958" s="1" t="n">
        <v>45360</v>
      </c>
      <c r="D958" t="inlineStr">
        <is>
          <t>ÖREBRO LÄN</t>
        </is>
      </c>
      <c r="E958" t="inlineStr">
        <is>
          <t>ASKERSUND</t>
        </is>
      </c>
      <c r="G958" t="n">
        <v>5</v>
      </c>
      <c r="H958" t="n">
        <v>0</v>
      </c>
      <c r="I958" t="n">
        <v>0</v>
      </c>
      <c r="J958" t="n">
        <v>0</v>
      </c>
      <c r="K958" t="n">
        <v>0</v>
      </c>
      <c r="L958" t="n">
        <v>0</v>
      </c>
      <c r="M958" t="n">
        <v>0</v>
      </c>
      <c r="N958" t="n">
        <v>0</v>
      </c>
      <c r="O958" t="n">
        <v>0</v>
      </c>
      <c r="P958" t="n">
        <v>0</v>
      </c>
      <c r="Q958" t="n">
        <v>0</v>
      </c>
      <c r="R958" s="2" t="inlineStr"/>
    </row>
    <row r="959" ht="15" customHeight="1">
      <c r="A959" t="inlineStr">
        <is>
          <t>A 24139-2019</t>
        </is>
      </c>
      <c r="B959" s="1" t="n">
        <v>43598</v>
      </c>
      <c r="C959" s="1" t="n">
        <v>45360</v>
      </c>
      <c r="D959" t="inlineStr">
        <is>
          <t>ÖREBRO LÄN</t>
        </is>
      </c>
      <c r="E959" t="inlineStr">
        <is>
          <t>LINDESBERG</t>
        </is>
      </c>
      <c r="F959" t="inlineStr">
        <is>
          <t>Kyrkan</t>
        </is>
      </c>
      <c r="G959" t="n">
        <v>1.9</v>
      </c>
      <c r="H959" t="n">
        <v>0</v>
      </c>
      <c r="I959" t="n">
        <v>0</v>
      </c>
      <c r="J959" t="n">
        <v>0</v>
      </c>
      <c r="K959" t="n">
        <v>0</v>
      </c>
      <c r="L959" t="n">
        <v>0</v>
      </c>
      <c r="M959" t="n">
        <v>0</v>
      </c>
      <c r="N959" t="n">
        <v>0</v>
      </c>
      <c r="O959" t="n">
        <v>0</v>
      </c>
      <c r="P959" t="n">
        <v>0</v>
      </c>
      <c r="Q959" t="n">
        <v>0</v>
      </c>
      <c r="R959" s="2" t="inlineStr"/>
    </row>
    <row r="960" ht="15" customHeight="1">
      <c r="A960" t="inlineStr">
        <is>
          <t>A 24092-2019</t>
        </is>
      </c>
      <c r="B960" s="1" t="n">
        <v>43598</v>
      </c>
      <c r="C960" s="1" t="n">
        <v>45360</v>
      </c>
      <c r="D960" t="inlineStr">
        <is>
          <t>ÖREBRO LÄN</t>
        </is>
      </c>
      <c r="E960" t="inlineStr">
        <is>
          <t>ÖREBRO</t>
        </is>
      </c>
      <c r="G960" t="n">
        <v>3.9</v>
      </c>
      <c r="H960" t="n">
        <v>0</v>
      </c>
      <c r="I960" t="n">
        <v>0</v>
      </c>
      <c r="J960" t="n">
        <v>0</v>
      </c>
      <c r="K960" t="n">
        <v>0</v>
      </c>
      <c r="L960" t="n">
        <v>0</v>
      </c>
      <c r="M960" t="n">
        <v>0</v>
      </c>
      <c r="N960" t="n">
        <v>0</v>
      </c>
      <c r="O960" t="n">
        <v>0</v>
      </c>
      <c r="P960" t="n">
        <v>0</v>
      </c>
      <c r="Q960" t="n">
        <v>0</v>
      </c>
      <c r="R960" s="2" t="inlineStr"/>
    </row>
    <row r="961" ht="15" customHeight="1">
      <c r="A961" t="inlineStr">
        <is>
          <t>A 24046-2019</t>
        </is>
      </c>
      <c r="B961" s="1" t="n">
        <v>43598</v>
      </c>
      <c r="C961" s="1" t="n">
        <v>45360</v>
      </c>
      <c r="D961" t="inlineStr">
        <is>
          <t>ÖREBRO LÄN</t>
        </is>
      </c>
      <c r="E961" t="inlineStr">
        <is>
          <t>KUMLA</t>
        </is>
      </c>
      <c r="G961" t="n">
        <v>2.7</v>
      </c>
      <c r="H961" t="n">
        <v>0</v>
      </c>
      <c r="I961" t="n">
        <v>0</v>
      </c>
      <c r="J961" t="n">
        <v>0</v>
      </c>
      <c r="K961" t="n">
        <v>0</v>
      </c>
      <c r="L961" t="n">
        <v>0</v>
      </c>
      <c r="M961" t="n">
        <v>0</v>
      </c>
      <c r="N961" t="n">
        <v>0</v>
      </c>
      <c r="O961" t="n">
        <v>0</v>
      </c>
      <c r="P961" t="n">
        <v>0</v>
      </c>
      <c r="Q961" t="n">
        <v>0</v>
      </c>
      <c r="R961" s="2" t="inlineStr"/>
    </row>
    <row r="962" ht="15" customHeight="1">
      <c r="A962" t="inlineStr">
        <is>
          <t>A 24090-2019</t>
        </is>
      </c>
      <c r="B962" s="1" t="n">
        <v>43598</v>
      </c>
      <c r="C962" s="1" t="n">
        <v>45360</v>
      </c>
      <c r="D962" t="inlineStr">
        <is>
          <t>ÖREBRO LÄN</t>
        </is>
      </c>
      <c r="E962" t="inlineStr">
        <is>
          <t>KARLSKOGA</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24191-2019</t>
        </is>
      </c>
      <c r="B963" s="1" t="n">
        <v>43599</v>
      </c>
      <c r="C963" s="1" t="n">
        <v>45360</v>
      </c>
      <c r="D963" t="inlineStr">
        <is>
          <t>ÖREBRO LÄN</t>
        </is>
      </c>
      <c r="E963" t="inlineStr">
        <is>
          <t>LINDESBERG</t>
        </is>
      </c>
      <c r="G963" t="n">
        <v>5.8</v>
      </c>
      <c r="H963" t="n">
        <v>0</v>
      </c>
      <c r="I963" t="n">
        <v>0</v>
      </c>
      <c r="J963" t="n">
        <v>0</v>
      </c>
      <c r="K963" t="n">
        <v>0</v>
      </c>
      <c r="L963" t="n">
        <v>0</v>
      </c>
      <c r="M963" t="n">
        <v>0</v>
      </c>
      <c r="N963" t="n">
        <v>0</v>
      </c>
      <c r="O963" t="n">
        <v>0</v>
      </c>
      <c r="P963" t="n">
        <v>0</v>
      </c>
      <c r="Q963" t="n">
        <v>0</v>
      </c>
      <c r="R963" s="2" t="inlineStr"/>
    </row>
    <row r="964" ht="15" customHeight="1">
      <c r="A964" t="inlineStr">
        <is>
          <t>A 24382-2019</t>
        </is>
      </c>
      <c r="B964" s="1" t="n">
        <v>43599</v>
      </c>
      <c r="C964" s="1" t="n">
        <v>45360</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24347-2019</t>
        </is>
      </c>
      <c r="B965" s="1" t="n">
        <v>43599</v>
      </c>
      <c r="C965" s="1" t="n">
        <v>45360</v>
      </c>
      <c r="D965" t="inlineStr">
        <is>
          <t>ÖREBRO LÄN</t>
        </is>
      </c>
      <c r="E965" t="inlineStr">
        <is>
          <t>LINDESBERG</t>
        </is>
      </c>
      <c r="G965" t="n">
        <v>2.8</v>
      </c>
      <c r="H965" t="n">
        <v>0</v>
      </c>
      <c r="I965" t="n">
        <v>0</v>
      </c>
      <c r="J965" t="n">
        <v>0</v>
      </c>
      <c r="K965" t="n">
        <v>0</v>
      </c>
      <c r="L965" t="n">
        <v>0</v>
      </c>
      <c r="M965" t="n">
        <v>0</v>
      </c>
      <c r="N965" t="n">
        <v>0</v>
      </c>
      <c r="O965" t="n">
        <v>0</v>
      </c>
      <c r="P965" t="n">
        <v>0</v>
      </c>
      <c r="Q965" t="n">
        <v>0</v>
      </c>
      <c r="R965" s="2" t="inlineStr"/>
    </row>
    <row r="966" ht="15" customHeight="1">
      <c r="A966" t="inlineStr">
        <is>
          <t>A 24477-2019</t>
        </is>
      </c>
      <c r="B966" s="1" t="n">
        <v>43600</v>
      </c>
      <c r="C966" s="1" t="n">
        <v>45360</v>
      </c>
      <c r="D966" t="inlineStr">
        <is>
          <t>ÖREBRO LÄN</t>
        </is>
      </c>
      <c r="E966" t="inlineStr">
        <is>
          <t>HÄLLEFORS</t>
        </is>
      </c>
      <c r="G966" t="n">
        <v>1.7</v>
      </c>
      <c r="H966" t="n">
        <v>0</v>
      </c>
      <c r="I966" t="n">
        <v>0</v>
      </c>
      <c r="J966" t="n">
        <v>0</v>
      </c>
      <c r="K966" t="n">
        <v>0</v>
      </c>
      <c r="L966" t="n">
        <v>0</v>
      </c>
      <c r="M966" t="n">
        <v>0</v>
      </c>
      <c r="N966" t="n">
        <v>0</v>
      </c>
      <c r="O966" t="n">
        <v>0</v>
      </c>
      <c r="P966" t="n">
        <v>0</v>
      </c>
      <c r="Q966" t="n">
        <v>0</v>
      </c>
      <c r="R966" s="2" t="inlineStr"/>
    </row>
    <row r="967" ht="15" customHeight="1">
      <c r="A967" t="inlineStr">
        <is>
          <t>A 24459-2019</t>
        </is>
      </c>
      <c r="B967" s="1" t="n">
        <v>43600</v>
      </c>
      <c r="C967" s="1" t="n">
        <v>45360</v>
      </c>
      <c r="D967" t="inlineStr">
        <is>
          <t>ÖREBRO LÄN</t>
        </is>
      </c>
      <c r="E967" t="inlineStr">
        <is>
          <t>HÄLLEFORS</t>
        </is>
      </c>
      <c r="G967" t="n">
        <v>7.1</v>
      </c>
      <c r="H967" t="n">
        <v>0</v>
      </c>
      <c r="I967" t="n">
        <v>0</v>
      </c>
      <c r="J967" t="n">
        <v>0</v>
      </c>
      <c r="K967" t="n">
        <v>0</v>
      </c>
      <c r="L967" t="n">
        <v>0</v>
      </c>
      <c r="M967" t="n">
        <v>0</v>
      </c>
      <c r="N967" t="n">
        <v>0</v>
      </c>
      <c r="O967" t="n">
        <v>0</v>
      </c>
      <c r="P967" t="n">
        <v>0</v>
      </c>
      <c r="Q967" t="n">
        <v>0</v>
      </c>
      <c r="R967" s="2" t="inlineStr"/>
    </row>
    <row r="968" ht="15" customHeight="1">
      <c r="A968" t="inlineStr">
        <is>
          <t>A 24501-2019</t>
        </is>
      </c>
      <c r="B968" s="1" t="n">
        <v>43600</v>
      </c>
      <c r="C968" s="1" t="n">
        <v>45360</v>
      </c>
      <c r="D968" t="inlineStr">
        <is>
          <t>ÖREBRO LÄN</t>
        </is>
      </c>
      <c r="E968" t="inlineStr">
        <is>
          <t>LEKEBERG</t>
        </is>
      </c>
      <c r="G968" t="n">
        <v>2.5</v>
      </c>
      <c r="H968" t="n">
        <v>0</v>
      </c>
      <c r="I968" t="n">
        <v>0</v>
      </c>
      <c r="J968" t="n">
        <v>0</v>
      </c>
      <c r="K968" t="n">
        <v>0</v>
      </c>
      <c r="L968" t="n">
        <v>0</v>
      </c>
      <c r="M968" t="n">
        <v>0</v>
      </c>
      <c r="N968" t="n">
        <v>0</v>
      </c>
      <c r="O968" t="n">
        <v>0</v>
      </c>
      <c r="P968" t="n">
        <v>0</v>
      </c>
      <c r="Q968" t="n">
        <v>0</v>
      </c>
      <c r="R968" s="2" t="inlineStr"/>
    </row>
    <row r="969" ht="15" customHeight="1">
      <c r="A969" t="inlineStr">
        <is>
          <t>A 24508-2019</t>
        </is>
      </c>
      <c r="B969" s="1" t="n">
        <v>43600</v>
      </c>
      <c r="C969" s="1" t="n">
        <v>45360</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25077-2019</t>
        </is>
      </c>
      <c r="B970" s="1" t="n">
        <v>43601</v>
      </c>
      <c r="C970" s="1" t="n">
        <v>45360</v>
      </c>
      <c r="D970" t="inlineStr">
        <is>
          <t>ÖREBRO LÄN</t>
        </is>
      </c>
      <c r="E970" t="inlineStr">
        <is>
          <t>KARLSKOGA</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24729-2019</t>
        </is>
      </c>
      <c r="B971" s="1" t="n">
        <v>43601</v>
      </c>
      <c r="C971" s="1" t="n">
        <v>45360</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25084-2019</t>
        </is>
      </c>
      <c r="B972" s="1" t="n">
        <v>43601</v>
      </c>
      <c r="C972" s="1" t="n">
        <v>45360</v>
      </c>
      <c r="D972" t="inlineStr">
        <is>
          <t>ÖREBRO LÄN</t>
        </is>
      </c>
      <c r="E972" t="inlineStr">
        <is>
          <t>KARLSKOGA</t>
        </is>
      </c>
      <c r="F972" t="inlineStr">
        <is>
          <t>Övriga Aktiebolag</t>
        </is>
      </c>
      <c r="G972" t="n">
        <v>10.3</v>
      </c>
      <c r="H972" t="n">
        <v>0</v>
      </c>
      <c r="I972" t="n">
        <v>0</v>
      </c>
      <c r="J972" t="n">
        <v>0</v>
      </c>
      <c r="K972" t="n">
        <v>0</v>
      </c>
      <c r="L972" t="n">
        <v>0</v>
      </c>
      <c r="M972" t="n">
        <v>0</v>
      </c>
      <c r="N972" t="n">
        <v>0</v>
      </c>
      <c r="O972" t="n">
        <v>0</v>
      </c>
      <c r="P972" t="n">
        <v>0</v>
      </c>
      <c r="Q972" t="n">
        <v>0</v>
      </c>
      <c r="R972" s="2" t="inlineStr"/>
    </row>
    <row r="973" ht="15" customHeight="1">
      <c r="A973" t="inlineStr">
        <is>
          <t>A 25224-2019</t>
        </is>
      </c>
      <c r="B973" s="1" t="n">
        <v>43601</v>
      </c>
      <c r="C973" s="1" t="n">
        <v>45360</v>
      </c>
      <c r="D973" t="inlineStr">
        <is>
          <t>ÖREBRO LÄN</t>
        </is>
      </c>
      <c r="E973" t="inlineStr">
        <is>
          <t>DEGERFORS</t>
        </is>
      </c>
      <c r="G973" t="n">
        <v>1.1</v>
      </c>
      <c r="H973" t="n">
        <v>0</v>
      </c>
      <c r="I973" t="n">
        <v>0</v>
      </c>
      <c r="J973" t="n">
        <v>0</v>
      </c>
      <c r="K973" t="n">
        <v>0</v>
      </c>
      <c r="L973" t="n">
        <v>0</v>
      </c>
      <c r="M973" t="n">
        <v>0</v>
      </c>
      <c r="N973" t="n">
        <v>0</v>
      </c>
      <c r="O973" t="n">
        <v>0</v>
      </c>
      <c r="P973" t="n">
        <v>0</v>
      </c>
      <c r="Q973" t="n">
        <v>0</v>
      </c>
      <c r="R973" s="2" t="inlineStr"/>
    </row>
    <row r="974" ht="15" customHeight="1">
      <c r="A974" t="inlineStr">
        <is>
          <t>A 24758-2019</t>
        </is>
      </c>
      <c r="B974" s="1" t="n">
        <v>43601</v>
      </c>
      <c r="C974" s="1" t="n">
        <v>45360</v>
      </c>
      <c r="D974" t="inlineStr">
        <is>
          <t>ÖREBRO LÄN</t>
        </is>
      </c>
      <c r="E974" t="inlineStr">
        <is>
          <t>LINDESBERG</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24754-2019</t>
        </is>
      </c>
      <c r="B975" s="1" t="n">
        <v>43601</v>
      </c>
      <c r="C975" s="1" t="n">
        <v>45360</v>
      </c>
      <c r="D975" t="inlineStr">
        <is>
          <t>ÖREBRO LÄN</t>
        </is>
      </c>
      <c r="E975" t="inlineStr">
        <is>
          <t>LINDESBERG</t>
        </is>
      </c>
      <c r="F975" t="inlineStr">
        <is>
          <t>Kommuner</t>
        </is>
      </c>
      <c r="G975" t="n">
        <v>7.8</v>
      </c>
      <c r="H975" t="n">
        <v>0</v>
      </c>
      <c r="I975" t="n">
        <v>0</v>
      </c>
      <c r="J975" t="n">
        <v>0</v>
      </c>
      <c r="K975" t="n">
        <v>0</v>
      </c>
      <c r="L975" t="n">
        <v>0</v>
      </c>
      <c r="M975" t="n">
        <v>0</v>
      </c>
      <c r="N975" t="n">
        <v>0</v>
      </c>
      <c r="O975" t="n">
        <v>0</v>
      </c>
      <c r="P975" t="n">
        <v>0</v>
      </c>
      <c r="Q975" t="n">
        <v>0</v>
      </c>
      <c r="R975" s="2" t="inlineStr"/>
    </row>
    <row r="976" ht="15" customHeight="1">
      <c r="A976" t="inlineStr">
        <is>
          <t>A 25071-2019</t>
        </is>
      </c>
      <c r="B976" s="1" t="n">
        <v>43601</v>
      </c>
      <c r="C976" s="1" t="n">
        <v>45360</v>
      </c>
      <c r="D976" t="inlineStr">
        <is>
          <t>ÖREBRO LÄN</t>
        </is>
      </c>
      <c r="E976" t="inlineStr">
        <is>
          <t>DEGERFORS</t>
        </is>
      </c>
      <c r="G976" t="n">
        <v>6.6</v>
      </c>
      <c r="H976" t="n">
        <v>0</v>
      </c>
      <c r="I976" t="n">
        <v>0</v>
      </c>
      <c r="J976" t="n">
        <v>0</v>
      </c>
      <c r="K976" t="n">
        <v>0</v>
      </c>
      <c r="L976" t="n">
        <v>0</v>
      </c>
      <c r="M976" t="n">
        <v>0</v>
      </c>
      <c r="N976" t="n">
        <v>0</v>
      </c>
      <c r="O976" t="n">
        <v>0</v>
      </c>
      <c r="P976" t="n">
        <v>0</v>
      </c>
      <c r="Q976" t="n">
        <v>0</v>
      </c>
      <c r="R976" s="2" t="inlineStr"/>
    </row>
    <row r="977" ht="15" customHeight="1">
      <c r="A977" t="inlineStr">
        <is>
          <t>A 25120-2019</t>
        </is>
      </c>
      <c r="B977" s="1" t="n">
        <v>43605</v>
      </c>
      <c r="C977" s="1" t="n">
        <v>45360</v>
      </c>
      <c r="D977" t="inlineStr">
        <is>
          <t>ÖREBRO LÄN</t>
        </is>
      </c>
      <c r="E977" t="inlineStr">
        <is>
          <t>LINDESBERG</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25125-2019</t>
        </is>
      </c>
      <c r="B978" s="1" t="n">
        <v>43605</v>
      </c>
      <c r="C978" s="1" t="n">
        <v>45360</v>
      </c>
      <c r="D978" t="inlineStr">
        <is>
          <t>ÖREBRO LÄN</t>
        </is>
      </c>
      <c r="E978" t="inlineStr">
        <is>
          <t>LJUSNARSBERG</t>
        </is>
      </c>
      <c r="G978" t="n">
        <v>4.8</v>
      </c>
      <c r="H978" t="n">
        <v>0</v>
      </c>
      <c r="I978" t="n">
        <v>0</v>
      </c>
      <c r="J978" t="n">
        <v>0</v>
      </c>
      <c r="K978" t="n">
        <v>0</v>
      </c>
      <c r="L978" t="n">
        <v>0</v>
      </c>
      <c r="M978" t="n">
        <v>0</v>
      </c>
      <c r="N978" t="n">
        <v>0</v>
      </c>
      <c r="O978" t="n">
        <v>0</v>
      </c>
      <c r="P978" t="n">
        <v>0</v>
      </c>
      <c r="Q978" t="n">
        <v>0</v>
      </c>
      <c r="R978" s="2" t="inlineStr"/>
    </row>
    <row r="979" ht="15" customHeight="1">
      <c r="A979" t="inlineStr">
        <is>
          <t>A 25128-2019</t>
        </is>
      </c>
      <c r="B979" s="1" t="n">
        <v>43605</v>
      </c>
      <c r="C979" s="1" t="n">
        <v>45360</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25186-2019</t>
        </is>
      </c>
      <c r="B980" s="1" t="n">
        <v>43605</v>
      </c>
      <c r="C980" s="1" t="n">
        <v>45360</v>
      </c>
      <c r="D980" t="inlineStr">
        <is>
          <t>ÖREBRO LÄN</t>
        </is>
      </c>
      <c r="E980" t="inlineStr">
        <is>
          <t>ÖREBRO</t>
        </is>
      </c>
      <c r="G980" t="n">
        <v>2.3</v>
      </c>
      <c r="H980" t="n">
        <v>0</v>
      </c>
      <c r="I980" t="n">
        <v>0</v>
      </c>
      <c r="J980" t="n">
        <v>0</v>
      </c>
      <c r="K980" t="n">
        <v>0</v>
      </c>
      <c r="L980" t="n">
        <v>0</v>
      </c>
      <c r="M980" t="n">
        <v>0</v>
      </c>
      <c r="N980" t="n">
        <v>0</v>
      </c>
      <c r="O980" t="n">
        <v>0</v>
      </c>
      <c r="P980" t="n">
        <v>0</v>
      </c>
      <c r="Q980" t="n">
        <v>0</v>
      </c>
      <c r="R980" s="2" t="inlineStr"/>
      <c r="U980">
        <f>HYPERLINK("https://klasma.github.io/Logging_1880/knärot/A 25186-2019 karta knärot.png", "A 25186-2019")</f>
        <v/>
      </c>
      <c r="V980">
        <f>HYPERLINK("https://klasma.github.io/Logging_1880/klagomål/A 25186-2019 FSC-klagomål.docx", "A 25186-2019")</f>
        <v/>
      </c>
      <c r="W980">
        <f>HYPERLINK("https://klasma.github.io/Logging_1880/klagomålsmail/A 25186-2019 FSC-klagomål mail.docx", "A 25186-2019")</f>
        <v/>
      </c>
      <c r="X980">
        <f>HYPERLINK("https://klasma.github.io/Logging_1880/tillsyn/A 25186-2019 tillsynsbegäran.docx", "A 25186-2019")</f>
        <v/>
      </c>
      <c r="Y980">
        <f>HYPERLINK("https://klasma.github.io/Logging_1880/tillsynsmail/A 25186-2019 tillsynsbegäran mail.docx", "A 25186-2019")</f>
        <v/>
      </c>
    </row>
    <row r="981" ht="15" customHeight="1">
      <c r="A981" t="inlineStr">
        <is>
          <t>A 25175-2019</t>
        </is>
      </c>
      <c r="B981" s="1" t="n">
        <v>43605</v>
      </c>
      <c r="C981" s="1" t="n">
        <v>45360</v>
      </c>
      <c r="D981" t="inlineStr">
        <is>
          <t>ÖREBRO LÄN</t>
        </is>
      </c>
      <c r="E981" t="inlineStr">
        <is>
          <t>LJUSNARSBERG</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25451-2019</t>
        </is>
      </c>
      <c r="B982" s="1" t="n">
        <v>43606</v>
      </c>
      <c r="C982" s="1" t="n">
        <v>45360</v>
      </c>
      <c r="D982" t="inlineStr">
        <is>
          <t>ÖREBRO LÄN</t>
        </is>
      </c>
      <c r="E982" t="inlineStr">
        <is>
          <t>LINDESBERG</t>
        </is>
      </c>
      <c r="G982" t="n">
        <v>2</v>
      </c>
      <c r="H982" t="n">
        <v>0</v>
      </c>
      <c r="I982" t="n">
        <v>0</v>
      </c>
      <c r="J982" t="n">
        <v>0</v>
      </c>
      <c r="K982" t="n">
        <v>0</v>
      </c>
      <c r="L982" t="n">
        <v>0</v>
      </c>
      <c r="M982" t="n">
        <v>0</v>
      </c>
      <c r="N982" t="n">
        <v>0</v>
      </c>
      <c r="O982" t="n">
        <v>0</v>
      </c>
      <c r="P982" t="n">
        <v>0</v>
      </c>
      <c r="Q982" t="n">
        <v>0</v>
      </c>
      <c r="R982" s="2" t="inlineStr"/>
    </row>
    <row r="983" ht="15" customHeight="1">
      <c r="A983" t="inlineStr">
        <is>
          <t>A 26435-2019</t>
        </is>
      </c>
      <c r="B983" s="1" t="n">
        <v>43607</v>
      </c>
      <c r="C983" s="1" t="n">
        <v>45360</v>
      </c>
      <c r="D983" t="inlineStr">
        <is>
          <t>ÖREBRO LÄN</t>
        </is>
      </c>
      <c r="E983" t="inlineStr">
        <is>
          <t>HALLSBERG</t>
        </is>
      </c>
      <c r="G983" t="n">
        <v>2.2</v>
      </c>
      <c r="H983" t="n">
        <v>0</v>
      </c>
      <c r="I983" t="n">
        <v>0</v>
      </c>
      <c r="J983" t="n">
        <v>0</v>
      </c>
      <c r="K983" t="n">
        <v>0</v>
      </c>
      <c r="L983" t="n">
        <v>0</v>
      </c>
      <c r="M983" t="n">
        <v>0</v>
      </c>
      <c r="N983" t="n">
        <v>0</v>
      </c>
      <c r="O983" t="n">
        <v>0</v>
      </c>
      <c r="P983" t="n">
        <v>0</v>
      </c>
      <c r="Q983" t="n">
        <v>0</v>
      </c>
      <c r="R983" s="2" t="inlineStr"/>
    </row>
    <row r="984" ht="15" customHeight="1">
      <c r="A984" t="inlineStr">
        <is>
          <t>A 25825-2019</t>
        </is>
      </c>
      <c r="B984" s="1" t="n">
        <v>43608</v>
      </c>
      <c r="C984" s="1" t="n">
        <v>45360</v>
      </c>
      <c r="D984" t="inlineStr">
        <is>
          <t>ÖREBRO LÄN</t>
        </is>
      </c>
      <c r="E984" t="inlineStr">
        <is>
          <t>ASKERSUND</t>
        </is>
      </c>
      <c r="G984" t="n">
        <v>1</v>
      </c>
      <c r="H984" t="n">
        <v>0</v>
      </c>
      <c r="I984" t="n">
        <v>0</v>
      </c>
      <c r="J984" t="n">
        <v>0</v>
      </c>
      <c r="K984" t="n">
        <v>0</v>
      </c>
      <c r="L984" t="n">
        <v>0</v>
      </c>
      <c r="M984" t="n">
        <v>0</v>
      </c>
      <c r="N984" t="n">
        <v>0</v>
      </c>
      <c r="O984" t="n">
        <v>0</v>
      </c>
      <c r="P984" t="n">
        <v>0</v>
      </c>
      <c r="Q984" t="n">
        <v>0</v>
      </c>
      <c r="R984" s="2" t="inlineStr"/>
    </row>
    <row r="985" ht="15" customHeight="1">
      <c r="A985" t="inlineStr">
        <is>
          <t>A 25755-2019</t>
        </is>
      </c>
      <c r="B985" s="1" t="n">
        <v>43608</v>
      </c>
      <c r="C985" s="1" t="n">
        <v>45360</v>
      </c>
      <c r="D985" t="inlineStr">
        <is>
          <t>ÖREBRO LÄN</t>
        </is>
      </c>
      <c r="E985" t="inlineStr">
        <is>
          <t>LINDESBERG</t>
        </is>
      </c>
      <c r="F985" t="inlineStr">
        <is>
          <t>Sveaskog</t>
        </is>
      </c>
      <c r="G985" t="n">
        <v>0.3</v>
      </c>
      <c r="H985" t="n">
        <v>0</v>
      </c>
      <c r="I985" t="n">
        <v>0</v>
      </c>
      <c r="J985" t="n">
        <v>0</v>
      </c>
      <c r="K985" t="n">
        <v>0</v>
      </c>
      <c r="L985" t="n">
        <v>0</v>
      </c>
      <c r="M985" t="n">
        <v>0</v>
      </c>
      <c r="N985" t="n">
        <v>0</v>
      </c>
      <c r="O985" t="n">
        <v>0</v>
      </c>
      <c r="P985" t="n">
        <v>0</v>
      </c>
      <c r="Q985" t="n">
        <v>0</v>
      </c>
      <c r="R985" s="2" t="inlineStr"/>
    </row>
    <row r="986" ht="15" customHeight="1">
      <c r="A986" t="inlineStr">
        <is>
          <t>A 26226-2019</t>
        </is>
      </c>
      <c r="B986" s="1" t="n">
        <v>43609</v>
      </c>
      <c r="C986" s="1" t="n">
        <v>45360</v>
      </c>
      <c r="D986" t="inlineStr">
        <is>
          <t>ÖREBRO LÄN</t>
        </is>
      </c>
      <c r="E986" t="inlineStr">
        <is>
          <t>NORA</t>
        </is>
      </c>
      <c r="G986" t="n">
        <v>3.7</v>
      </c>
      <c r="H986" t="n">
        <v>0</v>
      </c>
      <c r="I986" t="n">
        <v>0</v>
      </c>
      <c r="J986" t="n">
        <v>0</v>
      </c>
      <c r="K986" t="n">
        <v>0</v>
      </c>
      <c r="L986" t="n">
        <v>0</v>
      </c>
      <c r="M986" t="n">
        <v>0</v>
      </c>
      <c r="N986" t="n">
        <v>0</v>
      </c>
      <c r="O986" t="n">
        <v>0</v>
      </c>
      <c r="P986" t="n">
        <v>0</v>
      </c>
      <c r="Q986" t="n">
        <v>0</v>
      </c>
      <c r="R986" s="2" t="inlineStr"/>
    </row>
    <row r="987" ht="15" customHeight="1">
      <c r="A987" t="inlineStr">
        <is>
          <t>A 26293-2019</t>
        </is>
      </c>
      <c r="B987" s="1" t="n">
        <v>43611</v>
      </c>
      <c r="C987" s="1" t="n">
        <v>45360</v>
      </c>
      <c r="D987" t="inlineStr">
        <is>
          <t>ÖREBRO LÄN</t>
        </is>
      </c>
      <c r="E987" t="inlineStr">
        <is>
          <t>DEGERFORS</t>
        </is>
      </c>
      <c r="G987" t="n">
        <v>1.3</v>
      </c>
      <c r="H987" t="n">
        <v>0</v>
      </c>
      <c r="I987" t="n">
        <v>0</v>
      </c>
      <c r="J987" t="n">
        <v>0</v>
      </c>
      <c r="K987" t="n">
        <v>0</v>
      </c>
      <c r="L987" t="n">
        <v>0</v>
      </c>
      <c r="M987" t="n">
        <v>0</v>
      </c>
      <c r="N987" t="n">
        <v>0</v>
      </c>
      <c r="O987" t="n">
        <v>0</v>
      </c>
      <c r="P987" t="n">
        <v>0</v>
      </c>
      <c r="Q987" t="n">
        <v>0</v>
      </c>
      <c r="R987" s="2" t="inlineStr"/>
    </row>
    <row r="988" ht="15" customHeight="1">
      <c r="A988" t="inlineStr">
        <is>
          <t>A 26306-2019</t>
        </is>
      </c>
      <c r="B988" s="1" t="n">
        <v>43612</v>
      </c>
      <c r="C988" s="1" t="n">
        <v>45360</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26406-2019</t>
        </is>
      </c>
      <c r="B989" s="1" t="n">
        <v>43612</v>
      </c>
      <c r="C989" s="1" t="n">
        <v>45360</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26456-2019</t>
        </is>
      </c>
      <c r="B990" s="1" t="n">
        <v>43612</v>
      </c>
      <c r="C990" s="1" t="n">
        <v>45360</v>
      </c>
      <c r="D990" t="inlineStr">
        <is>
          <t>ÖREBRO LÄN</t>
        </is>
      </c>
      <c r="E990" t="inlineStr">
        <is>
          <t>LINDESBERG</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26802-2019</t>
        </is>
      </c>
      <c r="B991" s="1" t="n">
        <v>43613</v>
      </c>
      <c r="C991" s="1" t="n">
        <v>45360</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26838-2019</t>
        </is>
      </c>
      <c r="B992" s="1" t="n">
        <v>43613</v>
      </c>
      <c r="C992" s="1" t="n">
        <v>45360</v>
      </c>
      <c r="D992" t="inlineStr">
        <is>
          <t>ÖREBRO LÄN</t>
        </is>
      </c>
      <c r="E992" t="inlineStr">
        <is>
          <t>LEKEBERG</t>
        </is>
      </c>
      <c r="G992" t="n">
        <v>3.5</v>
      </c>
      <c r="H992" t="n">
        <v>0</v>
      </c>
      <c r="I992" t="n">
        <v>0</v>
      </c>
      <c r="J992" t="n">
        <v>0</v>
      </c>
      <c r="K992" t="n">
        <v>0</v>
      </c>
      <c r="L992" t="n">
        <v>0</v>
      </c>
      <c r="M992" t="n">
        <v>0</v>
      </c>
      <c r="N992" t="n">
        <v>0</v>
      </c>
      <c r="O992" t="n">
        <v>0</v>
      </c>
      <c r="P992" t="n">
        <v>0</v>
      </c>
      <c r="Q992" t="n">
        <v>0</v>
      </c>
      <c r="R992" s="2" t="inlineStr"/>
    </row>
    <row r="993" ht="15" customHeight="1">
      <c r="A993" t="inlineStr">
        <is>
          <t>A 28069-2019</t>
        </is>
      </c>
      <c r="B993" s="1" t="n">
        <v>43613</v>
      </c>
      <c r="C993" s="1" t="n">
        <v>45360</v>
      </c>
      <c r="D993" t="inlineStr">
        <is>
          <t>ÖREBRO LÄN</t>
        </is>
      </c>
      <c r="E993" t="inlineStr">
        <is>
          <t>DEGERFORS</t>
        </is>
      </c>
      <c r="G993" t="n">
        <v>6.1</v>
      </c>
      <c r="H993" t="n">
        <v>0</v>
      </c>
      <c r="I993" t="n">
        <v>0</v>
      </c>
      <c r="J993" t="n">
        <v>0</v>
      </c>
      <c r="K993" t="n">
        <v>0</v>
      </c>
      <c r="L993" t="n">
        <v>0</v>
      </c>
      <c r="M993" t="n">
        <v>0</v>
      </c>
      <c r="N993" t="n">
        <v>0</v>
      </c>
      <c r="O993" t="n">
        <v>0</v>
      </c>
      <c r="P993" t="n">
        <v>0</v>
      </c>
      <c r="Q993" t="n">
        <v>0</v>
      </c>
      <c r="R993" s="2" t="inlineStr"/>
    </row>
    <row r="994" ht="15" customHeight="1">
      <c r="A994" t="inlineStr">
        <is>
          <t>A 28641-2019</t>
        </is>
      </c>
      <c r="B994" s="1" t="n">
        <v>43614</v>
      </c>
      <c r="C994" s="1" t="n">
        <v>45360</v>
      </c>
      <c r="D994" t="inlineStr">
        <is>
          <t>ÖREBRO LÄN</t>
        </is>
      </c>
      <c r="E994" t="inlineStr">
        <is>
          <t>LEKEBERG</t>
        </is>
      </c>
      <c r="G994" t="n">
        <v>1.9</v>
      </c>
      <c r="H994" t="n">
        <v>0</v>
      </c>
      <c r="I994" t="n">
        <v>0</v>
      </c>
      <c r="J994" t="n">
        <v>0</v>
      </c>
      <c r="K994" t="n">
        <v>0</v>
      </c>
      <c r="L994" t="n">
        <v>0</v>
      </c>
      <c r="M994" t="n">
        <v>0</v>
      </c>
      <c r="N994" t="n">
        <v>0</v>
      </c>
      <c r="O994" t="n">
        <v>0</v>
      </c>
      <c r="P994" t="n">
        <v>0</v>
      </c>
      <c r="Q994" t="n">
        <v>0</v>
      </c>
      <c r="R994" s="2" t="inlineStr"/>
    </row>
    <row r="995" ht="15" customHeight="1">
      <c r="A995" t="inlineStr">
        <is>
          <t>A 28636-2019</t>
        </is>
      </c>
      <c r="B995" s="1" t="n">
        <v>43614</v>
      </c>
      <c r="C995" s="1" t="n">
        <v>45360</v>
      </c>
      <c r="D995" t="inlineStr">
        <is>
          <t>ÖREBRO LÄN</t>
        </is>
      </c>
      <c r="E995" t="inlineStr">
        <is>
          <t>DEGERFORS</t>
        </is>
      </c>
      <c r="G995" t="n">
        <v>5</v>
      </c>
      <c r="H995" t="n">
        <v>0</v>
      </c>
      <c r="I995" t="n">
        <v>0</v>
      </c>
      <c r="J995" t="n">
        <v>0</v>
      </c>
      <c r="K995" t="n">
        <v>0</v>
      </c>
      <c r="L995" t="n">
        <v>0</v>
      </c>
      <c r="M995" t="n">
        <v>0</v>
      </c>
      <c r="N995" t="n">
        <v>0</v>
      </c>
      <c r="O995" t="n">
        <v>0</v>
      </c>
      <c r="P995" t="n">
        <v>0</v>
      </c>
      <c r="Q995" t="n">
        <v>0</v>
      </c>
      <c r="R995" s="2" t="inlineStr"/>
    </row>
    <row r="996" ht="15" customHeight="1">
      <c r="A996" t="inlineStr">
        <is>
          <t>A 28905-2019</t>
        </is>
      </c>
      <c r="B996" s="1" t="n">
        <v>43616</v>
      </c>
      <c r="C996" s="1" t="n">
        <v>45360</v>
      </c>
      <c r="D996" t="inlineStr">
        <is>
          <t>ÖREBRO LÄN</t>
        </is>
      </c>
      <c r="E996" t="inlineStr">
        <is>
          <t>LINDESBERG</t>
        </is>
      </c>
      <c r="G996" t="n">
        <v>5.1</v>
      </c>
      <c r="H996" t="n">
        <v>0</v>
      </c>
      <c r="I996" t="n">
        <v>0</v>
      </c>
      <c r="J996" t="n">
        <v>0</v>
      </c>
      <c r="K996" t="n">
        <v>0</v>
      </c>
      <c r="L996" t="n">
        <v>0</v>
      </c>
      <c r="M996" t="n">
        <v>0</v>
      </c>
      <c r="N996" t="n">
        <v>0</v>
      </c>
      <c r="O996" t="n">
        <v>0</v>
      </c>
      <c r="P996" t="n">
        <v>0</v>
      </c>
      <c r="Q996" t="n">
        <v>0</v>
      </c>
      <c r="R996" s="2" t="inlineStr"/>
    </row>
    <row r="997" ht="15" customHeight="1">
      <c r="A997" t="inlineStr">
        <is>
          <t>A 27632-2019</t>
        </is>
      </c>
      <c r="B997" s="1" t="n">
        <v>43619</v>
      </c>
      <c r="C997" s="1" t="n">
        <v>45360</v>
      </c>
      <c r="D997" t="inlineStr">
        <is>
          <t>ÖREBRO LÄN</t>
        </is>
      </c>
      <c r="E997" t="inlineStr">
        <is>
          <t>LINDESBERG</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28925-2019</t>
        </is>
      </c>
      <c r="B998" s="1" t="n">
        <v>43619</v>
      </c>
      <c r="C998" s="1" t="n">
        <v>45360</v>
      </c>
      <c r="D998" t="inlineStr">
        <is>
          <t>ÖREBRO LÄN</t>
        </is>
      </c>
      <c r="E998" t="inlineStr">
        <is>
          <t>ÖREBRO</t>
        </is>
      </c>
      <c r="F998" t="inlineStr">
        <is>
          <t>Övriga Aktiebolag</t>
        </is>
      </c>
      <c r="G998" t="n">
        <v>17.9</v>
      </c>
      <c r="H998" t="n">
        <v>0</v>
      </c>
      <c r="I998" t="n">
        <v>0</v>
      </c>
      <c r="J998" t="n">
        <v>0</v>
      </c>
      <c r="K998" t="n">
        <v>0</v>
      </c>
      <c r="L998" t="n">
        <v>0</v>
      </c>
      <c r="M998" t="n">
        <v>0</v>
      </c>
      <c r="N998" t="n">
        <v>0</v>
      </c>
      <c r="O998" t="n">
        <v>0</v>
      </c>
      <c r="P998" t="n">
        <v>0</v>
      </c>
      <c r="Q998" t="n">
        <v>0</v>
      </c>
      <c r="R998" s="2" t="inlineStr"/>
    </row>
    <row r="999" ht="15" customHeight="1">
      <c r="A999" t="inlineStr">
        <is>
          <t>A 29240-2019</t>
        </is>
      </c>
      <c r="B999" s="1" t="n">
        <v>43623</v>
      </c>
      <c r="C999" s="1" t="n">
        <v>45360</v>
      </c>
      <c r="D999" t="inlineStr">
        <is>
          <t>ÖREBRO LÄN</t>
        </is>
      </c>
      <c r="E999" t="inlineStr">
        <is>
          <t>DEGERFORS</t>
        </is>
      </c>
      <c r="G999" t="n">
        <v>23.2</v>
      </c>
      <c r="H999" t="n">
        <v>0</v>
      </c>
      <c r="I999" t="n">
        <v>0</v>
      </c>
      <c r="J999" t="n">
        <v>0</v>
      </c>
      <c r="K999" t="n">
        <v>0</v>
      </c>
      <c r="L999" t="n">
        <v>0</v>
      </c>
      <c r="M999" t="n">
        <v>0</v>
      </c>
      <c r="N999" t="n">
        <v>0</v>
      </c>
      <c r="O999" t="n">
        <v>0</v>
      </c>
      <c r="P999" t="n">
        <v>0</v>
      </c>
      <c r="Q999" t="n">
        <v>0</v>
      </c>
      <c r="R999" s="2" t="inlineStr"/>
    </row>
    <row r="1000" ht="15" customHeight="1">
      <c r="A1000" t="inlineStr">
        <is>
          <t>A 29242-2019</t>
        </is>
      </c>
      <c r="B1000" s="1" t="n">
        <v>43623</v>
      </c>
      <c r="C1000" s="1" t="n">
        <v>45360</v>
      </c>
      <c r="D1000" t="inlineStr">
        <is>
          <t>ÖREBRO LÄN</t>
        </is>
      </c>
      <c r="E1000" t="inlineStr">
        <is>
          <t>DEGERFORS</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29239-2019</t>
        </is>
      </c>
      <c r="B1001" s="1" t="n">
        <v>43623</v>
      </c>
      <c r="C1001" s="1" t="n">
        <v>45360</v>
      </c>
      <c r="D1001" t="inlineStr">
        <is>
          <t>ÖREBRO LÄN</t>
        </is>
      </c>
      <c r="E1001" t="inlineStr">
        <is>
          <t>DEGERFORS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28442-2019</t>
        </is>
      </c>
      <c r="B1002" s="1" t="n">
        <v>43626</v>
      </c>
      <c r="C1002" s="1" t="n">
        <v>45360</v>
      </c>
      <c r="D1002" t="inlineStr">
        <is>
          <t>ÖREBRO LÄN</t>
        </is>
      </c>
      <c r="E1002" t="inlineStr">
        <is>
          <t>LINDESBERG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28660-2019</t>
        </is>
      </c>
      <c r="B1003" s="1" t="n">
        <v>43627</v>
      </c>
      <c r="C1003" s="1" t="n">
        <v>45360</v>
      </c>
      <c r="D1003" t="inlineStr">
        <is>
          <t>ÖREBRO LÄN</t>
        </is>
      </c>
      <c r="E1003" t="inlineStr">
        <is>
          <t>ÖREBRO</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29110-2019</t>
        </is>
      </c>
      <c r="B1004" s="1" t="n">
        <v>43628</v>
      </c>
      <c r="C1004" s="1" t="n">
        <v>45360</v>
      </c>
      <c r="D1004" t="inlineStr">
        <is>
          <t>ÖREBRO LÄN</t>
        </is>
      </c>
      <c r="E1004" t="inlineStr">
        <is>
          <t>LINDESBERG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29307-2019</t>
        </is>
      </c>
      <c r="B1005" s="1" t="n">
        <v>43629</v>
      </c>
      <c r="C1005" s="1" t="n">
        <v>45360</v>
      </c>
      <c r="D1005" t="inlineStr">
        <is>
          <t>ÖREBRO LÄN</t>
        </is>
      </c>
      <c r="E1005" t="inlineStr">
        <is>
          <t>LINDESBERG</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29442-2019</t>
        </is>
      </c>
      <c r="B1006" s="1" t="n">
        <v>43629</v>
      </c>
      <c r="C1006" s="1" t="n">
        <v>45360</v>
      </c>
      <c r="D1006" t="inlineStr">
        <is>
          <t>ÖREBRO LÄN</t>
        </is>
      </c>
      <c r="E1006" t="inlineStr">
        <is>
          <t>LINDESBERG</t>
        </is>
      </c>
      <c r="F1006" t="inlineStr">
        <is>
          <t>Naturvårdsverket</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29853-2019</t>
        </is>
      </c>
      <c r="B1007" s="1" t="n">
        <v>43629</v>
      </c>
      <c r="C1007" s="1" t="n">
        <v>45360</v>
      </c>
      <c r="D1007" t="inlineStr">
        <is>
          <t>ÖREBRO LÄN</t>
        </is>
      </c>
      <c r="E1007" t="inlineStr">
        <is>
          <t>LEKEBERG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29557-2019</t>
        </is>
      </c>
      <c r="B1008" s="1" t="n">
        <v>43630</v>
      </c>
      <c r="C1008" s="1" t="n">
        <v>45360</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29976-2019</t>
        </is>
      </c>
      <c r="B1009" s="1" t="n">
        <v>43633</v>
      </c>
      <c r="C1009" s="1" t="n">
        <v>45360</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30282-2019</t>
        </is>
      </c>
      <c r="B1010" s="1" t="n">
        <v>43633</v>
      </c>
      <c r="C1010" s="1" t="n">
        <v>45360</v>
      </c>
      <c r="D1010" t="inlineStr">
        <is>
          <t>ÖREBRO LÄN</t>
        </is>
      </c>
      <c r="E1010" t="inlineStr">
        <is>
          <t>LEKEBERG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29980-2019</t>
        </is>
      </c>
      <c r="B1011" s="1" t="n">
        <v>43633</v>
      </c>
      <c r="C1011" s="1" t="n">
        <v>45360</v>
      </c>
      <c r="D1011" t="inlineStr">
        <is>
          <t>ÖREBRO LÄN</t>
        </is>
      </c>
      <c r="E1011" t="inlineStr">
        <is>
          <t>LJUSNARSBERG</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30299-2019</t>
        </is>
      </c>
      <c r="B1012" s="1" t="n">
        <v>43633</v>
      </c>
      <c r="C1012" s="1" t="n">
        <v>45360</v>
      </c>
      <c r="D1012" t="inlineStr">
        <is>
          <t>ÖREBRO LÄN</t>
        </is>
      </c>
      <c r="E1012" t="inlineStr">
        <is>
          <t>LEKEBERG</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29983-2019</t>
        </is>
      </c>
      <c r="B1013" s="1" t="n">
        <v>43633</v>
      </c>
      <c r="C1013" s="1" t="n">
        <v>45360</v>
      </c>
      <c r="D1013" t="inlineStr">
        <is>
          <t>ÖREBRO LÄN</t>
        </is>
      </c>
      <c r="E1013" t="inlineStr">
        <is>
          <t>LJUSNARSBERG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32073-2019</t>
        </is>
      </c>
      <c r="B1014" s="1" t="n">
        <v>43633</v>
      </c>
      <c r="C1014" s="1" t="n">
        <v>45360</v>
      </c>
      <c r="D1014" t="inlineStr">
        <is>
          <t>ÖREBRO LÄN</t>
        </is>
      </c>
      <c r="E1014" t="inlineStr">
        <is>
          <t>LEKEBERG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29948-2019</t>
        </is>
      </c>
      <c r="B1015" s="1" t="n">
        <v>43633</v>
      </c>
      <c r="C1015" s="1" t="n">
        <v>45360</v>
      </c>
      <c r="D1015" t="inlineStr">
        <is>
          <t>ÖREBRO LÄN</t>
        </is>
      </c>
      <c r="E1015" t="inlineStr">
        <is>
          <t>LINDESBERG</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30104-2019</t>
        </is>
      </c>
      <c r="B1016" s="1" t="n">
        <v>43634</v>
      </c>
      <c r="C1016" s="1" t="n">
        <v>45360</v>
      </c>
      <c r="D1016" t="inlineStr">
        <is>
          <t>ÖREBRO LÄN</t>
        </is>
      </c>
      <c r="E1016" t="inlineStr">
        <is>
          <t>LINDESBERG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30147-2019</t>
        </is>
      </c>
      <c r="B1017" s="1" t="n">
        <v>43634</v>
      </c>
      <c r="C1017" s="1" t="n">
        <v>45360</v>
      </c>
      <c r="D1017" t="inlineStr">
        <is>
          <t>ÖREBRO LÄN</t>
        </is>
      </c>
      <c r="E1017" t="inlineStr">
        <is>
          <t>NORA</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30236-2019</t>
        </is>
      </c>
      <c r="B1018" s="1" t="n">
        <v>43634</v>
      </c>
      <c r="C1018" s="1" t="n">
        <v>45360</v>
      </c>
      <c r="D1018" t="inlineStr">
        <is>
          <t>ÖREBRO LÄN</t>
        </is>
      </c>
      <c r="E1018" t="inlineStr">
        <is>
          <t>HALLSBERG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30347-2019</t>
        </is>
      </c>
      <c r="B1019" s="1" t="n">
        <v>43634</v>
      </c>
      <c r="C1019" s="1" t="n">
        <v>45360</v>
      </c>
      <c r="D1019" t="inlineStr">
        <is>
          <t>ÖREBRO LÄN</t>
        </is>
      </c>
      <c r="E1019" t="inlineStr">
        <is>
          <t>HALLSBERG</t>
        </is>
      </c>
      <c r="F1019" t="inlineStr">
        <is>
          <t>Övriga Aktiebolag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30172-2019</t>
        </is>
      </c>
      <c r="B1020" s="1" t="n">
        <v>43634</v>
      </c>
      <c r="C1020" s="1" t="n">
        <v>45360</v>
      </c>
      <c r="D1020" t="inlineStr">
        <is>
          <t>ÖREBRO LÄN</t>
        </is>
      </c>
      <c r="E1020" t="inlineStr">
        <is>
          <t>LINDESBERG</t>
        </is>
      </c>
      <c r="F1020" t="inlineStr">
        <is>
          <t>Naturvårdsverket</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30525-2019</t>
        </is>
      </c>
      <c r="B1021" s="1" t="n">
        <v>43635</v>
      </c>
      <c r="C1021" s="1" t="n">
        <v>45360</v>
      </c>
      <c r="D1021" t="inlineStr">
        <is>
          <t>ÖREBRO LÄN</t>
        </is>
      </c>
      <c r="E1021" t="inlineStr">
        <is>
          <t>LINDESBERG</t>
        </is>
      </c>
      <c r="F1021" t="inlineStr">
        <is>
          <t>Naturvårdsverket</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30709-2019</t>
        </is>
      </c>
      <c r="B1022" s="1" t="n">
        <v>43636</v>
      </c>
      <c r="C1022" s="1" t="n">
        <v>45360</v>
      </c>
      <c r="D1022" t="inlineStr">
        <is>
          <t>ÖREBRO LÄN</t>
        </is>
      </c>
      <c r="E1022" t="inlineStr">
        <is>
          <t>LINDESBERG</t>
        </is>
      </c>
      <c r="F1022" t="inlineStr">
        <is>
          <t>Naturvårdsverket</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30719-2019</t>
        </is>
      </c>
      <c r="B1023" s="1" t="n">
        <v>43636</v>
      </c>
      <c r="C1023" s="1" t="n">
        <v>45360</v>
      </c>
      <c r="D1023" t="inlineStr">
        <is>
          <t>ÖREBRO LÄN</t>
        </is>
      </c>
      <c r="E1023" t="inlineStr">
        <is>
          <t>HÄLLEFORS</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31028-2019</t>
        </is>
      </c>
      <c r="B1024" s="1" t="n">
        <v>43640</v>
      </c>
      <c r="C1024" s="1" t="n">
        <v>45360</v>
      </c>
      <c r="D1024" t="inlineStr">
        <is>
          <t>ÖREBRO LÄN</t>
        </is>
      </c>
      <c r="E1024" t="inlineStr">
        <is>
          <t>LEKEBERG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31300-2019</t>
        </is>
      </c>
      <c r="B1025" s="1" t="n">
        <v>43641</v>
      </c>
      <c r="C1025" s="1" t="n">
        <v>45360</v>
      </c>
      <c r="D1025" t="inlineStr">
        <is>
          <t>ÖREBRO LÄN</t>
        </is>
      </c>
      <c r="E1025" t="inlineStr">
        <is>
          <t>ÖREBRO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31708-2019</t>
        </is>
      </c>
      <c r="B1026" s="1" t="n">
        <v>43642</v>
      </c>
      <c r="C1026" s="1" t="n">
        <v>45360</v>
      </c>
      <c r="D1026" t="inlineStr">
        <is>
          <t>ÖREBRO LÄN</t>
        </is>
      </c>
      <c r="E1026" t="inlineStr">
        <is>
          <t>LAXÅ</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31766-2019</t>
        </is>
      </c>
      <c r="B1027" s="1" t="n">
        <v>43642</v>
      </c>
      <c r="C1027" s="1" t="n">
        <v>45360</v>
      </c>
      <c r="D1027" t="inlineStr">
        <is>
          <t>ÖREBRO LÄN</t>
        </is>
      </c>
      <c r="E1027" t="inlineStr">
        <is>
          <t>LINDESBERG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31982-2019</t>
        </is>
      </c>
      <c r="B1028" s="1" t="n">
        <v>43642</v>
      </c>
      <c r="C1028" s="1" t="n">
        <v>45360</v>
      </c>
      <c r="D1028" t="inlineStr">
        <is>
          <t>ÖREBRO LÄN</t>
        </is>
      </c>
      <c r="E1028" t="inlineStr">
        <is>
          <t>ÖREBRO</t>
        </is>
      </c>
      <c r="F1028" t="inlineStr">
        <is>
          <t>Kommuner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31891-2019</t>
        </is>
      </c>
      <c r="B1029" s="1" t="n">
        <v>43642</v>
      </c>
      <c r="C1029" s="1" t="n">
        <v>45360</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31913-2019</t>
        </is>
      </c>
      <c r="B1030" s="1" t="n">
        <v>43643</v>
      </c>
      <c r="C1030" s="1" t="n">
        <v>45360</v>
      </c>
      <c r="D1030" t="inlineStr">
        <is>
          <t>ÖREBRO LÄN</t>
        </is>
      </c>
      <c r="E1030" t="inlineStr">
        <is>
          <t>LINDESBERG</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32175-2019</t>
        </is>
      </c>
      <c r="B1031" s="1" t="n">
        <v>43643</v>
      </c>
      <c r="C1031" s="1" t="n">
        <v>45360</v>
      </c>
      <c r="D1031" t="inlineStr">
        <is>
          <t>ÖREBRO LÄN</t>
        </is>
      </c>
      <c r="E1031" t="inlineStr">
        <is>
          <t>LINDESBERG</t>
        </is>
      </c>
      <c r="F1031" t="inlineStr">
        <is>
          <t>Kyrkan</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32069-2019</t>
        </is>
      </c>
      <c r="B1032" s="1" t="n">
        <v>43643</v>
      </c>
      <c r="C1032" s="1" t="n">
        <v>45360</v>
      </c>
      <c r="D1032" t="inlineStr">
        <is>
          <t>ÖREBRO LÄN</t>
        </is>
      </c>
      <c r="E1032" t="inlineStr">
        <is>
          <t>LINDESBERG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32093-2019</t>
        </is>
      </c>
      <c r="B1033" s="1" t="n">
        <v>43643</v>
      </c>
      <c r="C1033" s="1" t="n">
        <v>45360</v>
      </c>
      <c r="D1033" t="inlineStr">
        <is>
          <t>ÖREBRO LÄN</t>
        </is>
      </c>
      <c r="E1033" t="inlineStr">
        <is>
          <t>LINDESBERG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32012-2019</t>
        </is>
      </c>
      <c r="B1034" s="1" t="n">
        <v>43643</v>
      </c>
      <c r="C1034" s="1" t="n">
        <v>45360</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32325-2019</t>
        </is>
      </c>
      <c r="B1035" s="1" t="n">
        <v>43644</v>
      </c>
      <c r="C1035" s="1" t="n">
        <v>45360</v>
      </c>
      <c r="D1035" t="inlineStr">
        <is>
          <t>ÖREBRO LÄN</t>
        </is>
      </c>
      <c r="E1035" t="inlineStr">
        <is>
          <t>LINDESBERG</t>
        </is>
      </c>
      <c r="F1035" t="inlineStr">
        <is>
          <t>Sveaskog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32320-2019</t>
        </is>
      </c>
      <c r="B1036" s="1" t="n">
        <v>43644</v>
      </c>
      <c r="C1036" s="1" t="n">
        <v>45360</v>
      </c>
      <c r="D1036" t="inlineStr">
        <is>
          <t>ÖREBRO LÄN</t>
        </is>
      </c>
      <c r="E1036" t="inlineStr">
        <is>
          <t>LJUSNARSBERG</t>
        </is>
      </c>
      <c r="F1036" t="inlineStr">
        <is>
          <t>Kyrkan</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32327-2019</t>
        </is>
      </c>
      <c r="B1037" s="1" t="n">
        <v>43644</v>
      </c>
      <c r="C1037" s="1" t="n">
        <v>45360</v>
      </c>
      <c r="D1037" t="inlineStr">
        <is>
          <t>ÖREBRO LÄN</t>
        </is>
      </c>
      <c r="E1037" t="inlineStr">
        <is>
          <t>LINDESBERG</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32410-2019</t>
        </is>
      </c>
      <c r="B1038" s="1" t="n">
        <v>43644</v>
      </c>
      <c r="C1038" s="1" t="n">
        <v>45360</v>
      </c>
      <c r="D1038" t="inlineStr">
        <is>
          <t>ÖREBRO LÄN</t>
        </is>
      </c>
      <c r="E1038" t="inlineStr">
        <is>
          <t>ÖREBRO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32330-2019</t>
        </is>
      </c>
      <c r="B1039" s="1" t="n">
        <v>43644</v>
      </c>
      <c r="C1039" s="1" t="n">
        <v>45360</v>
      </c>
      <c r="D1039" t="inlineStr">
        <is>
          <t>ÖREBRO LÄN</t>
        </is>
      </c>
      <c r="E1039" t="inlineStr">
        <is>
          <t>LINDESBERG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34518-2019</t>
        </is>
      </c>
      <c r="B1040" s="1" t="n">
        <v>43647</v>
      </c>
      <c r="C1040" s="1" t="n">
        <v>45360</v>
      </c>
      <c r="D1040" t="inlineStr">
        <is>
          <t>ÖREBRO LÄN</t>
        </is>
      </c>
      <c r="E1040" t="inlineStr">
        <is>
          <t>KARLSKOGA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34508-2019</t>
        </is>
      </c>
      <c r="B1041" s="1" t="n">
        <v>43647</v>
      </c>
      <c r="C1041" s="1" t="n">
        <v>45360</v>
      </c>
      <c r="D1041" t="inlineStr">
        <is>
          <t>ÖREBRO LÄN</t>
        </is>
      </c>
      <c r="E1041" t="inlineStr">
        <is>
          <t>DEGERFORS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34524-2019</t>
        </is>
      </c>
      <c r="B1042" s="1" t="n">
        <v>43647</v>
      </c>
      <c r="C1042" s="1" t="n">
        <v>45360</v>
      </c>
      <c r="D1042" t="inlineStr">
        <is>
          <t>ÖREBRO LÄN</t>
        </is>
      </c>
      <c r="E1042" t="inlineStr">
        <is>
          <t>KARLSKOGA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32701-2019</t>
        </is>
      </c>
      <c r="B1043" s="1" t="n">
        <v>43647</v>
      </c>
      <c r="C1043" s="1" t="n">
        <v>45360</v>
      </c>
      <c r="D1043" t="inlineStr">
        <is>
          <t>ÖREBRO LÄN</t>
        </is>
      </c>
      <c r="E1043" t="inlineStr">
        <is>
          <t>ÖREBRO</t>
        </is>
      </c>
      <c r="F1043" t="inlineStr">
        <is>
          <t>Övriga Aktiebolag</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34578-2019</t>
        </is>
      </c>
      <c r="B1044" s="1" t="n">
        <v>43647</v>
      </c>
      <c r="C1044" s="1" t="n">
        <v>45360</v>
      </c>
      <c r="D1044" t="inlineStr">
        <is>
          <t>ÖREBRO LÄN</t>
        </is>
      </c>
      <c r="E1044" t="inlineStr">
        <is>
          <t>KUMLA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32861-2019</t>
        </is>
      </c>
      <c r="B1045" s="1" t="n">
        <v>43648</v>
      </c>
      <c r="C1045" s="1" t="n">
        <v>45360</v>
      </c>
      <c r="D1045" t="inlineStr">
        <is>
          <t>ÖREBRO LÄN</t>
        </is>
      </c>
      <c r="E1045" t="inlineStr">
        <is>
          <t>ÖREBRO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33102-2019</t>
        </is>
      </c>
      <c r="B1046" s="1" t="n">
        <v>43649</v>
      </c>
      <c r="C1046" s="1" t="n">
        <v>45360</v>
      </c>
      <c r="D1046" t="inlineStr">
        <is>
          <t>ÖREBRO LÄN</t>
        </is>
      </c>
      <c r="E1046" t="inlineStr">
        <is>
          <t>HÄLLEFORS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34787-2019</t>
        </is>
      </c>
      <c r="B1047" s="1" t="n">
        <v>43649</v>
      </c>
      <c r="C1047" s="1" t="n">
        <v>45360</v>
      </c>
      <c r="D1047" t="inlineStr">
        <is>
          <t>ÖREBRO LÄN</t>
        </is>
      </c>
      <c r="E1047" t="inlineStr">
        <is>
          <t>HALLSBERG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33314-2019</t>
        </is>
      </c>
      <c r="B1048" s="1" t="n">
        <v>43650</v>
      </c>
      <c r="C1048" s="1" t="n">
        <v>45360</v>
      </c>
      <c r="D1048" t="inlineStr">
        <is>
          <t>ÖREBRO LÄN</t>
        </is>
      </c>
      <c r="E1048" t="inlineStr">
        <is>
          <t>ÖREBRO</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33875-2019</t>
        </is>
      </c>
      <c r="B1049" s="1" t="n">
        <v>43653</v>
      </c>
      <c r="C1049" s="1" t="n">
        <v>45360</v>
      </c>
      <c r="D1049" t="inlineStr">
        <is>
          <t>ÖREBRO LÄN</t>
        </is>
      </c>
      <c r="E1049" t="inlineStr">
        <is>
          <t>NORA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35426-2019</t>
        </is>
      </c>
      <c r="B1050" s="1" t="n">
        <v>43654</v>
      </c>
      <c r="C1050" s="1" t="n">
        <v>45360</v>
      </c>
      <c r="D1050" t="inlineStr">
        <is>
          <t>ÖREBRO LÄN</t>
        </is>
      </c>
      <c r="E1050" t="inlineStr">
        <is>
          <t>DEGERFORS</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35682-2019</t>
        </is>
      </c>
      <c r="B1051" s="1" t="n">
        <v>43654</v>
      </c>
      <c r="C1051" s="1" t="n">
        <v>45360</v>
      </c>
      <c r="D1051" t="inlineStr">
        <is>
          <t>ÖREBRO LÄN</t>
        </is>
      </c>
      <c r="E1051" t="inlineStr">
        <is>
          <t>HALLSBERG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35557-2019</t>
        </is>
      </c>
      <c r="B1052" s="1" t="n">
        <v>43654</v>
      </c>
      <c r="C1052" s="1" t="n">
        <v>45360</v>
      </c>
      <c r="D1052" t="inlineStr">
        <is>
          <t>ÖREBRO LÄN</t>
        </is>
      </c>
      <c r="E1052" t="inlineStr">
        <is>
          <t>ÖREBRO</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35673-2019</t>
        </is>
      </c>
      <c r="B1053" s="1" t="n">
        <v>43654</v>
      </c>
      <c r="C1053" s="1" t="n">
        <v>45360</v>
      </c>
      <c r="D1053" t="inlineStr">
        <is>
          <t>ÖREBRO LÄN</t>
        </is>
      </c>
      <c r="E1053" t="inlineStr">
        <is>
          <t>HALLSBERG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34279-2019</t>
        </is>
      </c>
      <c r="B1054" s="1" t="n">
        <v>43655</v>
      </c>
      <c r="C1054" s="1" t="n">
        <v>45360</v>
      </c>
      <c r="D1054" t="inlineStr">
        <is>
          <t>ÖREBRO LÄN</t>
        </is>
      </c>
      <c r="E1054" t="inlineStr">
        <is>
          <t>HALLSBERG</t>
        </is>
      </c>
      <c r="F1054" t="inlineStr">
        <is>
          <t>Allmännings- och besparingsskogar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35532-2019</t>
        </is>
      </c>
      <c r="B1055" s="1" t="n">
        <v>43655</v>
      </c>
      <c r="C1055" s="1" t="n">
        <v>45360</v>
      </c>
      <c r="D1055" t="inlineStr">
        <is>
          <t>ÖREBRO LÄN</t>
        </is>
      </c>
      <c r="E1055" t="inlineStr">
        <is>
          <t>HALLSBERG</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35625-2019</t>
        </is>
      </c>
      <c r="B1056" s="1" t="n">
        <v>43655</v>
      </c>
      <c r="C1056" s="1" t="n">
        <v>45360</v>
      </c>
      <c r="D1056" t="inlineStr">
        <is>
          <t>ÖREBRO LÄN</t>
        </is>
      </c>
      <c r="E1056" t="inlineStr">
        <is>
          <t>ÖREBRO</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35662-2019</t>
        </is>
      </c>
      <c r="B1057" s="1" t="n">
        <v>43655</v>
      </c>
      <c r="C1057" s="1" t="n">
        <v>45360</v>
      </c>
      <c r="D1057" t="inlineStr">
        <is>
          <t>ÖREBRO LÄN</t>
        </is>
      </c>
      <c r="E1057" t="inlineStr">
        <is>
          <t>HALLSBERG</t>
        </is>
      </c>
      <c r="F1057" t="inlineStr">
        <is>
          <t>Allmännings- och besparingsskogar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34281-2019</t>
        </is>
      </c>
      <c r="B1058" s="1" t="n">
        <v>43655</v>
      </c>
      <c r="C1058" s="1" t="n">
        <v>45360</v>
      </c>
      <c r="D1058" t="inlineStr">
        <is>
          <t>ÖREBRO LÄN</t>
        </is>
      </c>
      <c r="E1058" t="inlineStr">
        <is>
          <t>HALLSBERG</t>
        </is>
      </c>
      <c r="F1058" t="inlineStr">
        <is>
          <t>Allmännings- och besparingsskogar</t>
        </is>
      </c>
      <c r="G1058" t="n">
        <v>3.3</v>
      </c>
      <c r="H1058" t="n">
        <v>0</v>
      </c>
      <c r="I1058" t="n">
        <v>0</v>
      </c>
      <c r="J1058" t="n">
        <v>0</v>
      </c>
      <c r="K1058" t="n">
        <v>0</v>
      </c>
      <c r="L1058" t="n">
        <v>0</v>
      </c>
      <c r="M1058" t="n">
        <v>0</v>
      </c>
      <c r="N1058" t="n">
        <v>0</v>
      </c>
      <c r="O1058" t="n">
        <v>0</v>
      </c>
      <c r="P1058" t="n">
        <v>0</v>
      </c>
      <c r="Q1058" t="n">
        <v>0</v>
      </c>
      <c r="R1058" s="2" t="inlineStr"/>
      <c r="U1058">
        <f>HYPERLINK("https://klasma.github.io/Logging_1861/knärot/A 34281-2019 karta knärot.png", "A 34281-2019")</f>
        <v/>
      </c>
      <c r="V1058">
        <f>HYPERLINK("https://klasma.github.io/Logging_1861/klagomål/A 34281-2019 FSC-klagomål.docx", "A 34281-2019")</f>
        <v/>
      </c>
      <c r="W1058">
        <f>HYPERLINK("https://klasma.github.io/Logging_1861/klagomålsmail/A 34281-2019 FSC-klagomål mail.docx", "A 34281-2019")</f>
        <v/>
      </c>
      <c r="X1058">
        <f>HYPERLINK("https://klasma.github.io/Logging_1861/tillsyn/A 34281-2019 tillsynsbegäran.docx", "A 34281-2019")</f>
        <v/>
      </c>
      <c r="Y1058">
        <f>HYPERLINK("https://klasma.github.io/Logging_1861/tillsynsmail/A 34281-2019 tillsynsbegäran mail.docx", "A 34281-2019")</f>
        <v/>
      </c>
    </row>
    <row r="1059" ht="15" customHeight="1">
      <c r="A1059" t="inlineStr">
        <is>
          <t>A 35665-2019</t>
        </is>
      </c>
      <c r="B1059" s="1" t="n">
        <v>43655</v>
      </c>
      <c r="C1059" s="1" t="n">
        <v>45360</v>
      </c>
      <c r="D1059" t="inlineStr">
        <is>
          <t>ÖREBRO LÄN</t>
        </is>
      </c>
      <c r="E1059" t="inlineStr">
        <is>
          <t>HALLSBERG</t>
        </is>
      </c>
      <c r="F1059" t="inlineStr">
        <is>
          <t>Allmännings- och besparingsskogar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35540-2019</t>
        </is>
      </c>
      <c r="B1060" s="1" t="n">
        <v>43655</v>
      </c>
      <c r="C1060" s="1" t="n">
        <v>45360</v>
      </c>
      <c r="D1060" t="inlineStr">
        <is>
          <t>ÖREBRO LÄN</t>
        </is>
      </c>
      <c r="E1060" t="inlineStr">
        <is>
          <t>ASKERSUND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34157-2019</t>
        </is>
      </c>
      <c r="B1061" s="1" t="n">
        <v>43655</v>
      </c>
      <c r="C1061" s="1" t="n">
        <v>45360</v>
      </c>
      <c r="D1061" t="inlineStr">
        <is>
          <t>ÖREBRO LÄN</t>
        </is>
      </c>
      <c r="E1061" t="inlineStr">
        <is>
          <t>ASKERSUND</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35659-2019</t>
        </is>
      </c>
      <c r="B1062" s="1" t="n">
        <v>43655</v>
      </c>
      <c r="C1062" s="1" t="n">
        <v>45360</v>
      </c>
      <c r="D1062" t="inlineStr">
        <is>
          <t>ÖREBRO LÄN</t>
        </is>
      </c>
      <c r="E1062" t="inlineStr">
        <is>
          <t>HALLSBERG</t>
        </is>
      </c>
      <c r="F1062" t="inlineStr">
        <is>
          <t>Allmännings- och besparingsskogar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35544-2019</t>
        </is>
      </c>
      <c r="B1063" s="1" t="n">
        <v>43655</v>
      </c>
      <c r="C1063" s="1" t="n">
        <v>45360</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34277-2019</t>
        </is>
      </c>
      <c r="B1064" s="1" t="n">
        <v>43655</v>
      </c>
      <c r="C1064" s="1" t="n">
        <v>45360</v>
      </c>
      <c r="D1064" t="inlineStr">
        <is>
          <t>ÖREBRO LÄN</t>
        </is>
      </c>
      <c r="E1064" t="inlineStr">
        <is>
          <t>HALLSBERG</t>
        </is>
      </c>
      <c r="F1064" t="inlineStr">
        <is>
          <t>Allmännings- och besparingsskogar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34139-2019</t>
        </is>
      </c>
      <c r="B1065" s="1" t="n">
        <v>43655</v>
      </c>
      <c r="C1065" s="1" t="n">
        <v>45360</v>
      </c>
      <c r="D1065" t="inlineStr">
        <is>
          <t>ÖREBRO LÄN</t>
        </is>
      </c>
      <c r="E1065" t="inlineStr">
        <is>
          <t>LINDESBERG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35588-2019</t>
        </is>
      </c>
      <c r="B1066" s="1" t="n">
        <v>43655</v>
      </c>
      <c r="C1066" s="1" t="n">
        <v>45360</v>
      </c>
      <c r="D1066" t="inlineStr">
        <is>
          <t>ÖREBRO LÄN</t>
        </is>
      </c>
      <c r="E1066" t="inlineStr">
        <is>
          <t>ÖREBRO</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35536-2019</t>
        </is>
      </c>
      <c r="B1067" s="1" t="n">
        <v>43655</v>
      </c>
      <c r="C1067" s="1" t="n">
        <v>45360</v>
      </c>
      <c r="D1067" t="inlineStr">
        <is>
          <t>ÖREBRO LÄN</t>
        </is>
      </c>
      <c r="E1067" t="inlineStr">
        <is>
          <t>ASKERSUND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34312-2019</t>
        </is>
      </c>
      <c r="B1068" s="1" t="n">
        <v>43656</v>
      </c>
      <c r="C1068" s="1" t="n">
        <v>45360</v>
      </c>
      <c r="D1068" t="inlineStr">
        <is>
          <t>ÖREBRO LÄN</t>
        </is>
      </c>
      <c r="E1068" t="inlineStr">
        <is>
          <t>LINDESBERG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35840-2019</t>
        </is>
      </c>
      <c r="B1069" s="1" t="n">
        <v>43656</v>
      </c>
      <c r="C1069" s="1" t="n">
        <v>45360</v>
      </c>
      <c r="D1069" t="inlineStr">
        <is>
          <t>ÖREBRO LÄN</t>
        </is>
      </c>
      <c r="E1069" t="inlineStr">
        <is>
          <t>LJUSNARSBERG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35826-2019</t>
        </is>
      </c>
      <c r="B1070" s="1" t="n">
        <v>43656</v>
      </c>
      <c r="C1070" s="1" t="n">
        <v>45360</v>
      </c>
      <c r="D1070" t="inlineStr">
        <is>
          <t>ÖREBRO LÄN</t>
        </is>
      </c>
      <c r="E1070" t="inlineStr">
        <is>
          <t>LJUSNARSBERG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35836-2019</t>
        </is>
      </c>
      <c r="B1071" s="1" t="n">
        <v>43656</v>
      </c>
      <c r="C1071" s="1" t="n">
        <v>45360</v>
      </c>
      <c r="D1071" t="inlineStr">
        <is>
          <t>ÖREBRO LÄN</t>
        </is>
      </c>
      <c r="E1071" t="inlineStr">
        <is>
          <t>LJUSNARSBERG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35843-2019</t>
        </is>
      </c>
      <c r="B1072" s="1" t="n">
        <v>43656</v>
      </c>
      <c r="C1072" s="1" t="n">
        <v>45360</v>
      </c>
      <c r="D1072" t="inlineStr">
        <is>
          <t>ÖREBRO LÄN</t>
        </is>
      </c>
      <c r="E1072" t="inlineStr">
        <is>
          <t>LJUSNARSBERG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35776-2019</t>
        </is>
      </c>
      <c r="B1073" s="1" t="n">
        <v>43656</v>
      </c>
      <c r="C1073" s="1" t="n">
        <v>45360</v>
      </c>
      <c r="D1073" t="inlineStr">
        <is>
          <t>ÖREBRO LÄN</t>
        </is>
      </c>
      <c r="E1073" t="inlineStr">
        <is>
          <t>LJUSNARSBERG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34895-2019</t>
        </is>
      </c>
      <c r="B1074" s="1" t="n">
        <v>43658</v>
      </c>
      <c r="C1074" s="1" t="n">
        <v>45360</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34965-2019</t>
        </is>
      </c>
      <c r="B1075" s="1" t="n">
        <v>43658</v>
      </c>
      <c r="C1075" s="1" t="n">
        <v>45360</v>
      </c>
      <c r="D1075" t="inlineStr">
        <is>
          <t>ÖREBRO LÄN</t>
        </is>
      </c>
      <c r="E1075" t="inlineStr">
        <is>
          <t>ÖREBRO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35125-2019</t>
        </is>
      </c>
      <c r="B1076" s="1" t="n">
        <v>43661</v>
      </c>
      <c r="C1076" s="1" t="n">
        <v>45360</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35127-2019</t>
        </is>
      </c>
      <c r="B1077" s="1" t="n">
        <v>43661</v>
      </c>
      <c r="C1077" s="1" t="n">
        <v>45360</v>
      </c>
      <c r="D1077" t="inlineStr">
        <is>
          <t>ÖREBRO LÄN</t>
        </is>
      </c>
      <c r="E1077" t="inlineStr">
        <is>
          <t>LINDESBERG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35448-2019</t>
        </is>
      </c>
      <c r="B1078" s="1" t="n">
        <v>43663</v>
      </c>
      <c r="C1078" s="1" t="n">
        <v>45360</v>
      </c>
      <c r="D1078" t="inlineStr">
        <is>
          <t>ÖREBRO LÄN</t>
        </is>
      </c>
      <c r="E1078" t="inlineStr">
        <is>
          <t>LINDESBERG</t>
        </is>
      </c>
      <c r="F1078" t="inlineStr">
        <is>
          <t>Kyrkan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35804-2019</t>
        </is>
      </c>
      <c r="B1079" s="1" t="n">
        <v>43665</v>
      </c>
      <c r="C1079" s="1" t="n">
        <v>45360</v>
      </c>
      <c r="D1079" t="inlineStr">
        <is>
          <t>ÖREBRO LÄN</t>
        </is>
      </c>
      <c r="E1079" t="inlineStr">
        <is>
          <t>LINDESBERG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35741-2019</t>
        </is>
      </c>
      <c r="B1080" s="1" t="n">
        <v>43665</v>
      </c>
      <c r="C1080" s="1" t="n">
        <v>45360</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35743-2019</t>
        </is>
      </c>
      <c r="B1081" s="1" t="n">
        <v>43665</v>
      </c>
      <c r="C1081" s="1" t="n">
        <v>45360</v>
      </c>
      <c r="D1081" t="inlineStr">
        <is>
          <t>ÖREBRO LÄN</t>
        </is>
      </c>
      <c r="E1081" t="inlineStr">
        <is>
          <t>HÄLLEFORS</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35846-2019</t>
        </is>
      </c>
      <c r="B1082" s="1" t="n">
        <v>43665</v>
      </c>
      <c r="C1082" s="1" t="n">
        <v>45360</v>
      </c>
      <c r="D1082" t="inlineStr">
        <is>
          <t>ÖREBRO LÄN</t>
        </is>
      </c>
      <c r="E1082" t="inlineStr">
        <is>
          <t>ÖREBRO</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35742-2019</t>
        </is>
      </c>
      <c r="B1083" s="1" t="n">
        <v>43665</v>
      </c>
      <c r="C1083" s="1" t="n">
        <v>45360</v>
      </c>
      <c r="D1083" t="inlineStr">
        <is>
          <t>ÖREBRO LÄN</t>
        </is>
      </c>
      <c r="E1083" t="inlineStr">
        <is>
          <t>HÄLLEFORS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35740-2019</t>
        </is>
      </c>
      <c r="B1084" s="1" t="n">
        <v>43665</v>
      </c>
      <c r="C1084" s="1" t="n">
        <v>45360</v>
      </c>
      <c r="D1084" t="inlineStr">
        <is>
          <t>ÖREBRO LÄN</t>
        </is>
      </c>
      <c r="E1084" t="inlineStr">
        <is>
          <t>HÄLLEFORS</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36124-2019</t>
        </is>
      </c>
      <c r="B1085" s="1" t="n">
        <v>43665</v>
      </c>
      <c r="C1085" s="1" t="n">
        <v>45360</v>
      </c>
      <c r="D1085" t="inlineStr">
        <is>
          <t>ÖREBRO LÄN</t>
        </is>
      </c>
      <c r="E1085" t="inlineStr">
        <is>
          <t>ÖREBRO</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36242-2019</t>
        </is>
      </c>
      <c r="B1086" s="1" t="n">
        <v>43669</v>
      </c>
      <c r="C1086" s="1" t="n">
        <v>45360</v>
      </c>
      <c r="D1086" t="inlineStr">
        <is>
          <t>ÖREBRO LÄN</t>
        </is>
      </c>
      <c r="E1086" t="inlineStr">
        <is>
          <t>LINDESBERG</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36282-2019</t>
        </is>
      </c>
      <c r="B1087" s="1" t="n">
        <v>43669</v>
      </c>
      <c r="C1087" s="1" t="n">
        <v>45360</v>
      </c>
      <c r="D1087" t="inlineStr">
        <is>
          <t>ÖREBRO LÄN</t>
        </is>
      </c>
      <c r="E1087" t="inlineStr">
        <is>
          <t>ÖREBRO</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36283-2019</t>
        </is>
      </c>
      <c r="B1088" s="1" t="n">
        <v>43669</v>
      </c>
      <c r="C1088" s="1" t="n">
        <v>45360</v>
      </c>
      <c r="D1088" t="inlineStr">
        <is>
          <t>ÖREBRO LÄN</t>
        </is>
      </c>
      <c r="E1088" t="inlineStr">
        <is>
          <t>ÖREBRO</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36284-2019</t>
        </is>
      </c>
      <c r="B1089" s="1" t="n">
        <v>43669</v>
      </c>
      <c r="C1089" s="1" t="n">
        <v>45360</v>
      </c>
      <c r="D1089" t="inlineStr">
        <is>
          <t>ÖREBRO LÄN</t>
        </is>
      </c>
      <c r="E1089" t="inlineStr">
        <is>
          <t>ÖREBRO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36680-2019</t>
        </is>
      </c>
      <c r="B1090" s="1" t="n">
        <v>43670</v>
      </c>
      <c r="C1090" s="1" t="n">
        <v>45360</v>
      </c>
      <c r="D1090" t="inlineStr">
        <is>
          <t>ÖREBRO LÄN</t>
        </is>
      </c>
      <c r="E1090" t="inlineStr">
        <is>
          <t>NORA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36583-2019</t>
        </is>
      </c>
      <c r="B1091" s="1" t="n">
        <v>43671</v>
      </c>
      <c r="C1091" s="1" t="n">
        <v>45360</v>
      </c>
      <c r="D1091" t="inlineStr">
        <is>
          <t>ÖREBRO LÄN</t>
        </is>
      </c>
      <c r="E1091" t="inlineStr">
        <is>
          <t>LINDESBERG</t>
        </is>
      </c>
      <c r="F1091" t="inlineStr">
        <is>
          <t>Kyrkan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36564-2019</t>
        </is>
      </c>
      <c r="B1092" s="1" t="n">
        <v>43671</v>
      </c>
      <c r="C1092" s="1" t="n">
        <v>45360</v>
      </c>
      <c r="D1092" t="inlineStr">
        <is>
          <t>ÖREBRO LÄN</t>
        </is>
      </c>
      <c r="E1092" t="inlineStr">
        <is>
          <t>NORA</t>
        </is>
      </c>
      <c r="F1092" t="inlineStr">
        <is>
          <t>Kyrkan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36752-2019</t>
        </is>
      </c>
      <c r="B1093" s="1" t="n">
        <v>43672</v>
      </c>
      <c r="C1093" s="1" t="n">
        <v>45360</v>
      </c>
      <c r="D1093" t="inlineStr">
        <is>
          <t>ÖREBRO LÄN</t>
        </is>
      </c>
      <c r="E1093" t="inlineStr">
        <is>
          <t>ASKERSUND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36754-2019</t>
        </is>
      </c>
      <c r="B1094" s="1" t="n">
        <v>43672</v>
      </c>
      <c r="C1094" s="1" t="n">
        <v>45360</v>
      </c>
      <c r="D1094" t="inlineStr">
        <is>
          <t>ÖREBRO LÄN</t>
        </is>
      </c>
      <c r="E1094" t="inlineStr">
        <is>
          <t>LINDESBERG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36913-2019</t>
        </is>
      </c>
      <c r="B1095" s="1" t="n">
        <v>43675</v>
      </c>
      <c r="C1095" s="1" t="n">
        <v>45360</v>
      </c>
      <c r="D1095" t="inlineStr">
        <is>
          <t>ÖREBRO LÄN</t>
        </is>
      </c>
      <c r="E1095" t="inlineStr">
        <is>
          <t>DEGERFORS</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37112-2019</t>
        </is>
      </c>
      <c r="B1096" s="1" t="n">
        <v>43676</v>
      </c>
      <c r="C1096" s="1" t="n">
        <v>45360</v>
      </c>
      <c r="D1096" t="inlineStr">
        <is>
          <t>ÖREBRO LÄN</t>
        </is>
      </c>
      <c r="E1096" t="inlineStr">
        <is>
          <t>KARLSKOGA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37066-2019</t>
        </is>
      </c>
      <c r="B1097" s="1" t="n">
        <v>43676</v>
      </c>
      <c r="C1097" s="1" t="n">
        <v>45360</v>
      </c>
      <c r="D1097" t="inlineStr">
        <is>
          <t>ÖREBRO LÄN</t>
        </is>
      </c>
      <c r="E1097" t="inlineStr">
        <is>
          <t>ASKERSUND</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36990-2019</t>
        </is>
      </c>
      <c r="B1098" s="1" t="n">
        <v>43676</v>
      </c>
      <c r="C1098" s="1" t="n">
        <v>45360</v>
      </c>
      <c r="D1098" t="inlineStr">
        <is>
          <t>ÖREBRO LÄN</t>
        </is>
      </c>
      <c r="E1098" t="inlineStr">
        <is>
          <t>ÖREBRO</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37141-2019</t>
        </is>
      </c>
      <c r="B1099" s="1" t="n">
        <v>43677</v>
      </c>
      <c r="C1099" s="1" t="n">
        <v>45360</v>
      </c>
      <c r="D1099" t="inlineStr">
        <is>
          <t>ÖREBRO LÄN</t>
        </is>
      </c>
      <c r="E1099" t="inlineStr">
        <is>
          <t>LEKEBERG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37143-2019</t>
        </is>
      </c>
      <c r="B1100" s="1" t="n">
        <v>43677</v>
      </c>
      <c r="C1100" s="1" t="n">
        <v>45360</v>
      </c>
      <c r="D1100" t="inlineStr">
        <is>
          <t>ÖREBRO LÄN</t>
        </is>
      </c>
      <c r="E1100" t="inlineStr">
        <is>
          <t>LEKEBERG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37254-2019</t>
        </is>
      </c>
      <c r="B1101" s="1" t="n">
        <v>43677</v>
      </c>
      <c r="C1101" s="1" t="n">
        <v>45360</v>
      </c>
      <c r="D1101" t="inlineStr">
        <is>
          <t>ÖREBRO LÄN</t>
        </is>
      </c>
      <c r="E1101" t="inlineStr">
        <is>
          <t>ÖREBRO</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37142-2019</t>
        </is>
      </c>
      <c r="B1102" s="1" t="n">
        <v>43677</v>
      </c>
      <c r="C1102" s="1" t="n">
        <v>45360</v>
      </c>
      <c r="D1102" t="inlineStr">
        <is>
          <t>ÖREBRO LÄN</t>
        </is>
      </c>
      <c r="E1102" t="inlineStr">
        <is>
          <t>LEKEBERG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37258-2019</t>
        </is>
      </c>
      <c r="B1103" s="1" t="n">
        <v>43677</v>
      </c>
      <c r="C1103" s="1" t="n">
        <v>45360</v>
      </c>
      <c r="D1103" t="inlineStr">
        <is>
          <t>ÖREBRO LÄN</t>
        </is>
      </c>
      <c r="E1103" t="inlineStr">
        <is>
          <t>ÖREBRO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37278-2019</t>
        </is>
      </c>
      <c r="B1104" s="1" t="n">
        <v>43677</v>
      </c>
      <c r="C1104" s="1" t="n">
        <v>45360</v>
      </c>
      <c r="D1104" t="inlineStr">
        <is>
          <t>ÖREBRO LÄN</t>
        </is>
      </c>
      <c r="E1104" t="inlineStr">
        <is>
          <t>ÖREBRO</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37257-2019</t>
        </is>
      </c>
      <c r="B1105" s="1" t="n">
        <v>43677</v>
      </c>
      <c r="C1105" s="1" t="n">
        <v>45360</v>
      </c>
      <c r="D1105" t="inlineStr">
        <is>
          <t>ÖREBRO LÄN</t>
        </is>
      </c>
      <c r="E1105" t="inlineStr">
        <is>
          <t>LINDESBERG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37377-2019</t>
        </is>
      </c>
      <c r="B1106" s="1" t="n">
        <v>43678</v>
      </c>
      <c r="C1106" s="1" t="n">
        <v>45360</v>
      </c>
      <c r="D1106" t="inlineStr">
        <is>
          <t>ÖREBRO LÄN</t>
        </is>
      </c>
      <c r="E1106" t="inlineStr">
        <is>
          <t>LINDESBERG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37406-2019</t>
        </is>
      </c>
      <c r="B1107" s="1" t="n">
        <v>43678</v>
      </c>
      <c r="C1107" s="1" t="n">
        <v>45360</v>
      </c>
      <c r="D1107" t="inlineStr">
        <is>
          <t>ÖREBRO LÄN</t>
        </is>
      </c>
      <c r="E1107" t="inlineStr">
        <is>
          <t>NORA</t>
        </is>
      </c>
      <c r="F1107" t="inlineStr">
        <is>
          <t>Kyrkan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37325-2019</t>
        </is>
      </c>
      <c r="B1108" s="1" t="n">
        <v>43678</v>
      </c>
      <c r="C1108" s="1" t="n">
        <v>45360</v>
      </c>
      <c r="D1108" t="inlineStr">
        <is>
          <t>ÖREBRO LÄN</t>
        </is>
      </c>
      <c r="E1108" t="inlineStr">
        <is>
          <t>HÄLLEFORS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37494-2019</t>
        </is>
      </c>
      <c r="B1109" s="1" t="n">
        <v>43679</v>
      </c>
      <c r="C1109" s="1" t="n">
        <v>45360</v>
      </c>
      <c r="D1109" t="inlineStr">
        <is>
          <t>ÖREBRO LÄN</t>
        </is>
      </c>
      <c r="E1109" t="inlineStr">
        <is>
          <t>HALLSBERG</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37493-2019</t>
        </is>
      </c>
      <c r="B1110" s="1" t="n">
        <v>43679</v>
      </c>
      <c r="C1110" s="1" t="n">
        <v>45360</v>
      </c>
      <c r="D1110" t="inlineStr">
        <is>
          <t>ÖREBRO LÄN</t>
        </is>
      </c>
      <c r="E1110" t="inlineStr">
        <is>
          <t>HALLSBERG</t>
        </is>
      </c>
      <c r="F1110" t="inlineStr">
        <is>
          <t>Sveaskog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37566-2019</t>
        </is>
      </c>
      <c r="B1111" s="1" t="n">
        <v>43679</v>
      </c>
      <c r="C1111" s="1" t="n">
        <v>45360</v>
      </c>
      <c r="D1111" t="inlineStr">
        <is>
          <t>ÖREBRO LÄN</t>
        </is>
      </c>
      <c r="E1111" t="inlineStr">
        <is>
          <t>LINDESBERG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37558-2019</t>
        </is>
      </c>
      <c r="B1112" s="1" t="n">
        <v>43679</v>
      </c>
      <c r="C1112" s="1" t="n">
        <v>45360</v>
      </c>
      <c r="D1112" t="inlineStr">
        <is>
          <t>ÖREBRO LÄN</t>
        </is>
      </c>
      <c r="E1112" t="inlineStr">
        <is>
          <t>LINDESBERG</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37495-2019</t>
        </is>
      </c>
      <c r="B1113" s="1" t="n">
        <v>43679</v>
      </c>
      <c r="C1113" s="1" t="n">
        <v>45360</v>
      </c>
      <c r="D1113" t="inlineStr">
        <is>
          <t>ÖREBRO LÄN</t>
        </is>
      </c>
      <c r="E1113" t="inlineStr">
        <is>
          <t>HALLSBERG</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37474-2019</t>
        </is>
      </c>
      <c r="B1114" s="1" t="n">
        <v>43679</v>
      </c>
      <c r="C1114" s="1" t="n">
        <v>45360</v>
      </c>
      <c r="D1114" t="inlineStr">
        <is>
          <t>ÖREBRO LÄN</t>
        </is>
      </c>
      <c r="E1114" t="inlineStr">
        <is>
          <t>HALLSBERG</t>
        </is>
      </c>
      <c r="F1114" t="inlineStr">
        <is>
          <t>Sveaskog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37597-2019</t>
        </is>
      </c>
      <c r="B1115" s="1" t="n">
        <v>43680</v>
      </c>
      <c r="C1115" s="1" t="n">
        <v>45360</v>
      </c>
      <c r="D1115" t="inlineStr">
        <is>
          <t>ÖREBRO LÄN</t>
        </is>
      </c>
      <c r="E1115" t="inlineStr">
        <is>
          <t>LINDESBERG</t>
        </is>
      </c>
      <c r="G1115" t="n">
        <v>13.2</v>
      </c>
      <c r="H1115" t="n">
        <v>0</v>
      </c>
      <c r="I1115" t="n">
        <v>0</v>
      </c>
      <c r="J1115" t="n">
        <v>0</v>
      </c>
      <c r="K1115" t="n">
        <v>0</v>
      </c>
      <c r="L1115" t="n">
        <v>0</v>
      </c>
      <c r="M1115" t="n">
        <v>0</v>
      </c>
      <c r="N1115" t="n">
        <v>0</v>
      </c>
      <c r="O1115" t="n">
        <v>0</v>
      </c>
      <c r="P1115" t="n">
        <v>0</v>
      </c>
      <c r="Q1115" t="n">
        <v>0</v>
      </c>
      <c r="R1115" s="2" t="inlineStr"/>
    </row>
    <row r="1116" ht="15" customHeight="1">
      <c r="A1116" t="inlineStr">
        <is>
          <t>A 37599-2019</t>
        </is>
      </c>
      <c r="B1116" s="1" t="n">
        <v>43680</v>
      </c>
      <c r="C1116" s="1" t="n">
        <v>45360</v>
      </c>
      <c r="D1116" t="inlineStr">
        <is>
          <t>ÖREBRO LÄN</t>
        </is>
      </c>
      <c r="E1116" t="inlineStr">
        <is>
          <t>LINDESBERG</t>
        </is>
      </c>
      <c r="G1116" t="n">
        <v>14.6</v>
      </c>
      <c r="H1116" t="n">
        <v>0</v>
      </c>
      <c r="I1116" t="n">
        <v>0</v>
      </c>
      <c r="J1116" t="n">
        <v>0</v>
      </c>
      <c r="K1116" t="n">
        <v>0</v>
      </c>
      <c r="L1116" t="n">
        <v>0</v>
      </c>
      <c r="M1116" t="n">
        <v>0</v>
      </c>
      <c r="N1116" t="n">
        <v>0</v>
      </c>
      <c r="O1116" t="n">
        <v>0</v>
      </c>
      <c r="P1116" t="n">
        <v>0</v>
      </c>
      <c r="Q1116" t="n">
        <v>0</v>
      </c>
      <c r="R1116" s="2" t="inlineStr"/>
    </row>
    <row r="1117" ht="15" customHeight="1">
      <c r="A1117" t="inlineStr">
        <is>
          <t>A 37789-2019</t>
        </is>
      </c>
      <c r="B1117" s="1" t="n">
        <v>43682</v>
      </c>
      <c r="C1117" s="1" t="n">
        <v>45360</v>
      </c>
      <c r="D1117" t="inlineStr">
        <is>
          <t>ÖREBRO LÄN</t>
        </is>
      </c>
      <c r="E1117" t="inlineStr">
        <is>
          <t>ASKERSUND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37728-2019</t>
        </is>
      </c>
      <c r="B1118" s="1" t="n">
        <v>43682</v>
      </c>
      <c r="C1118" s="1" t="n">
        <v>45360</v>
      </c>
      <c r="D1118" t="inlineStr">
        <is>
          <t>ÖREBRO LÄN</t>
        </is>
      </c>
      <c r="E1118" t="inlineStr">
        <is>
          <t>KARLSKOGA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37840-2019</t>
        </is>
      </c>
      <c r="B1119" s="1" t="n">
        <v>43682</v>
      </c>
      <c r="C1119" s="1" t="n">
        <v>45360</v>
      </c>
      <c r="D1119" t="inlineStr">
        <is>
          <t>ÖREBRO LÄN</t>
        </is>
      </c>
      <c r="E1119" t="inlineStr">
        <is>
          <t>ASKERSUND</t>
        </is>
      </c>
      <c r="G1119" t="n">
        <v>16.2</v>
      </c>
      <c r="H1119" t="n">
        <v>0</v>
      </c>
      <c r="I1119" t="n">
        <v>0</v>
      </c>
      <c r="J1119" t="n">
        <v>0</v>
      </c>
      <c r="K1119" t="n">
        <v>0</v>
      </c>
      <c r="L1119" t="n">
        <v>0</v>
      </c>
      <c r="M1119" t="n">
        <v>0</v>
      </c>
      <c r="N1119" t="n">
        <v>0</v>
      </c>
      <c r="O1119" t="n">
        <v>0</v>
      </c>
      <c r="P1119" t="n">
        <v>0</v>
      </c>
      <c r="Q1119" t="n">
        <v>0</v>
      </c>
      <c r="R1119" s="2" t="inlineStr"/>
    </row>
    <row r="1120" ht="15" customHeight="1">
      <c r="A1120" t="inlineStr">
        <is>
          <t>A 37794-2019</t>
        </is>
      </c>
      <c r="B1120" s="1" t="n">
        <v>43682</v>
      </c>
      <c r="C1120" s="1" t="n">
        <v>45360</v>
      </c>
      <c r="D1120" t="inlineStr">
        <is>
          <t>ÖREBRO LÄN</t>
        </is>
      </c>
      <c r="E1120" t="inlineStr">
        <is>
          <t>ASKERSUND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37926-2019</t>
        </is>
      </c>
      <c r="B1121" s="1" t="n">
        <v>43683</v>
      </c>
      <c r="C1121" s="1" t="n">
        <v>45360</v>
      </c>
      <c r="D1121" t="inlineStr">
        <is>
          <t>ÖREBRO LÄN</t>
        </is>
      </c>
      <c r="E1121" t="inlineStr">
        <is>
          <t>HALLSBERG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37930-2019</t>
        </is>
      </c>
      <c r="B1122" s="1" t="n">
        <v>43683</v>
      </c>
      <c r="C1122" s="1" t="n">
        <v>45360</v>
      </c>
      <c r="D1122" t="inlineStr">
        <is>
          <t>ÖREBRO LÄN</t>
        </is>
      </c>
      <c r="E1122" t="inlineStr">
        <is>
          <t>ÖREBRO</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38103-2019</t>
        </is>
      </c>
      <c r="B1123" s="1" t="n">
        <v>43683</v>
      </c>
      <c r="C1123" s="1" t="n">
        <v>45360</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38372-2019</t>
        </is>
      </c>
      <c r="B1124" s="1" t="n">
        <v>43683</v>
      </c>
      <c r="C1124" s="1" t="n">
        <v>45360</v>
      </c>
      <c r="D1124" t="inlineStr">
        <is>
          <t>ÖREBRO LÄN</t>
        </is>
      </c>
      <c r="E1124" t="inlineStr">
        <is>
          <t>ÖREBRO</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38161-2019</t>
        </is>
      </c>
      <c r="B1125" s="1" t="n">
        <v>43683</v>
      </c>
      <c r="C1125" s="1" t="n">
        <v>45360</v>
      </c>
      <c r="D1125" t="inlineStr">
        <is>
          <t>ÖREBRO LÄN</t>
        </is>
      </c>
      <c r="E1125" t="inlineStr">
        <is>
          <t>LINDESBERG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38246-2019</t>
        </is>
      </c>
      <c r="B1126" s="1" t="n">
        <v>43684</v>
      </c>
      <c r="C1126" s="1" t="n">
        <v>45360</v>
      </c>
      <c r="D1126" t="inlineStr">
        <is>
          <t>ÖREBRO LÄN</t>
        </is>
      </c>
      <c r="E1126" t="inlineStr">
        <is>
          <t>ASKERSUND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38257-2019</t>
        </is>
      </c>
      <c r="B1127" s="1" t="n">
        <v>43684</v>
      </c>
      <c r="C1127" s="1" t="n">
        <v>45360</v>
      </c>
      <c r="D1127" t="inlineStr">
        <is>
          <t>ÖREBRO LÄN</t>
        </is>
      </c>
      <c r="E1127" t="inlineStr">
        <is>
          <t>ASKERSUND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38254-2019</t>
        </is>
      </c>
      <c r="B1128" s="1" t="n">
        <v>43684</v>
      </c>
      <c r="C1128" s="1" t="n">
        <v>45360</v>
      </c>
      <c r="D1128" t="inlineStr">
        <is>
          <t>ÖREBRO LÄN</t>
        </is>
      </c>
      <c r="E1128" t="inlineStr">
        <is>
          <t>LINDESBERG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38228-2019</t>
        </is>
      </c>
      <c r="B1129" s="1" t="n">
        <v>43684</v>
      </c>
      <c r="C1129" s="1" t="n">
        <v>45360</v>
      </c>
      <c r="D1129" t="inlineStr">
        <is>
          <t>ÖREBRO LÄN</t>
        </is>
      </c>
      <c r="E1129" t="inlineStr">
        <is>
          <t>LAXÅ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38381-2019</t>
        </is>
      </c>
      <c r="B1130" s="1" t="n">
        <v>43685</v>
      </c>
      <c r="C1130" s="1" t="n">
        <v>45360</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38389-2019</t>
        </is>
      </c>
      <c r="B1131" s="1" t="n">
        <v>43685</v>
      </c>
      <c r="C1131" s="1" t="n">
        <v>45360</v>
      </c>
      <c r="D1131" t="inlineStr">
        <is>
          <t>ÖREBRO LÄN</t>
        </is>
      </c>
      <c r="E1131" t="inlineStr">
        <is>
          <t>ÖREBRO</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38669-2019</t>
        </is>
      </c>
      <c r="B1132" s="1" t="n">
        <v>43686</v>
      </c>
      <c r="C1132" s="1" t="n">
        <v>45360</v>
      </c>
      <c r="D1132" t="inlineStr">
        <is>
          <t>ÖREBRO LÄN</t>
        </is>
      </c>
      <c r="E1132" t="inlineStr">
        <is>
          <t>KARLSKOGA</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38885-2019</t>
        </is>
      </c>
      <c r="B1133" s="1" t="n">
        <v>43686</v>
      </c>
      <c r="C1133" s="1" t="n">
        <v>45360</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39501-2019</t>
        </is>
      </c>
      <c r="B1134" s="1" t="n">
        <v>43686</v>
      </c>
      <c r="C1134" s="1" t="n">
        <v>45360</v>
      </c>
      <c r="D1134" t="inlineStr">
        <is>
          <t>ÖREBRO LÄN</t>
        </is>
      </c>
      <c r="E1134" t="inlineStr">
        <is>
          <t>HÄLLEFORS</t>
        </is>
      </c>
      <c r="F1134" t="inlineStr">
        <is>
          <t>Kyrkan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38819-2019</t>
        </is>
      </c>
      <c r="B1135" s="1" t="n">
        <v>43689</v>
      </c>
      <c r="C1135" s="1" t="n">
        <v>45360</v>
      </c>
      <c r="D1135" t="inlineStr">
        <is>
          <t>ÖREBRO LÄN</t>
        </is>
      </c>
      <c r="E1135" t="inlineStr">
        <is>
          <t>HÄLLEFORS</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38902-2019</t>
        </is>
      </c>
      <c r="B1136" s="1" t="n">
        <v>43689</v>
      </c>
      <c r="C1136" s="1" t="n">
        <v>45360</v>
      </c>
      <c r="D1136" t="inlineStr">
        <is>
          <t>ÖREBRO LÄN</t>
        </is>
      </c>
      <c r="E1136" t="inlineStr">
        <is>
          <t>LINDESBERG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38923-2019</t>
        </is>
      </c>
      <c r="B1137" s="1" t="n">
        <v>43689</v>
      </c>
      <c r="C1137" s="1" t="n">
        <v>45360</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38846-2019</t>
        </is>
      </c>
      <c r="B1138" s="1" t="n">
        <v>43689</v>
      </c>
      <c r="C1138" s="1" t="n">
        <v>45360</v>
      </c>
      <c r="D1138" t="inlineStr">
        <is>
          <t>ÖREBRO LÄN</t>
        </is>
      </c>
      <c r="E1138" t="inlineStr">
        <is>
          <t>ÖREBRO</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39322-2019</t>
        </is>
      </c>
      <c r="B1139" s="1" t="n">
        <v>43690</v>
      </c>
      <c r="C1139" s="1" t="n">
        <v>45360</v>
      </c>
      <c r="D1139" t="inlineStr">
        <is>
          <t>ÖREBRO LÄN</t>
        </is>
      </c>
      <c r="E1139" t="inlineStr">
        <is>
          <t>KARLSKOGA</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39303-2019</t>
        </is>
      </c>
      <c r="B1140" s="1" t="n">
        <v>43690</v>
      </c>
      <c r="C1140" s="1" t="n">
        <v>45360</v>
      </c>
      <c r="D1140" t="inlineStr">
        <is>
          <t>ÖREBRO LÄN</t>
        </is>
      </c>
      <c r="E1140" t="inlineStr">
        <is>
          <t>ÖREBRO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39186-2019</t>
        </is>
      </c>
      <c r="B1141" s="1" t="n">
        <v>43690</v>
      </c>
      <c r="C1141" s="1" t="n">
        <v>45360</v>
      </c>
      <c r="D1141" t="inlineStr">
        <is>
          <t>ÖREBRO LÄN</t>
        </is>
      </c>
      <c r="E1141" t="inlineStr">
        <is>
          <t>ASKERSUND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39468-2019</t>
        </is>
      </c>
      <c r="B1142" s="1" t="n">
        <v>43691</v>
      </c>
      <c r="C1142" s="1" t="n">
        <v>45360</v>
      </c>
      <c r="D1142" t="inlineStr">
        <is>
          <t>ÖREBRO LÄN</t>
        </is>
      </c>
      <c r="E1142" t="inlineStr">
        <is>
          <t>KARLSKOGA</t>
        </is>
      </c>
      <c r="F1142" t="inlineStr">
        <is>
          <t>Sveaskog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39520-2019</t>
        </is>
      </c>
      <c r="B1143" s="1" t="n">
        <v>43691</v>
      </c>
      <c r="C1143" s="1" t="n">
        <v>45360</v>
      </c>
      <c r="D1143" t="inlineStr">
        <is>
          <t>ÖREBRO LÄN</t>
        </is>
      </c>
      <c r="E1143" t="inlineStr">
        <is>
          <t>ASKERSUND</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39576-2019</t>
        </is>
      </c>
      <c r="B1144" s="1" t="n">
        <v>43691</v>
      </c>
      <c r="C1144" s="1" t="n">
        <v>45360</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39469-2019</t>
        </is>
      </c>
      <c r="B1145" s="1" t="n">
        <v>43691</v>
      </c>
      <c r="C1145" s="1" t="n">
        <v>45360</v>
      </c>
      <c r="D1145" t="inlineStr">
        <is>
          <t>ÖREBRO LÄN</t>
        </is>
      </c>
      <c r="E1145" t="inlineStr">
        <is>
          <t>KARLSKOGA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39517-2019</t>
        </is>
      </c>
      <c r="B1146" s="1" t="n">
        <v>43691</v>
      </c>
      <c r="C1146" s="1" t="n">
        <v>45360</v>
      </c>
      <c r="D1146" t="inlineStr">
        <is>
          <t>ÖREBRO LÄN</t>
        </is>
      </c>
      <c r="E1146" t="inlineStr">
        <is>
          <t>ASKERSUND</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39516-2019</t>
        </is>
      </c>
      <c r="B1147" s="1" t="n">
        <v>43691</v>
      </c>
      <c r="C1147" s="1" t="n">
        <v>45360</v>
      </c>
      <c r="D1147" t="inlineStr">
        <is>
          <t>ÖREBRO LÄN</t>
        </is>
      </c>
      <c r="E1147" t="inlineStr">
        <is>
          <t>ASKERSUND</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39531-2019</t>
        </is>
      </c>
      <c r="B1148" s="1" t="n">
        <v>43691</v>
      </c>
      <c r="C1148" s="1" t="n">
        <v>45360</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39714-2019</t>
        </is>
      </c>
      <c r="B1149" s="1" t="n">
        <v>43691</v>
      </c>
      <c r="C1149" s="1" t="n">
        <v>45360</v>
      </c>
      <c r="D1149" t="inlineStr">
        <is>
          <t>ÖREBRO LÄN</t>
        </is>
      </c>
      <c r="E1149" t="inlineStr">
        <is>
          <t>ÖREBRO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40694-2019</t>
        </is>
      </c>
      <c r="B1150" s="1" t="n">
        <v>43691</v>
      </c>
      <c r="C1150" s="1" t="n">
        <v>45360</v>
      </c>
      <c r="D1150" t="inlineStr">
        <is>
          <t>ÖREBRO LÄN</t>
        </is>
      </c>
      <c r="E1150" t="inlineStr">
        <is>
          <t>ÖREBRO</t>
        </is>
      </c>
      <c r="F1150" t="inlineStr">
        <is>
          <t>Kommuner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39679-2019</t>
        </is>
      </c>
      <c r="B1151" s="1" t="n">
        <v>43691</v>
      </c>
      <c r="C1151" s="1" t="n">
        <v>45360</v>
      </c>
      <c r="D1151" t="inlineStr">
        <is>
          <t>ÖREBRO LÄN</t>
        </is>
      </c>
      <c r="E1151" t="inlineStr">
        <is>
          <t>NORA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40556-2019</t>
        </is>
      </c>
      <c r="B1152" s="1" t="n">
        <v>43691</v>
      </c>
      <c r="C1152" s="1" t="n">
        <v>45360</v>
      </c>
      <c r="D1152" t="inlineStr">
        <is>
          <t>ÖREBRO LÄN</t>
        </is>
      </c>
      <c r="E1152" t="inlineStr">
        <is>
          <t>ÖREBRO</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39879-2019</t>
        </is>
      </c>
      <c r="B1153" s="1" t="n">
        <v>43692</v>
      </c>
      <c r="C1153" s="1" t="n">
        <v>45360</v>
      </c>
      <c r="D1153" t="inlineStr">
        <is>
          <t>ÖREBRO LÄN</t>
        </is>
      </c>
      <c r="E1153" t="inlineStr">
        <is>
          <t>HALLSBERG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40171-2019</t>
        </is>
      </c>
      <c r="B1154" s="1" t="n">
        <v>43693</v>
      </c>
      <c r="C1154" s="1" t="n">
        <v>45360</v>
      </c>
      <c r="D1154" t="inlineStr">
        <is>
          <t>ÖREBRO LÄN</t>
        </is>
      </c>
      <c r="E1154" t="inlineStr">
        <is>
          <t>HÄLLEFORS</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40161-2019</t>
        </is>
      </c>
      <c r="B1155" s="1" t="n">
        <v>43693</v>
      </c>
      <c r="C1155" s="1" t="n">
        <v>45360</v>
      </c>
      <c r="D1155" t="inlineStr">
        <is>
          <t>ÖREBRO LÄN</t>
        </is>
      </c>
      <c r="E1155" t="inlineStr">
        <is>
          <t>ASKERSUND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40155-2019</t>
        </is>
      </c>
      <c r="B1156" s="1" t="n">
        <v>43693</v>
      </c>
      <c r="C1156" s="1" t="n">
        <v>45360</v>
      </c>
      <c r="D1156" t="inlineStr">
        <is>
          <t>ÖREBRO LÄN</t>
        </is>
      </c>
      <c r="E1156" t="inlineStr">
        <is>
          <t>ASKERSUND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40228-2019</t>
        </is>
      </c>
      <c r="B1157" s="1" t="n">
        <v>43693</v>
      </c>
      <c r="C1157" s="1" t="n">
        <v>45360</v>
      </c>
      <c r="D1157" t="inlineStr">
        <is>
          <t>ÖREBRO LÄN</t>
        </is>
      </c>
      <c r="E1157" t="inlineStr">
        <is>
          <t>LINDESBERG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40580-2019</t>
        </is>
      </c>
      <c r="B1158" s="1" t="n">
        <v>43696</v>
      </c>
      <c r="C1158" s="1" t="n">
        <v>45360</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40579-2019</t>
        </is>
      </c>
      <c r="B1159" s="1" t="n">
        <v>43696</v>
      </c>
      <c r="C1159" s="1" t="n">
        <v>45360</v>
      </c>
      <c r="D1159" t="inlineStr">
        <is>
          <t>ÖREBRO LÄN</t>
        </is>
      </c>
      <c r="E1159" t="inlineStr">
        <is>
          <t>ASKERSUND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40311-2019</t>
        </is>
      </c>
      <c r="B1160" s="1" t="n">
        <v>43696</v>
      </c>
      <c r="C1160" s="1" t="n">
        <v>45360</v>
      </c>
      <c r="D1160" t="inlineStr">
        <is>
          <t>ÖREBRO LÄN</t>
        </is>
      </c>
      <c r="E1160" t="inlineStr">
        <is>
          <t>HÄLLEFORS</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41245-2019</t>
        </is>
      </c>
      <c r="B1161" s="1" t="n">
        <v>43696</v>
      </c>
      <c r="C1161" s="1" t="n">
        <v>45360</v>
      </c>
      <c r="D1161" t="inlineStr">
        <is>
          <t>ÖREBRO LÄN</t>
        </is>
      </c>
      <c r="E1161" t="inlineStr">
        <is>
          <t>LAXÅ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40968-2019</t>
        </is>
      </c>
      <c r="B1162" s="1" t="n">
        <v>43697</v>
      </c>
      <c r="C1162" s="1" t="n">
        <v>45360</v>
      </c>
      <c r="D1162" t="inlineStr">
        <is>
          <t>ÖREBRO LÄN</t>
        </is>
      </c>
      <c r="E1162" t="inlineStr">
        <is>
          <t>ASKERSUND</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40720-2019</t>
        </is>
      </c>
      <c r="B1163" s="1" t="n">
        <v>43697</v>
      </c>
      <c r="C1163" s="1" t="n">
        <v>45360</v>
      </c>
      <c r="D1163" t="inlineStr">
        <is>
          <t>ÖREBRO LÄN</t>
        </is>
      </c>
      <c r="E1163" t="inlineStr">
        <is>
          <t>LJUSNARSBERG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41159-2019</t>
        </is>
      </c>
      <c r="B1164" s="1" t="n">
        <v>43698</v>
      </c>
      <c r="C1164" s="1" t="n">
        <v>45360</v>
      </c>
      <c r="D1164" t="inlineStr">
        <is>
          <t>ÖREBRO LÄN</t>
        </is>
      </c>
      <c r="E1164" t="inlineStr">
        <is>
          <t>ASKERSUND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41182-2019</t>
        </is>
      </c>
      <c r="B1165" s="1" t="n">
        <v>43698</v>
      </c>
      <c r="C1165" s="1" t="n">
        <v>45360</v>
      </c>
      <c r="D1165" t="inlineStr">
        <is>
          <t>ÖREBRO LÄN</t>
        </is>
      </c>
      <c r="E1165" t="inlineStr">
        <is>
          <t>HALLSBERG</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41250-2019</t>
        </is>
      </c>
      <c r="B1166" s="1" t="n">
        <v>43698</v>
      </c>
      <c r="C1166" s="1" t="n">
        <v>45360</v>
      </c>
      <c r="D1166" t="inlineStr">
        <is>
          <t>ÖREBRO LÄN</t>
        </is>
      </c>
      <c r="E1166" t="inlineStr">
        <is>
          <t>HALLSBERG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41174-2019</t>
        </is>
      </c>
      <c r="B1167" s="1" t="n">
        <v>43698</v>
      </c>
      <c r="C1167" s="1" t="n">
        <v>45360</v>
      </c>
      <c r="D1167" t="inlineStr">
        <is>
          <t>ÖREBRO LÄN</t>
        </is>
      </c>
      <c r="E1167" t="inlineStr">
        <is>
          <t>HALLSBERG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41184-2019</t>
        </is>
      </c>
      <c r="B1168" s="1" t="n">
        <v>43698</v>
      </c>
      <c r="C1168" s="1" t="n">
        <v>45360</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41345-2019</t>
        </is>
      </c>
      <c r="B1169" s="1" t="n">
        <v>43698</v>
      </c>
      <c r="C1169" s="1" t="n">
        <v>45360</v>
      </c>
      <c r="D1169" t="inlineStr">
        <is>
          <t>ÖREBRO LÄN</t>
        </is>
      </c>
      <c r="E1169" t="inlineStr">
        <is>
          <t>HALLSBERG</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41348-2019</t>
        </is>
      </c>
      <c r="B1170" s="1" t="n">
        <v>43698</v>
      </c>
      <c r="C1170" s="1" t="n">
        <v>45360</v>
      </c>
      <c r="D1170" t="inlineStr">
        <is>
          <t>ÖREBRO LÄN</t>
        </is>
      </c>
      <c r="E1170" t="inlineStr">
        <is>
          <t>HALLSBERG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41063-2019</t>
        </is>
      </c>
      <c r="B1171" s="1" t="n">
        <v>43698</v>
      </c>
      <c r="C1171" s="1" t="n">
        <v>45360</v>
      </c>
      <c r="D1171" t="inlineStr">
        <is>
          <t>ÖREBRO LÄN</t>
        </is>
      </c>
      <c r="E1171" t="inlineStr">
        <is>
          <t>ÖREBRO</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41542-2019</t>
        </is>
      </c>
      <c r="B1172" s="1" t="n">
        <v>43699</v>
      </c>
      <c r="C1172" s="1" t="n">
        <v>45360</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41566-2019</t>
        </is>
      </c>
      <c r="B1173" s="1" t="n">
        <v>43699</v>
      </c>
      <c r="C1173" s="1" t="n">
        <v>45360</v>
      </c>
      <c r="D1173" t="inlineStr">
        <is>
          <t>ÖREBRO LÄN</t>
        </is>
      </c>
      <c r="E1173" t="inlineStr">
        <is>
          <t>LINDESBERG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41587-2019</t>
        </is>
      </c>
      <c r="B1174" s="1" t="n">
        <v>43699</v>
      </c>
      <c r="C1174" s="1" t="n">
        <v>45360</v>
      </c>
      <c r="D1174" t="inlineStr">
        <is>
          <t>ÖREBRO LÄN</t>
        </is>
      </c>
      <c r="E1174" t="inlineStr">
        <is>
          <t>LINDESBERG</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41592-2019</t>
        </is>
      </c>
      <c r="B1175" s="1" t="n">
        <v>43699</v>
      </c>
      <c r="C1175" s="1" t="n">
        <v>45360</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41864-2019</t>
        </is>
      </c>
      <c r="B1176" s="1" t="n">
        <v>43700</v>
      </c>
      <c r="C1176" s="1" t="n">
        <v>45360</v>
      </c>
      <c r="D1176" t="inlineStr">
        <is>
          <t>ÖREBRO LÄN</t>
        </is>
      </c>
      <c r="E1176" t="inlineStr">
        <is>
          <t>HALLSBERG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41857-2019</t>
        </is>
      </c>
      <c r="B1177" s="1" t="n">
        <v>43700</v>
      </c>
      <c r="C1177" s="1" t="n">
        <v>45360</v>
      </c>
      <c r="D1177" t="inlineStr">
        <is>
          <t>ÖREBRO LÄN</t>
        </is>
      </c>
      <c r="E1177" t="inlineStr">
        <is>
          <t>ASKERSUND</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42281-2019</t>
        </is>
      </c>
      <c r="B1178" s="1" t="n">
        <v>43703</v>
      </c>
      <c r="C1178" s="1" t="n">
        <v>45360</v>
      </c>
      <c r="D1178" t="inlineStr">
        <is>
          <t>ÖREBRO LÄN</t>
        </is>
      </c>
      <c r="E1178" t="inlineStr">
        <is>
          <t>HALLSBERG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42351-2019</t>
        </is>
      </c>
      <c r="B1179" s="1" t="n">
        <v>43703</v>
      </c>
      <c r="C1179" s="1" t="n">
        <v>45360</v>
      </c>
      <c r="D1179" t="inlineStr">
        <is>
          <t>ÖREBRO LÄN</t>
        </is>
      </c>
      <c r="E1179" t="inlineStr">
        <is>
          <t>LEKEBERG</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43828-2019</t>
        </is>
      </c>
      <c r="B1180" s="1" t="n">
        <v>43704</v>
      </c>
      <c r="C1180" s="1" t="n">
        <v>45360</v>
      </c>
      <c r="D1180" t="inlineStr">
        <is>
          <t>ÖREBRO LÄN</t>
        </is>
      </c>
      <c r="E1180" t="inlineStr">
        <is>
          <t>HALLSBERG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44039-2019</t>
        </is>
      </c>
      <c r="B1181" s="1" t="n">
        <v>43704</v>
      </c>
      <c r="C1181" s="1" t="n">
        <v>45360</v>
      </c>
      <c r="D1181" t="inlineStr">
        <is>
          <t>ÖREBRO LÄN</t>
        </is>
      </c>
      <c r="E1181" t="inlineStr">
        <is>
          <t>ÖREBRO</t>
        </is>
      </c>
      <c r="F1181" t="inlineStr">
        <is>
          <t>Kommuner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43692-2019</t>
        </is>
      </c>
      <c r="B1182" s="1" t="n">
        <v>43704</v>
      </c>
      <c r="C1182" s="1" t="n">
        <v>45360</v>
      </c>
      <c r="D1182" t="inlineStr">
        <is>
          <t>ÖREBRO LÄN</t>
        </is>
      </c>
      <c r="E1182" t="inlineStr">
        <is>
          <t>ÖREBRO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43642-2019</t>
        </is>
      </c>
      <c r="B1183" s="1" t="n">
        <v>43704</v>
      </c>
      <c r="C1183" s="1" t="n">
        <v>45360</v>
      </c>
      <c r="D1183" t="inlineStr">
        <is>
          <t>ÖREBRO LÄN</t>
        </is>
      </c>
      <c r="E1183" t="inlineStr">
        <is>
          <t>HALLSBERG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43646-2019</t>
        </is>
      </c>
      <c r="B1184" s="1" t="n">
        <v>43704</v>
      </c>
      <c r="C1184" s="1" t="n">
        <v>45360</v>
      </c>
      <c r="D1184" t="inlineStr">
        <is>
          <t>ÖREBRO LÄN</t>
        </is>
      </c>
      <c r="E1184" t="inlineStr">
        <is>
          <t>HALLSBERG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43822-2019</t>
        </is>
      </c>
      <c r="B1185" s="1" t="n">
        <v>43704</v>
      </c>
      <c r="C1185" s="1" t="n">
        <v>45360</v>
      </c>
      <c r="D1185" t="inlineStr">
        <is>
          <t>ÖREBRO LÄN</t>
        </is>
      </c>
      <c r="E1185" t="inlineStr">
        <is>
          <t>HALLSBERG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44034-2019</t>
        </is>
      </c>
      <c r="B1186" s="1" t="n">
        <v>43704</v>
      </c>
      <c r="C1186" s="1" t="n">
        <v>45360</v>
      </c>
      <c r="D1186" t="inlineStr">
        <is>
          <t>ÖREBRO LÄN</t>
        </is>
      </c>
      <c r="E1186" t="inlineStr">
        <is>
          <t>ÖREBRO</t>
        </is>
      </c>
      <c r="F1186" t="inlineStr">
        <is>
          <t>Kommuner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43851-2019</t>
        </is>
      </c>
      <c r="B1187" s="1" t="n">
        <v>43704</v>
      </c>
      <c r="C1187" s="1" t="n">
        <v>45360</v>
      </c>
      <c r="D1187" t="inlineStr">
        <is>
          <t>ÖREBRO LÄN</t>
        </is>
      </c>
      <c r="E1187" t="inlineStr">
        <is>
          <t>HALLSBERG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44152-2019</t>
        </is>
      </c>
      <c r="B1188" s="1" t="n">
        <v>43704</v>
      </c>
      <c r="C1188" s="1" t="n">
        <v>45360</v>
      </c>
      <c r="D1188" t="inlineStr">
        <is>
          <t>ÖREBRO LÄN</t>
        </is>
      </c>
      <c r="E1188" t="inlineStr">
        <is>
          <t>ÖREBRO</t>
        </is>
      </c>
      <c r="F1188" t="inlineStr">
        <is>
          <t>Kommuner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43632-2019</t>
        </is>
      </c>
      <c r="B1189" s="1" t="n">
        <v>43704</v>
      </c>
      <c r="C1189" s="1" t="n">
        <v>45360</v>
      </c>
      <c r="D1189" t="inlineStr">
        <is>
          <t>ÖREBRO LÄN</t>
        </is>
      </c>
      <c r="E1189" t="inlineStr">
        <is>
          <t>ÖREBRO</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43442-2019</t>
        </is>
      </c>
      <c r="B1190" s="1" t="n">
        <v>43704</v>
      </c>
      <c r="C1190" s="1" t="n">
        <v>45360</v>
      </c>
      <c r="D1190" t="inlineStr">
        <is>
          <t>ÖREBRO LÄN</t>
        </is>
      </c>
      <c r="E1190" t="inlineStr">
        <is>
          <t>LAXÅ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43007-2019</t>
        </is>
      </c>
      <c r="B1191" s="1" t="n">
        <v>43705</v>
      </c>
      <c r="C1191" s="1" t="n">
        <v>45360</v>
      </c>
      <c r="D1191" t="inlineStr">
        <is>
          <t>ÖREBRO LÄN</t>
        </is>
      </c>
      <c r="E1191" t="inlineStr">
        <is>
          <t>ÖREBRO</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43257-2019</t>
        </is>
      </c>
      <c r="B1192" s="1" t="n">
        <v>43706</v>
      </c>
      <c r="C1192" s="1" t="n">
        <v>45360</v>
      </c>
      <c r="D1192" t="inlineStr">
        <is>
          <t>ÖREBRO LÄN</t>
        </is>
      </c>
      <c r="E1192" t="inlineStr">
        <is>
          <t>ASKERSUND</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43266-2019</t>
        </is>
      </c>
      <c r="B1193" s="1" t="n">
        <v>43706</v>
      </c>
      <c r="C1193" s="1" t="n">
        <v>45360</v>
      </c>
      <c r="D1193" t="inlineStr">
        <is>
          <t>ÖREBRO LÄN</t>
        </is>
      </c>
      <c r="E1193" t="inlineStr">
        <is>
          <t>ASKERSUND</t>
        </is>
      </c>
      <c r="F1193" t="inlineStr">
        <is>
          <t>Sveaskog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43263-2019</t>
        </is>
      </c>
      <c r="B1194" s="1" t="n">
        <v>43706</v>
      </c>
      <c r="C1194" s="1" t="n">
        <v>45360</v>
      </c>
      <c r="D1194" t="inlineStr">
        <is>
          <t>ÖREBRO LÄN</t>
        </is>
      </c>
      <c r="E1194" t="inlineStr">
        <is>
          <t>ASKERSUND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43326-2019</t>
        </is>
      </c>
      <c r="B1195" s="1" t="n">
        <v>43706</v>
      </c>
      <c r="C1195" s="1" t="n">
        <v>45360</v>
      </c>
      <c r="D1195" t="inlineStr">
        <is>
          <t>ÖREBRO LÄN</t>
        </is>
      </c>
      <c r="E1195" t="inlineStr">
        <is>
          <t>ASKERSUND</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43342-2019</t>
        </is>
      </c>
      <c r="B1196" s="1" t="n">
        <v>43706</v>
      </c>
      <c r="C1196" s="1" t="n">
        <v>45360</v>
      </c>
      <c r="D1196" t="inlineStr">
        <is>
          <t>ÖREBRO LÄN</t>
        </is>
      </c>
      <c r="E1196" t="inlineStr">
        <is>
          <t>ASKERSUND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43420-2019</t>
        </is>
      </c>
      <c r="B1197" s="1" t="n">
        <v>43706</v>
      </c>
      <c r="C1197" s="1" t="n">
        <v>45360</v>
      </c>
      <c r="D1197" t="inlineStr">
        <is>
          <t>ÖREBRO LÄN</t>
        </is>
      </c>
      <c r="E1197" t="inlineStr">
        <is>
          <t>ASKERSUND</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43345-2019</t>
        </is>
      </c>
      <c r="B1198" s="1" t="n">
        <v>43706</v>
      </c>
      <c r="C1198" s="1" t="n">
        <v>45360</v>
      </c>
      <c r="D1198" t="inlineStr">
        <is>
          <t>ÖREBRO LÄN</t>
        </is>
      </c>
      <c r="E1198" t="inlineStr">
        <is>
          <t>ASKERSUND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43268-2019</t>
        </is>
      </c>
      <c r="B1199" s="1" t="n">
        <v>43706</v>
      </c>
      <c r="C1199" s="1" t="n">
        <v>45360</v>
      </c>
      <c r="D1199" t="inlineStr">
        <is>
          <t>ÖREBRO LÄN</t>
        </is>
      </c>
      <c r="E1199" t="inlineStr">
        <is>
          <t>ASKERSUND</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43303-2019</t>
        </is>
      </c>
      <c r="B1200" s="1" t="n">
        <v>43706</v>
      </c>
      <c r="C1200" s="1" t="n">
        <v>45360</v>
      </c>
      <c r="D1200" t="inlineStr">
        <is>
          <t>ÖREBRO LÄN</t>
        </is>
      </c>
      <c r="E1200" t="inlineStr">
        <is>
          <t>ASKERSUND</t>
        </is>
      </c>
      <c r="F1200" t="inlineStr">
        <is>
          <t>Övriga Aktiebolag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43514-2019</t>
        </is>
      </c>
      <c r="B1201" s="1" t="n">
        <v>43706</v>
      </c>
      <c r="C1201" s="1" t="n">
        <v>45360</v>
      </c>
      <c r="D1201" t="inlineStr">
        <is>
          <t>ÖREBRO LÄN</t>
        </is>
      </c>
      <c r="E1201" t="inlineStr">
        <is>
          <t>HÄLLEFORS</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43762-2019</t>
        </is>
      </c>
      <c r="B1202" s="1" t="n">
        <v>43706</v>
      </c>
      <c r="C1202" s="1" t="n">
        <v>45360</v>
      </c>
      <c r="D1202" t="inlineStr">
        <is>
          <t>ÖREBRO LÄN</t>
        </is>
      </c>
      <c r="E1202" t="inlineStr">
        <is>
          <t>DEGERFORS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43338-2019</t>
        </is>
      </c>
      <c r="B1203" s="1" t="n">
        <v>43706</v>
      </c>
      <c r="C1203" s="1" t="n">
        <v>45360</v>
      </c>
      <c r="D1203" t="inlineStr">
        <is>
          <t>ÖREBRO LÄN</t>
        </is>
      </c>
      <c r="E1203" t="inlineStr">
        <is>
          <t>ASKERSUND</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43316-2019</t>
        </is>
      </c>
      <c r="B1204" s="1" t="n">
        <v>43706</v>
      </c>
      <c r="C1204" s="1" t="n">
        <v>45360</v>
      </c>
      <c r="D1204" t="inlineStr">
        <is>
          <t>ÖREBRO LÄN</t>
        </is>
      </c>
      <c r="E1204" t="inlineStr">
        <is>
          <t>ASKERSUND</t>
        </is>
      </c>
      <c r="F1204" t="inlineStr">
        <is>
          <t>Övriga Aktiebolag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43820-2019</t>
        </is>
      </c>
      <c r="B1205" s="1" t="n">
        <v>43707</v>
      </c>
      <c r="C1205" s="1" t="n">
        <v>45360</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43870-2019</t>
        </is>
      </c>
      <c r="B1206" s="1" t="n">
        <v>43707</v>
      </c>
      <c r="C1206" s="1" t="n">
        <v>45360</v>
      </c>
      <c r="D1206" t="inlineStr">
        <is>
          <t>ÖREBRO LÄN</t>
        </is>
      </c>
      <c r="E1206" t="inlineStr">
        <is>
          <t>LJUSNARSBERG</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44018-2019</t>
        </is>
      </c>
      <c r="B1207" s="1" t="n">
        <v>43710</v>
      </c>
      <c r="C1207" s="1" t="n">
        <v>45360</v>
      </c>
      <c r="D1207" t="inlineStr">
        <is>
          <t>ÖREBRO LÄN</t>
        </is>
      </c>
      <c r="E1207" t="inlineStr">
        <is>
          <t>LINDESBERG</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44153-2019</t>
        </is>
      </c>
      <c r="B1208" s="1" t="n">
        <v>43710</v>
      </c>
      <c r="C1208" s="1" t="n">
        <v>45360</v>
      </c>
      <c r="D1208" t="inlineStr">
        <is>
          <t>ÖREBRO LÄN</t>
        </is>
      </c>
      <c r="E1208" t="inlineStr">
        <is>
          <t>ÖREBRO</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44280-2019</t>
        </is>
      </c>
      <c r="B1209" s="1" t="n">
        <v>43710</v>
      </c>
      <c r="C1209" s="1" t="n">
        <v>45360</v>
      </c>
      <c r="D1209" t="inlineStr">
        <is>
          <t>ÖREBRO LÄN</t>
        </is>
      </c>
      <c r="E1209" t="inlineStr">
        <is>
          <t>ÖREBRO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44277-2019</t>
        </is>
      </c>
      <c r="B1210" s="1" t="n">
        <v>43710</v>
      </c>
      <c r="C1210" s="1" t="n">
        <v>45360</v>
      </c>
      <c r="D1210" t="inlineStr">
        <is>
          <t>ÖREBRO LÄN</t>
        </is>
      </c>
      <c r="E1210" t="inlineStr">
        <is>
          <t>ÖREBRO</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45309-2019</t>
        </is>
      </c>
      <c r="B1211" s="1" t="n">
        <v>43710</v>
      </c>
      <c r="C1211" s="1" t="n">
        <v>45360</v>
      </c>
      <c r="D1211" t="inlineStr">
        <is>
          <t>ÖREBRO LÄN</t>
        </is>
      </c>
      <c r="E1211" t="inlineStr">
        <is>
          <t>ÖREBRO</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44278-2019</t>
        </is>
      </c>
      <c r="B1212" s="1" t="n">
        <v>43710</v>
      </c>
      <c r="C1212" s="1" t="n">
        <v>45360</v>
      </c>
      <c r="D1212" t="inlineStr">
        <is>
          <t>ÖREBRO LÄN</t>
        </is>
      </c>
      <c r="E1212" t="inlineStr">
        <is>
          <t>ÖREBRO</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45311-2019</t>
        </is>
      </c>
      <c r="B1213" s="1" t="n">
        <v>43710</v>
      </c>
      <c r="C1213" s="1" t="n">
        <v>45360</v>
      </c>
      <c r="D1213" t="inlineStr">
        <is>
          <t>ÖREBRO LÄN</t>
        </is>
      </c>
      <c r="E1213" t="inlineStr">
        <is>
          <t>ÖREBRO</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44431-2019</t>
        </is>
      </c>
      <c r="B1214" s="1" t="n">
        <v>43711</v>
      </c>
      <c r="C1214" s="1" t="n">
        <v>45360</v>
      </c>
      <c r="D1214" t="inlineStr">
        <is>
          <t>ÖREBRO LÄN</t>
        </is>
      </c>
      <c r="E1214" t="inlineStr">
        <is>
          <t>ASKERSUND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44598-2019</t>
        </is>
      </c>
      <c r="B1215" s="1" t="n">
        <v>43711</v>
      </c>
      <c r="C1215" s="1" t="n">
        <v>45360</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44538-2019</t>
        </is>
      </c>
      <c r="B1216" s="1" t="n">
        <v>43711</v>
      </c>
      <c r="C1216" s="1" t="n">
        <v>45360</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44655-2019</t>
        </is>
      </c>
      <c r="B1217" s="1" t="n">
        <v>43712</v>
      </c>
      <c r="C1217" s="1" t="n">
        <v>45360</v>
      </c>
      <c r="D1217" t="inlineStr">
        <is>
          <t>ÖREBRO LÄN</t>
        </is>
      </c>
      <c r="E1217" t="inlineStr">
        <is>
          <t>ASKERSUND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45768-2019</t>
        </is>
      </c>
      <c r="B1218" s="1" t="n">
        <v>43712</v>
      </c>
      <c r="C1218" s="1" t="n">
        <v>45360</v>
      </c>
      <c r="D1218" t="inlineStr">
        <is>
          <t>ÖREBRO LÄN</t>
        </is>
      </c>
      <c r="E1218" t="inlineStr">
        <is>
          <t>HÄLLEFORS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44836-2019</t>
        </is>
      </c>
      <c r="B1219" s="1" t="n">
        <v>43712</v>
      </c>
      <c r="C1219" s="1" t="n">
        <v>45360</v>
      </c>
      <c r="D1219" t="inlineStr">
        <is>
          <t>ÖREBRO LÄN</t>
        </is>
      </c>
      <c r="E1219" t="inlineStr">
        <is>
          <t>KARLSKOGA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44948-2019</t>
        </is>
      </c>
      <c r="B1220" s="1" t="n">
        <v>43713</v>
      </c>
      <c r="C1220" s="1" t="n">
        <v>45360</v>
      </c>
      <c r="D1220" t="inlineStr">
        <is>
          <t>ÖREBRO LÄN</t>
        </is>
      </c>
      <c r="E1220" t="inlineStr">
        <is>
          <t>ÖREBRO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45109-2019</t>
        </is>
      </c>
      <c r="B1221" s="1" t="n">
        <v>43713</v>
      </c>
      <c r="C1221" s="1" t="n">
        <v>45360</v>
      </c>
      <c r="D1221" t="inlineStr">
        <is>
          <t>ÖREBRO LÄN</t>
        </is>
      </c>
      <c r="E1221" t="inlineStr">
        <is>
          <t>LINDESBERG</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45240-2019</t>
        </is>
      </c>
      <c r="B1222" s="1" t="n">
        <v>43713</v>
      </c>
      <c r="C1222" s="1" t="n">
        <v>45360</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45236-2019</t>
        </is>
      </c>
      <c r="B1223" s="1" t="n">
        <v>43713</v>
      </c>
      <c r="C1223" s="1" t="n">
        <v>45360</v>
      </c>
      <c r="D1223" t="inlineStr">
        <is>
          <t>ÖREBRO LÄN</t>
        </is>
      </c>
      <c r="E1223" t="inlineStr">
        <is>
          <t>LINDESBERG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45418-2019</t>
        </is>
      </c>
      <c r="B1224" s="1" t="n">
        <v>43714</v>
      </c>
      <c r="C1224" s="1" t="n">
        <v>45360</v>
      </c>
      <c r="D1224" t="inlineStr">
        <is>
          <t>ÖREBRO LÄN</t>
        </is>
      </c>
      <c r="E1224" t="inlineStr">
        <is>
          <t>ÖREBRO</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45420-2019</t>
        </is>
      </c>
      <c r="B1225" s="1" t="n">
        <v>43714</v>
      </c>
      <c r="C1225" s="1" t="n">
        <v>45360</v>
      </c>
      <c r="D1225" t="inlineStr">
        <is>
          <t>ÖREBRO LÄN</t>
        </is>
      </c>
      <c r="E1225" t="inlineStr">
        <is>
          <t>ÖREBRO</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45686-2019</t>
        </is>
      </c>
      <c r="B1226" s="1" t="n">
        <v>43714</v>
      </c>
      <c r="C1226" s="1" t="n">
        <v>45360</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45669-2019</t>
        </is>
      </c>
      <c r="B1227" s="1" t="n">
        <v>43717</v>
      </c>
      <c r="C1227" s="1" t="n">
        <v>45360</v>
      </c>
      <c r="D1227" t="inlineStr">
        <is>
          <t>ÖREBRO LÄN</t>
        </is>
      </c>
      <c r="E1227" t="inlineStr">
        <is>
          <t>DEGERFORS</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45689-2019</t>
        </is>
      </c>
      <c r="B1228" s="1" t="n">
        <v>43717</v>
      </c>
      <c r="C1228" s="1" t="n">
        <v>45360</v>
      </c>
      <c r="D1228" t="inlineStr">
        <is>
          <t>ÖREBRO LÄN</t>
        </is>
      </c>
      <c r="E1228" t="inlineStr">
        <is>
          <t>DEGERFORS</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45688-2019</t>
        </is>
      </c>
      <c r="B1229" s="1" t="n">
        <v>43717</v>
      </c>
      <c r="C1229" s="1" t="n">
        <v>45360</v>
      </c>
      <c r="D1229" t="inlineStr">
        <is>
          <t>ÖREBRO LÄN</t>
        </is>
      </c>
      <c r="E1229" t="inlineStr">
        <is>
          <t>DEGERFORS</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45718-2019</t>
        </is>
      </c>
      <c r="B1230" s="1" t="n">
        <v>43717</v>
      </c>
      <c r="C1230" s="1" t="n">
        <v>45360</v>
      </c>
      <c r="D1230" t="inlineStr">
        <is>
          <t>ÖREBRO LÄN</t>
        </is>
      </c>
      <c r="E1230" t="inlineStr">
        <is>
          <t>DEGERFORS</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45706-2019</t>
        </is>
      </c>
      <c r="B1231" s="1" t="n">
        <v>43717</v>
      </c>
      <c r="C1231" s="1" t="n">
        <v>45360</v>
      </c>
      <c r="D1231" t="inlineStr">
        <is>
          <t>ÖREBRO LÄN</t>
        </is>
      </c>
      <c r="E1231" t="inlineStr">
        <is>
          <t>DEGERFORS</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45813-2019</t>
        </is>
      </c>
      <c r="B1232" s="1" t="n">
        <v>43717</v>
      </c>
      <c r="C1232" s="1" t="n">
        <v>45360</v>
      </c>
      <c r="D1232" t="inlineStr">
        <is>
          <t>ÖREBRO LÄN</t>
        </is>
      </c>
      <c r="E1232" t="inlineStr">
        <is>
          <t>LJUSNARSBERG</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45909-2019</t>
        </is>
      </c>
      <c r="B1233" s="1" t="n">
        <v>43717</v>
      </c>
      <c r="C1233" s="1" t="n">
        <v>45360</v>
      </c>
      <c r="D1233" t="inlineStr">
        <is>
          <t>ÖREBRO LÄN</t>
        </is>
      </c>
      <c r="E1233" t="inlineStr">
        <is>
          <t>NORA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45777-2019</t>
        </is>
      </c>
      <c r="B1234" s="1" t="n">
        <v>43717</v>
      </c>
      <c r="C1234" s="1" t="n">
        <v>45360</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46304-2019</t>
        </is>
      </c>
      <c r="B1235" s="1" t="n">
        <v>43718</v>
      </c>
      <c r="C1235" s="1" t="n">
        <v>45360</v>
      </c>
      <c r="D1235" t="inlineStr">
        <is>
          <t>ÖREBRO LÄN</t>
        </is>
      </c>
      <c r="E1235" t="inlineStr">
        <is>
          <t>LINDESBERG</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46313-2019</t>
        </is>
      </c>
      <c r="B1236" s="1" t="n">
        <v>43718</v>
      </c>
      <c r="C1236" s="1" t="n">
        <v>45360</v>
      </c>
      <c r="D1236" t="inlineStr">
        <is>
          <t>ÖREBRO LÄN</t>
        </is>
      </c>
      <c r="E1236" t="inlineStr">
        <is>
          <t>LINDESBERG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46899-2019</t>
        </is>
      </c>
      <c r="B1237" s="1" t="n">
        <v>43719</v>
      </c>
      <c r="C1237" s="1" t="n">
        <v>45360</v>
      </c>
      <c r="D1237" t="inlineStr">
        <is>
          <t>ÖREBRO LÄN</t>
        </is>
      </c>
      <c r="E1237" t="inlineStr">
        <is>
          <t>LJUSNARSBERG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46889-2019</t>
        </is>
      </c>
      <c r="B1238" s="1" t="n">
        <v>43719</v>
      </c>
      <c r="C1238" s="1" t="n">
        <v>45360</v>
      </c>
      <c r="D1238" t="inlineStr">
        <is>
          <t>ÖREBRO LÄN</t>
        </is>
      </c>
      <c r="E1238" t="inlineStr">
        <is>
          <t>LINDESBERG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46552-2019</t>
        </is>
      </c>
      <c r="B1239" s="1" t="n">
        <v>43719</v>
      </c>
      <c r="C1239" s="1" t="n">
        <v>45360</v>
      </c>
      <c r="D1239" t="inlineStr">
        <is>
          <t>ÖREBRO LÄN</t>
        </is>
      </c>
      <c r="E1239" t="inlineStr">
        <is>
          <t>ÖREBRO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46900-2019</t>
        </is>
      </c>
      <c r="B1240" s="1" t="n">
        <v>43719</v>
      </c>
      <c r="C1240" s="1" t="n">
        <v>45360</v>
      </c>
      <c r="D1240" t="inlineStr">
        <is>
          <t>ÖREBRO LÄN</t>
        </is>
      </c>
      <c r="E1240" t="inlineStr">
        <is>
          <t>ÖREBRO</t>
        </is>
      </c>
      <c r="F1240" t="inlineStr">
        <is>
          <t>Kommuner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46932-2019</t>
        </is>
      </c>
      <c r="B1241" s="1" t="n">
        <v>43720</v>
      </c>
      <c r="C1241" s="1" t="n">
        <v>45360</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47064-2019</t>
        </is>
      </c>
      <c r="B1242" s="1" t="n">
        <v>43720</v>
      </c>
      <c r="C1242" s="1" t="n">
        <v>45360</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47059-2019</t>
        </is>
      </c>
      <c r="B1243" s="1" t="n">
        <v>43720</v>
      </c>
      <c r="C1243" s="1" t="n">
        <v>45360</v>
      </c>
      <c r="D1243" t="inlineStr">
        <is>
          <t>ÖREBRO LÄN</t>
        </is>
      </c>
      <c r="E1243" t="inlineStr">
        <is>
          <t>LINDESBERG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47219-2019</t>
        </is>
      </c>
      <c r="B1244" s="1" t="n">
        <v>43721</v>
      </c>
      <c r="C1244" s="1" t="n">
        <v>45360</v>
      </c>
      <c r="D1244" t="inlineStr">
        <is>
          <t>ÖREBRO LÄN</t>
        </is>
      </c>
      <c r="E1244" t="inlineStr">
        <is>
          <t>HÄLLEFORS</t>
        </is>
      </c>
      <c r="F1244" t="inlineStr">
        <is>
          <t>Bergvik skog väst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47175-2019</t>
        </is>
      </c>
      <c r="B1245" s="1" t="n">
        <v>43721</v>
      </c>
      <c r="C1245" s="1" t="n">
        <v>45360</v>
      </c>
      <c r="D1245" t="inlineStr">
        <is>
          <t>ÖREBRO LÄN</t>
        </is>
      </c>
      <c r="E1245" t="inlineStr">
        <is>
          <t>HÄLLEFORS</t>
        </is>
      </c>
      <c r="F1245" t="inlineStr">
        <is>
          <t>Sveaskog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47418-2019</t>
        </is>
      </c>
      <c r="B1246" s="1" t="n">
        <v>43723</v>
      </c>
      <c r="C1246" s="1" t="n">
        <v>45360</v>
      </c>
      <c r="D1246" t="inlineStr">
        <is>
          <t>ÖREBRO LÄN</t>
        </is>
      </c>
      <c r="E1246" t="inlineStr">
        <is>
          <t>LINDESBERG</t>
        </is>
      </c>
      <c r="F1246" t="inlineStr">
        <is>
          <t>Kyrkan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47786-2019</t>
        </is>
      </c>
      <c r="B1247" s="1" t="n">
        <v>43724</v>
      </c>
      <c r="C1247" s="1" t="n">
        <v>45360</v>
      </c>
      <c r="D1247" t="inlineStr">
        <is>
          <t>ÖREBRO LÄN</t>
        </is>
      </c>
      <c r="E1247" t="inlineStr">
        <is>
          <t>ASKERSUND</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47880-2019</t>
        </is>
      </c>
      <c r="B1248" s="1" t="n">
        <v>43725</v>
      </c>
      <c r="C1248" s="1" t="n">
        <v>45360</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47884-2019</t>
        </is>
      </c>
      <c r="B1249" s="1" t="n">
        <v>43725</v>
      </c>
      <c r="C1249" s="1" t="n">
        <v>45360</v>
      </c>
      <c r="D1249" t="inlineStr">
        <is>
          <t>ÖREBRO LÄN</t>
        </is>
      </c>
      <c r="E1249" t="inlineStr">
        <is>
          <t>HALLSBERG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48050-2019</t>
        </is>
      </c>
      <c r="B1250" s="1" t="n">
        <v>43725</v>
      </c>
      <c r="C1250" s="1" t="n">
        <v>45360</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48048-2019</t>
        </is>
      </c>
      <c r="B1251" s="1" t="n">
        <v>43725</v>
      </c>
      <c r="C1251" s="1" t="n">
        <v>45360</v>
      </c>
      <c r="D1251" t="inlineStr">
        <is>
          <t>ÖREBRO LÄN</t>
        </is>
      </c>
      <c r="E1251" t="inlineStr">
        <is>
          <t>LINDESBERG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48224-2019</t>
        </is>
      </c>
      <c r="B1252" s="1" t="n">
        <v>43726</v>
      </c>
      <c r="C1252" s="1" t="n">
        <v>45360</v>
      </c>
      <c r="D1252" t="inlineStr">
        <is>
          <t>ÖREBRO LÄN</t>
        </is>
      </c>
      <c r="E1252" t="inlineStr">
        <is>
          <t>HÄLLEFORS</t>
        </is>
      </c>
      <c r="F1252" t="inlineStr">
        <is>
          <t>Bergvik skog väst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48206-2019</t>
        </is>
      </c>
      <c r="B1253" s="1" t="n">
        <v>43726</v>
      </c>
      <c r="C1253" s="1" t="n">
        <v>45360</v>
      </c>
      <c r="D1253" t="inlineStr">
        <is>
          <t>ÖREBRO LÄN</t>
        </is>
      </c>
      <c r="E1253" t="inlineStr">
        <is>
          <t>HÄLLEFORS</t>
        </is>
      </c>
      <c r="F1253" t="inlineStr">
        <is>
          <t>Bergvik skog väst AB</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45360</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45360</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45360</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45360</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45360</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45360</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45360</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45360</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45360</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45360</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45360</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45360</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45360</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45360</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45360</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45360</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45360</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45360</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45360</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45360</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45360</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45360</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45360</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45360</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45360</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45360</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45360</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45360</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45360</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45360</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45360</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45360</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45360</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45360</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45360</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45360</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45360</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45360</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45360</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45360</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45360</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45360</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45360</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45360</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45360</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45360</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45360</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45360</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45360</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45360</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45360</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45360</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45360</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45360</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45360</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45360</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45360</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45360</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45360</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45360</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45360</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45360</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45360</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45360</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45360</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45360</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45360</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45360</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45360</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45360</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45360</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45360</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45360</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45360</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45360</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45360</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45360</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45360</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45360</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45360</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45360</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45360</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45360</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45360</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45360</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45360</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45360</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45360</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45360</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45360</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45360</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45360</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45360</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45360</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45360</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45360</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45360</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45360</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45360</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45360</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45360</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45360</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45360</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45360</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45360</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45360</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45360</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45360</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45360</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45360</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45360</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45360</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45360</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45360</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45360</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45360</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45360</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45360</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45360</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45360</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45360</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45360</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45360</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45360</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45360</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45360</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45360</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45360</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45360</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45360</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45360</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45360</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45360</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45360</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45360</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45360</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45360</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45360</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45360</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45360</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45360</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45360</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45360</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45360</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45360</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45360</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45360</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45360</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45360</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45360</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45360</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45360</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45360</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45360</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45360</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45360</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45360</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45360</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45360</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45360</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45360</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45360</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45360</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45360</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45360</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45360</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45360</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45360</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45360</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45360</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45360</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45360</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45360</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45360</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45360</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45360</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45360</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45360</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45360</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45360</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45360</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45360</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45360</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45360</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45360</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45360</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45360</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45360</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45360</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45360</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45360</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45360</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45360</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45360</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45360</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45360</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45360</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45360</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45360</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45360</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45360</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45360</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45360</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45360</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45360</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45360</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45360</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45360</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45360</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45360</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45360</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45360</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45360</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45360</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45360</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45360</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45360</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45360</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45360</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45360</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45360</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45360</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45360</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45360</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45360</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45360</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45360</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45360</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45360</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45360</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45360</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45360</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45360</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45360</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45360</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45360</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45360</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45360</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45360</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45360</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45360</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45360</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45360</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45360</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45360</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45360</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45360</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45360</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45360</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45360</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45360</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45360</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45360</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45360</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45360</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45360</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45360</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45360</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45360</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45360</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45360</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45360</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45360</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45360</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45360</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45360</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45360</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45360</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45360</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45360</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45360</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45360</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45360</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45360</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45360</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45360</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45360</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45360</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45360</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45360</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45360</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45360</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45360</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45360</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45360</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45360</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45360</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45360</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45360</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45360</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45360</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45360</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45360</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45360</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45360</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45360</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45360</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45360</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45360</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45360</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45360</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45360</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45360</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45360</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45360</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45360</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45360</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45360</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45360</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45360</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45360</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45360</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45360</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45360</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45360</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45360</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45360</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45360</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45360</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45360</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45360</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45360</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45360</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45360</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45360</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45360</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45360</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45360</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45360</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45360</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45360</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45360</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45360</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45360</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45360</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45360</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45360</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45360</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45360</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45360</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45360</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45360</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45360</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45360</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45360</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45360</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45360</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45360</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45360</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45360</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45360</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45360</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45360</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45360</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45360</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45360</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45360</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45360</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45360</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45360</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45360</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45360</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45360</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45360</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45360</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45360</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45360</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45360</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45360</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45360</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45360</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45360</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45360</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45360</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45360</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45360</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45360</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45360</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45360</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45360</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45360</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45360</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45360</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45360</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45360</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45360</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45360</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45360</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45360</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45360</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45360</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45360</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45360</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45360</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45360</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45360</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45360</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45360</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45360</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45360</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45360</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45360</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45360</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45360</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45360</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45360</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45360</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45360</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45360</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45360</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45360</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45360</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45360</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45360</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45360</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45360</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45360</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45360</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45360</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45360</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45360</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45360</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45360</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45360</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45360</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45360</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45360</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45360</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45360</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45360</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45360</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45360</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45360</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45360</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45360</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45360</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45360</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45360</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45360</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45360</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45360</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45360</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45360</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45360</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45360</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45360</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45360</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45360</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45360</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45360</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45360</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45360</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45360</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45360</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45360</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45360</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45360</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45360</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45360</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45360</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45360</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45360</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45360</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45360</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45360</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45360</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45360</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45360</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45360</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45360</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45360</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45360</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45360</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45360</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45360</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45360</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45360</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45360</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45360</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45360</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45360</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45360</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45360</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45360</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45360</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45360</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45360</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45360</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45360</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45360</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45360</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45360</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45360</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45360</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45360</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45360</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45360</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45360</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45360</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45360</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45360</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45360</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45360</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45360</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45360</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45360</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45360</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45360</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45360</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45360</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45360</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45360</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45360</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45360</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45360</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45360</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45360</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45360</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45360</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45360</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45360</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45360</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45360</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45360</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45360</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45360</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45360</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45360</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45360</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45360</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45360</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45360</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45360</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45360</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45360</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45360</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45360</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45360</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45360</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45360</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45360</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45360</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45360</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45360</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45360</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45360</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45360</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45360</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45360</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45360</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45360</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45360</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45360</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45360</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45360</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45360</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45360</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45360</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45360</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45360</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45360</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45360</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45360</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45360</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45360</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45360</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45360</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45360</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45360</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45360</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45360</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45360</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45360</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45360</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45360</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45360</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45360</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45360</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45360</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45360</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45360</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45360</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45360</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45360</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45360</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45360</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45360</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45360</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45360</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45360</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45360</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45360</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45360</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45360</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45360</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45360</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45360</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45360</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45360</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45360</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45360</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45360</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45360</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45360</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45360</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45360</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45360</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45360</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45360</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45360</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45360</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45360</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45360</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45360</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45360</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45360</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45360</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45360</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45360</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45360</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45360</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45360</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45360</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45360</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45360</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45360</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45360</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45360</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45360</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45360</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45360</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45360</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45360</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45360</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45360</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45360</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45360</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45360</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45360</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45360</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45360</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45360</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45360</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45360</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45360</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45360</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45360</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45360</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45360</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45360</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45360</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45360</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45360</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45360</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45360</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45360</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45360</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45360</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45360</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45360</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45360</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45360</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45360</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45360</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45360</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45360</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45360</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45360</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45360</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45360</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45360</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45360</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45360</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45360</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45360</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45360</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45360</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45360</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45360</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45360</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45360</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45360</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45360</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45360</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45360</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45360</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45360</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45360</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45360</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45360</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45360</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45360</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45360</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45360</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45360</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45360</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45360</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45360</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45360</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45360</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45360</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45360</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45360</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45360</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45360</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45360</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45360</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45360</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45360</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45360</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45360</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45360</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45360</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45360</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45360</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45360</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45360</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45360</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45360</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45360</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45360</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45360</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45360</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45360</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45360</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45360</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45360</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45360</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45360</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45360</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45360</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45360</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45360</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45360</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45360</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45360</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45360</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45360</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45360</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45360</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45360</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45360</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45360</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45360</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45360</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45360</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45360</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45360</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45360</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45360</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45360</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45360</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45360</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45360</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45360</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45360</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45360</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45360</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45360</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45360</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45360</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45360</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45360</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45360</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45360</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45360</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45360</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45360</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45360</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45360</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45360</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45360</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45360</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45360</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45360</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45360</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45360</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45360</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45360</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45360</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45360</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45360</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45360</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45360</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45360</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45360</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45360</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45360</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45360</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45360</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45360</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45360</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45360</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45360</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45360</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45360</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45360</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45360</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45360</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45360</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45360</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45360</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45360</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45360</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45360</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45360</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45360</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45360</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45360</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45360</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45360</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45360</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45360</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45360</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45360</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45360</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45360</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45360</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45360</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45360</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45360</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45360</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45360</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45360</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45360</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45360</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45360</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45360</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45360</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45360</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45360</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45360</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45360</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45360</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45360</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45360</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45360</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45360</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45360</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45360</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45360</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45360</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45360</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45360</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45360</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45360</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45360</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45360</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45360</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45360</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45360</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45360</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45360</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45360</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45360</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45360</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45360</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45360</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45360</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45360</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45360</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45360</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45360</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45360</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45360</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45360</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45360</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45360</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45360</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45360</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45360</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45360</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45360</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45360</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45360</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45360</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45360</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45360</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45360</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45360</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45360</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45360</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45360</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45360</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45360</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45360</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45360</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45360</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45360</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45360</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45360</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45360</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45360</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45360</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45360</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45360</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45360</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45360</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45360</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45360</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45360</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45360</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45360</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45360</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45360</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45360</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45360</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45360</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45360</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45360</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45360</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45360</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45360</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45360</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45360</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45360</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45360</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45360</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45360</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45360</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45360</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45360</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45360</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45360</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45360</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45360</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45360</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45360</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45360</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45360</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45360</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45360</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45360</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45360</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45360</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45360</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45360</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45360</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45360</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45360</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45360</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45360</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45360</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45360</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45360</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45360</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45360</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45360</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45360</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45360</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45360</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45360</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45360</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45360</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45360</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45360</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45360</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45360</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45360</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45360</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45360</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45360</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45360</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45360</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45360</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45360</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45360</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45360</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45360</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45360</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45360</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45360</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45360</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45360</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45360</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45360</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45360</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45360</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45360</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45360</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45360</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45360</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45360</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45360</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45360</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45360</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45360</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45360</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45360</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45360</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45360</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45360</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45360</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45360</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45360</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45360</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45360</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45360</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45360</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45360</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45360</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45360</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45360</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45360</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45360</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45360</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45360</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45360</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45360</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45360</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45360</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45360</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45360</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45360</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45360</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45360</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45360</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45360</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45360</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45360</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45360</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45360</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45360</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45360</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45360</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45360</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45360</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45360</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45360</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45360</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45360</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45360</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45360</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45360</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45360</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45360</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45360</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45360</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45360</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45360</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45360</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45360</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45360</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45360</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45360</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45360</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45360</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45360</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45360</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45360</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45360</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45360</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45360</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45360</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45360</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45360</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45360</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45360</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45360</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45360</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45360</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45360</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45360</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45360</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45360</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45360</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45360</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45360</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45360</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45360</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45360</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45360</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45360</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45360</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45360</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45360</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45360</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45360</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45360</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45360</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45360</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45360</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45360</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45360</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45360</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45360</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45360</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45360</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45360</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45360</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45360</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45360</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45360</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45360</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45360</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45360</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45360</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45360</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45360</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45360</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45360</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45360</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45360</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45360</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45360</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45360</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45360</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45360</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45360</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45360</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45360</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45360</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45360</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45360</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45360</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45360</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45360</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45360</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45360</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45360</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45360</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45360</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45360</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45360</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45360</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45360</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45360</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45360</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45360</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45360</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45360</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45360</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45360</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45360</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45360</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45360</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45360</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45360</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45360</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45360</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45360</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45360</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45360</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45360</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45360</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45360</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45360</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45360</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45360</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45360</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45360</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45360</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45360</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45360</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45360</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45360</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45360</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45360</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45360</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45360</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45360</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45360</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45360</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45360</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45360</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45360</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45360</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45360</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45360</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45360</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45360</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45360</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45360</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45360</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45360</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45360</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45360</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45360</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45360</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45360</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45360</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45360</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45360</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45360</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45360</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45360</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45360</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45360</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45360</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45360</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45360</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45360</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45360</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45360</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45360</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45360</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45360</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45360</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45360</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45360</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45360</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45360</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45360</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45360</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45360</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45360</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45360</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45360</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45360</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45360</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45360</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45360</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45360</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45360</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45360</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45360</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45360</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45360</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45360</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45360</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45360</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45360</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45360</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45360</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45360</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45360</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45360</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45360</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45360</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45360</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45360</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45360</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45360</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45360</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45360</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45360</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45360</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45360</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45360</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45360</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45360</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45360</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45360</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45360</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45360</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45360</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45360</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45360</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45360</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45360</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45360</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45360</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45360</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45360</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45360</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45360</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45360</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45360</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45360</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45360</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45360</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45360</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45360</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45360</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45360</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45360</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45360</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45360</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45360</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45360</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45360</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45360</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45360</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45360</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45360</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45360</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45360</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45360</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45360</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45360</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45360</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45360</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45360</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45360</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45360</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45360</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45360</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45360</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45360</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45360</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45360</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45360</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45360</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45360</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45360</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45360</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45360</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45360</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45360</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45360</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45360</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45360</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45360</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45360</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45360</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45360</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45360</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45360</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45360</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45360</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45360</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45360</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45360</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45360</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45360</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45360</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45360</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45360</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45360</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45360</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45360</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45360</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45360</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45360</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45360</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45360</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45360</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45360</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45360</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45360</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45360</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45360</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45360</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45360</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45360</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45360</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45360</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45360</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45360</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45360</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45360</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45360</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45360</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45360</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45360</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45360</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45360</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45360</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45360</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45360</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45360</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45360</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45360</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45360</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45360</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45360</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45360</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45360</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45360</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45360</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45360</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45360</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45360</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45360</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45360</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45360</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45360</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45360</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45360</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45360</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45360</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45360</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45360</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45360</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45360</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45360</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45360</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45360</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45360</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45360</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45360</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45360</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45360</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45360</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45360</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45360</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45360</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45360</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45360</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45360</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45360</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45360</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45360</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45360</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45360</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45360</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45360</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45360</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45360</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45360</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45360</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45360</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45360</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45360</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45360</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45360</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45360</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45360</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45360</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45360</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45360</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45360</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45360</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45360</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45360</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45360</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45360</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45360</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45360</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45360</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45360</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45360</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45360</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45360</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45360</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45360</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45360</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45360</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45360</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45360</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45360</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45360</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45360</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45360</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45360</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45360</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45360</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45360</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45360</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45360</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45360</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45360</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45360</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45360</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45360</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45360</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45360</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45360</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45360</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45360</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45360</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45360</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45360</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45360</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45360</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45360</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45360</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45360</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45360</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45360</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45360</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45360</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45360</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45360</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45360</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45360</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45360</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45360</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45360</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45360</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45360</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45360</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45360</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45360</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45360</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45360</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45360</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45360</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45360</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45360</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45360</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45360</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45360</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45360</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45360</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45360</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45360</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45360</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45360</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45360</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45360</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45360</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45360</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45360</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45360</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45360</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45360</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45360</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45360</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45360</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45360</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45360</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45360</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45360</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45360</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45360</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45360</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45360</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45360</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45360</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45360</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45360</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45360</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45360</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45360</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45360</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45360</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45360</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45360</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45360</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45360</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45360</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45360</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45360</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45360</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45360</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45360</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45360</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45360</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45360</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45360</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45360</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45360</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45360</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45360</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45360</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45360</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45360</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45360</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45360</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45360</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45360</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45360</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45360</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45360</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45360</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45360</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45360</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45360</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45360</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45360</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45360</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45360</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45360</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45360</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45360</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45360</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45360</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45360</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45360</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45360</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45360</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45360</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45360</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45360</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45360</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45360</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45360</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45360</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45360</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45360</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45360</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45360</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45360</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45360</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45360</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45360</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45360</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45360</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45360</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45360</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45360</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45360</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45360</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45360</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45360</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45360</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45360</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45360</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45360</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45360</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45360</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45360</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45360</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45360</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45360</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45360</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45360</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45360</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45360</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45360</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45360</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45360</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45360</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45360</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45360</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45360</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45360</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45360</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45360</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45360</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45360</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45360</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45360</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45360</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45360</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45360</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45360</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45360</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45360</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45360</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45360</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45360</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45360</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45360</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45360</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45360</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45360</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45360</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45360</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45360</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45360</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45360</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45360</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45360</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45360</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45360</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45360</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45360</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45360</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45360</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45360</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45360</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45360</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45360</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45360</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45360</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45360</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45360</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45360</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45360</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45360</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45360</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45360</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45360</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45360</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45360</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45360</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45360</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45360</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45360</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45360</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45360</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45360</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45360</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45360</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45360</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45360</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45360</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45360</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45360</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45360</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45360</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45360</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45360</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45360</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45360</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45360</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45360</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45360</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45360</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45360</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45360</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45360</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45360</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45360</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45360</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45360</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45360</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45360</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45360</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45360</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45360</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45360</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45360</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45360</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45360</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45360</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45360</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45360</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45360</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45360</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45360</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45360</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45360</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45360</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45360</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45360</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45360</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45360</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45360</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45360</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45360</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45360</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45360</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45360</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45360</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45360</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45360</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45360</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45360</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45360</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45360</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45360</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45360</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45360</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45360</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45360</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45360</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45360</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45360</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45360</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45360</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45360</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45360</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45360</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45360</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45360</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45360</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45360</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45360</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45360</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45360</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45360</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45360</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45360</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45360</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45360</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45360</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45360</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45360</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45360</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45360</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45360</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45360</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45360</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45360</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45360</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45360</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45360</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45360</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45360</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45360</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45360</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45360</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45360</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45360</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45360</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45360</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45360</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45360</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45360</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45360</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45360</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45360</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45360</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45360</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45360</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45360</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45360</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45360</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45360</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45360</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45360</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45360</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45360</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45360</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45360</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45360</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45360</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45360</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45360</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45360</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45360</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45360</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45360</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45360</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45360</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45360</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45360</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45360</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45360</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45360</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45360</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45360</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45360</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45360</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45360</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45360</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45360</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45360</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45360</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45360</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45360</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45360</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45360</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45360</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45360</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45360</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45360</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45360</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45360</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45360</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45360</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45360</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45360</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45360</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45360</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45360</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45360</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45360</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45360</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45360</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45360</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45360</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45360</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45360</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45360</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45360</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45360</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45360</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45360</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45360</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45360</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45360</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45360</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45360</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45360</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45360</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45360</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45360</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45360</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45360</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45360</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45360</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45360</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45360</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45360</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45360</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45360</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45360</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45360</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45360</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45360</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45360</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45360</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45360</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45360</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45360</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45360</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45360</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45360</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45360</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45360</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45360</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45360</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45360</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45360</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45360</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45360</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45360</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45360</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45360</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45360</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45360</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45360</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45360</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45360</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45360</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45360</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45360</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45360</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45360</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45360</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45360</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45360</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45360</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45360</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45360</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45360</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45360</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45360</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45360</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45360</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45360</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45360</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45360</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45360</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45360</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45360</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45360</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45360</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45360</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45360</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45360</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45360</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45360</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45360</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45360</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45360</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45360</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45360</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45360</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45360</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45360</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45360</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45360</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45360</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45360</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45360</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45360</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45360</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45360</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45360</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45360</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45360</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45360</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45360</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45360</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45360</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45360</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45360</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45360</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45360</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45360</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45360</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45360</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45360</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45360</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45360</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45360</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45360</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45360</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45360</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45360</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45360</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45360</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45360</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45360</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45360</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45360</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45360</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45360</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45360</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45360</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45360</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45360</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45360</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45360</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45360</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45360</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45360</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45360</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45360</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45360</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45360</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45360</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45360</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45360</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45360</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45360</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45360</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45360</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45360</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45360</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45360</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45360</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45360</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45360</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45360</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45360</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45360</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45360</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45360</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45360</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45360</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45360</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45360</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45360</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45360</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45360</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45360</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45360</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45360</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45360</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45360</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45360</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45360</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45360</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45360</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45360</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45360</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45360</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45360</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45360</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45360</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45360</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45360</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45360</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45360</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45360</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45360</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45360</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45360</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45360</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45360</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45360</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45360</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45360</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45360</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45360</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45360</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45360</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45360</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45360</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45360</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45360</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45360</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45360</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45360</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45360</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45360</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45360</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45360</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45360</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45360</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45360</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45360</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45360</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45360</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45360</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45360</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45360</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45360</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45360</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45360</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45360</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45360</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45360</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45360</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45360</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45360</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45360</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45360</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45360</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45360</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45360</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45360</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45360</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45360</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45360</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45360</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45360</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45360</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45360</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45360</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45360</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45360</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45360</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45360</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45360</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45360</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45360</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45360</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45360</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45360</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45360</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45360</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45360</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45360</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45360</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45360</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45360</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45360</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45360</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45360</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45360</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45360</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45360</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45360</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45360</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45360</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45360</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45360</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45360</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45360</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45360</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45360</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45360</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45360</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45360</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45360</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45360</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45360</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45360</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45360</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45360</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45360</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45360</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45360</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45360</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45360</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45360</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45360</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45360</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45360</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45360</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45360</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45360</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45360</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45360</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45360</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45360</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45360</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45360</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45360</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45360</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45360</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45360</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45360</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45360</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45360</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45360</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45360</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45360</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45360</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45360</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45360</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45360</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45360</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45360</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45360</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45360</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45360</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45360</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45360</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45360</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45360</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45360</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45360</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45360</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45360</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45360</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45360</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45360</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45360</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45360</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45360</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45360</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45360</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45360</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45360</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45360</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45360</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45360</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45360</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45360</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45360</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45360</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45360</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45360</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45360</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45360</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45360</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45360</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45360</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45360</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45360</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45360</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45360</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45360</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45360</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45360</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45360</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45360</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45360</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45360</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45360</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45360</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45360</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45360</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45360</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45360</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45360</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45360</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45360</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45360</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45360</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45360</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45360</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45360</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45360</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45360</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45360</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45360</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45360</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45360</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45360</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45360</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45360</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45360</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45360</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45360</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45360</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45360</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45360</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45360</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45360</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45360</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45360</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45360</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45360</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45360</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45360</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45360</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45360</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45360</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45360</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45360</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45360</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45360</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45360</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45360</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45360</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45360</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45360</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45360</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45360</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45360</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45360</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45360</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45360</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45360</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45360</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45360</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45360</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45360</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45360</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45360</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45360</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45360</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45360</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45360</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45360</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45360</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45360</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45360</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45360</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45360</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45360</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45360</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45360</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45360</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45360</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45360</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45360</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45360</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45360</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45360</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45360</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45360</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45360</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45360</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45360</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45360</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45360</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45360</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45360</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45360</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45360</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45360</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45360</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45360</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45360</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45360</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45360</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45360</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45360</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45360</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45360</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45360</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45360</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45360</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45360</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45360</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45360</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45360</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45360</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45360</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45360</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45360</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45360</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45360</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45360</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45360</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45360</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45360</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45360</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45360</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45360</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45360</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45360</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45360</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45360</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45360</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45360</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45360</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45360</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45360</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45360</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45360</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45360</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45360</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45360</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45360</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45360</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45360</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45360</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45360</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45360</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45360</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45360</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45360</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45360</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45360</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45360</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45360</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45360</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45360</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45360</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45360</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45360</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45360</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45360</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45360</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45360</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45360</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45360</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45360</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45360</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45360</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45360</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45360</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45360</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45360</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45360</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45360</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45360</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45360</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45360</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45360</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45360</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45360</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45360</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45360</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45360</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45360</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45360</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45360</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45360</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45360</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45360</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45360</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45360</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45360</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45360</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45360</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45360</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45360</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45360</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45360</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45360</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45360</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45360</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45360</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45360</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45360</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45360</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45360</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45360</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45360</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45360</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45360</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45360</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45360</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45360</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45360</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45360</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45360</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45360</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45360</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45360</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45360</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45360</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45360</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45360</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45360</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45360</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45360</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45360</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45360</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45360</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45360</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45360</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45360</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45360</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45360</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45360</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45360</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45360</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45360</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45360</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45360</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45360</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45360</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45360</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45360</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45360</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45360</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45360</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45360</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45360</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45360</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45360</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45360</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45360</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45360</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45360</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45360</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45360</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45360</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45360</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45360</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45360</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45360</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45360</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45360</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45360</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45360</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45360</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45360</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45360</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45360</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45360</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45360</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45360</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45360</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45360</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45360</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45360</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45360</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45360</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45360</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45360</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45360</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45360</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45360</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45360</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45360</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45360</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45360</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45360</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45360</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45360</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45360</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45360</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45360</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45360</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45360</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45360</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45360</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45360</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45360</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45360</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45360</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45360</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45360</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45360</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45360</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45360</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45360</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45360</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45360</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45360</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45360</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45360</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45360</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45360</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45360</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45360</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45360</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45360</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45360</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45360</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45360</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45360</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45360</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45360</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45360</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45360</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45360</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45360</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45360</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45360</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45360</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45360</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45360</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45360</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45360</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45360</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45360</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45360</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45360</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45360</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45360</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45360</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45360</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45360</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45360</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45360</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45360</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45360</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45360</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45360</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45360</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45360</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45360</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45360</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45360</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45360</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45360</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45360</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45360</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45360</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45360</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45360</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45360</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45360</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45360</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45360</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45360</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45360</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45360</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45360</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45360</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45360</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45360</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45360</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45360</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45360</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45360</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45360</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45360</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45360</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45360</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45360</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45360</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45360</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45360</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45360</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45360</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45360</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45360</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45360</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45360</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45360</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45360</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45360</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45360</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45360</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45360</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45360</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45360</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45360</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45360</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45360</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45360</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45360</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45360</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45360</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45360</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45360</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45360</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45360</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45360</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45360</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45360</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45360</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45360</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45360</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45360</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45360</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45360</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45360</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45360</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45360</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45360</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45360</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45360</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45360</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45360</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45360</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45360</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45360</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45360</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45360</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45360</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45360</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45360</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45360</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45360</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45360</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45360</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45360</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45360</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45360</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45360</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45360</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45360</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45360</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45360</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45360</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45360</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45360</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45360</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45360</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45360</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45360</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45360</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45360</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45360</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45360</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45360</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45360</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45360</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45360</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45360</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45360</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45360</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45360</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45360</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45360</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45360</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45360</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45360</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45360</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45360</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45360</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45360</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45360</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45360</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45360</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45360</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45360</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45360</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45360</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45360</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45360</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45360</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45360</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45360</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45360</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45360</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45360</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45360</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45360</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45360</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45360</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45360</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45360</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45360</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45360</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45360</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45360</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45360</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45360</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45360</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45360</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45360</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45360</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45360</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45360</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45360</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45360</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45360</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45360</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45360</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45360</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45360</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45360</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45360</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45360</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45360</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45360</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45360</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45360</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45360</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45360</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45360</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45360</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45360</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45360</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45360</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45360</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45360</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45360</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45360</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45360</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45360</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45360</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45360</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45360</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45360</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45360</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45360</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45360</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45360</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45360</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45360</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45360</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45360</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45360</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45360</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45360</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45360</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45360</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45360</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45360</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45360</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45360</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45360</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45360</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45360</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45360</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45360</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45360</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45360</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45360</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45360</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45360</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45360</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45360</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45360</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45360</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45360</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45360</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45360</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45360</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45360</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45360</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45360</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45360</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45360</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45360</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45360</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45360</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45360</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45360</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45360</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45360</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45360</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45360</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45360</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45360</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45360</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45360</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45360</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45360</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45360</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45360</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45360</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45360</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45360</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45360</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45360</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45360</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45360</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45360</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45360</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45360</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45360</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45360</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45360</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45360</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45360</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45360</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45360</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45360</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45360</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45360</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45360</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45360</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45360</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45360</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45360</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45360</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45360</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45360</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45360</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45360</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45360</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45360</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45360</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45360</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45360</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45360</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45360</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45360</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45360</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45360</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45360</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45360</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45360</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45360</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45360</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45360</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45360</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45360</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45360</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45360</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45360</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45360</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45360</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45360</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45360</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45360</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45360</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45360</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45360</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45360</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45360</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45360</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45360</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45360</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45360</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45360</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45360</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45360</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45360</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45360</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45360</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45360</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45360</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45360</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45360</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45360</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45360</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45360</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45360</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45360</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45360</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45360</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45360</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45360</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45360</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45360</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45360</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45360</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45360</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45360</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45360</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45360</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45360</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45360</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45360</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45360</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45360</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45360</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45360</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45360</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45360</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45360</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45360</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45360</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45360</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45360</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45360</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45360</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45360</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45360</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45360</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45360</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45360</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45360</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45360</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45360</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45360</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45360</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45360</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45360</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45360</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45360</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45360</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45360</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45360</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45360</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45360</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45360</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45360</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45360</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45360</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45360</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45360</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45360</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45360</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45360</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45360</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45360</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45360</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45360</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45360</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45360</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45360</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45360</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45360</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45360</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45360</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45360</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45360</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45360</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45360</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45360</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45360</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45360</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45360</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45360</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45360</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45360</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45360</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45360</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45360</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45360</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45360</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45360</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45360</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45360</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45360</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45360</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45360</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45360</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45360</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45360</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45360</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45360</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45360</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45360</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45360</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45360</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45360</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45360</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45360</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45360</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45360</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45360</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45360</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45360</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45360</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45360</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45360</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45360</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45360</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45360</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45360</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45360</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45360</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45360</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45360</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45360</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45360</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45360</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45360</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45360</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45360</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45360</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45360</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45360</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45360</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45360</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45360</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45360</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45360</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45360</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45360</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45360</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45360</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45360</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45360</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45360</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45360</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45360</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45360</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45360</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45360</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45360</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45360</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45360</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45360</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45360</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45360</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45360</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45360</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45360</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45360</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45360</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45360</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45360</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45360</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45360</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45360</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45360</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45360</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45360</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45360</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45360</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45360</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45360</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45360</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45360</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45360</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45360</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45360</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45360</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45360</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45360</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45360</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45360</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45360</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45360</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45360</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45360</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45360</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45360</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45360</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45360</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45360</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45360</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45360</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45360</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45360</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45360</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45360</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45360</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45360</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45360</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45360</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45360</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45360</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45360</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45360</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45360</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45360</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45360</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45360</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45360</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45360</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45360</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45360</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45360</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45360</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45360</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45360</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45360</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45360</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45360</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45360</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45360</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45360</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45360</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45360</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45360</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45360</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45360</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45360</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45360</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45360</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45360</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45360</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45360</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45360</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45360</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45360</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45360</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45360</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45360</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45360</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45360</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45360</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45360</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45360</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45360</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45360</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45360</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45360</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45360</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45360</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45360</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45360</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45360</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45360</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45360</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45360</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45360</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45360</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45360</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45360</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45360</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45360</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45360</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45360</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45360</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45360</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45360</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45360</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45360</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45360</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45360</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45360</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45360</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45360</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45360</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45360</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45360</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45360</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45360</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45360</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45360</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45360</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45360</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45360</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45360</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45360</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45360</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45360</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45360</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45360</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45360</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45360</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45360</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45360</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45360</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45360</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45360</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45360</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45360</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45360</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45360</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45360</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45360</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45360</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45360</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45360</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45360</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45360</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45360</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45360</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45360</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45360</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45360</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45360</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45360</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45360</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45360</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45360</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45360</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45360</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45360</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45360</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45360</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45360</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45360</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45360</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45360</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45360</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45360</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45360</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45360</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45360</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45360</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45360</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45360</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45360</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45360</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45360</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45360</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45360</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45360</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45360</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45360</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45360</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45360</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45360</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45360</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45360</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45360</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45360</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45360</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45360</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45360</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45360</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45360</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45360</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45360</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45360</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45360</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45360</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45360</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45360</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45360</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45360</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45360</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45360</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45360</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45360</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45360</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45360</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45360</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45360</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45360</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45360</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45360</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45360</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45360</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45360</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45360</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45360</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45360</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45360</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45360</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45360</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45360</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45360</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45360</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45360</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45360</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45360</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45360</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45360</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45360</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45360</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45360</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45360</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45360</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45360</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45360</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45360</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45360</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45360</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45360</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45360</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45360</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45360</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45360</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45360</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45360</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45360</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45360</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45360</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45360</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45360</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45360</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45360</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45360</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45360</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45360</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45360</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45360</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45360</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45360</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45360</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45360</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45360</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45360</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45360</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45360</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45360</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45360</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45360</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45360</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45360</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45360</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45360</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45360</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45360</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45360</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45360</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45360</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45360</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45360</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45360</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45360</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45360</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45360</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45360</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45360</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45360</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45360</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45360</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45360</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45360</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45360</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45360</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45360</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45360</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45360</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45360</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45360</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45360</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45360</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45360</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45360</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45360</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45360</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45360</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45360</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45360</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45360</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45360</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45360</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45360</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45360</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45360</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45360</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45360</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45360</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45360</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45360</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45360</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45360</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45360</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45360</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45360</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45360</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45360</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45360</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45360</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45360</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45360</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45360</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45360</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45360</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45360</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45360</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45360</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45360</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45360</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45360</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45360</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45360</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45360</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45360</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45360</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45360</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45360</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45360</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45360</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45360</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45360</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45360</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45360</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45360</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45360</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45360</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45360</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45360</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45360</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45360</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45360</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45360</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45360</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45360</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45360</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45360</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45360</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45360</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45360</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45360</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45360</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45360</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45360</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45360</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45360</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45360</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45360</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45360</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45360</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45360</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45360</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45360</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45360</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45360</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45360</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45360</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45360</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45360</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45360</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45360</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45360</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45360</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45360</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45360</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45360</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45360</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45360</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45360</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45360</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45360</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45360</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45360</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45360</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45360</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45360</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45360</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45360</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45360</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45360</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45360</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45360</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45360</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45360</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45360</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45360</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45360</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45360</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45360</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45360</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45360</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45360</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45360</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45360</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45360</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45360</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45360</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45360</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45360</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45360</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45360</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45360</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45360</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45360</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45360</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45360</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45360</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45360</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45360</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45360</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45360</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45360</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45360</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45360</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45360</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45360</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45360</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45360</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45360</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45360</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45360</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45360</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45360</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45360</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45360</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45360</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45360</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45360</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45360</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45360</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45360</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45360</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45360</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45360</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45360</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45360</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45360</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45360</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45360</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45360</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45360</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45360</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45360</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45360</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45360</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45360</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45360</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45360</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45360</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45360</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45360</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45360</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45360</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45360</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45360</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45360</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45360</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45360</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45360</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45360</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45360</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45360</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45360</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45360</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45360</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45360</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45360</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45360</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45360</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45360</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45360</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45360</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45360</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45360</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45360</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45360</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45360</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45360</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45360</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45360</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45360</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45360</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45360</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45360</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45360</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45360</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45360</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45360</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45360</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45360</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45360</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45360</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45360</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45360</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45360</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45360</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45360</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45360</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45360</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45360</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45360</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45360</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45360</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45360</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45360</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45360</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45360</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45360</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45360</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45360</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45360</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45360</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45360</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45360</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45360</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45360</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45360</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45360</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45360</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45360</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45360</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45360</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45360</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45360</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45360</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45360</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45360</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45360</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45360</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45360</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45360</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45360</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45360</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45360</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45360</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45360</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45360</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45360</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45360</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45360</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45360</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45360</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45360</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45360</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45360</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45360</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45360</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45360</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45360</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45360</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45360</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45360</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45360</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45360</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45360</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45360</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45360</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45360</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45360</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45360</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45360</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45360</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45360</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45360</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45360</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45360</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45360</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45360</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45360</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45360</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45360</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45360</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45360</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45360</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45360</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45360</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45360</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45360</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45360</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45360</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45360</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45360</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45360</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45360</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45360</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45360</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45360</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45360</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45360</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45360</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45360</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45360</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45360</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45360</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45360</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45360</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45360</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45360</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45360</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45360</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45360</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45360</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45360</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45360</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45360</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45360</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45360</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45360</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45360</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45360</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45360</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45360</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45360</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45360</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45360</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45360</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45360</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45360</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45360</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45360</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45360</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45360</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45360</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45360</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45360</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45360</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45360</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45360</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45360</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45360</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45360</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45360</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45360</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45360</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45360</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45360</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45360</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45360</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45360</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45360</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45360</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45360</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45360</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45360</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45360</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45360</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45360</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45360</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45360</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45360</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45360</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45360</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45360</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45360</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45360</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45360</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45360</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45360</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45360</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45360</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45360</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45360</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45360</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45360</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45360</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45360</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45360</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45360</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45360</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45360</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45360</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45360</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45360</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45360</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45360</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45360</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45360</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45360</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45360</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45360</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45360</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45360</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45360</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45360</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45360</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45360</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45360</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45360</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45360</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45360</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45360</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45360</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45360</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45360</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45360</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45360</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45360</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45360</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45360</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45360</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45360</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45360</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45360</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45360</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45360</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45360</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45360</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45360</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45360</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45360</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45360</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45360</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45360</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45360</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45360</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45360</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45360</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45360</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45360</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45360</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45360</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45360</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45360</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45360</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45360</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45360</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45360</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45360</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45360</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45360</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45360</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45360</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45360</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45360</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45360</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45360</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45360</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45360</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45360</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45360</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45360</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45360</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45360</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45360</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45360</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45360</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45360</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45360</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45360</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45360</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45360</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45360</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45360</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45360</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45360</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45360</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45360</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45360</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45360</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45360</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45360</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45360</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45360</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45360</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45360</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45360</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45360</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45360</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45360</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45360</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45360</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45360</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45360</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45360</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45360</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45360</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45360</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45360</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45360</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45360</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45360</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45360</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45360</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45360</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45360</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45360</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45360</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45360</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45360</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45360</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45360</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45360</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45360</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45360</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45360</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45360</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45360</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45360</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45360</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45360</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45360</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45360</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45360</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45360</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45360</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45360</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45360</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45360</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45360</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45360</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45360</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45360</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45360</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45360</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45360</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45360</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45360</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45360</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45360</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45360</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45360</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45360</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45360</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45360</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45360</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45360</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45360</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45360</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45360</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45360</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45360</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45360</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45360</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45360</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45360</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45360</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45360</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45360</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45360</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45360</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45360</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45360</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45360</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45360</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45360</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45360</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45360</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45360</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45360</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45360</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45360</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45360</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45360</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45360</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45360</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45360</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45360</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45360</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45360</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45360</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45360</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45360</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45360</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45360</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45360</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45360</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45360</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45360</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45360</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45360</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45360</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45360</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45360</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45360</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45360</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45360</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45360</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45360</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45360</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45360</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45360</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45360</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45360</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45360</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45360</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45360</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45360</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45360</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45360</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45360</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45360</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45360</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45360</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45360</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45360</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45360</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45360</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45360</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45360</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45360</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45360</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45360</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45360</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45360</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45360</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45360</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45360</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45360</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45360</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45360</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45360</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45360</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45360</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45360</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45360</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45360</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45360</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45360</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45360</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45360</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45360</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45360</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45360</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45360</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45360</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45360</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45360</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45360</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45360</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45360</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45360</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45360</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45360</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45360</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45360</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45360</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45360</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45360</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45360</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45360</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45360</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45360</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45360</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45360</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45360</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45360</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45360</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45360</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45360</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45360</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45360</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45360</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45360</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45360</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45360</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45360</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45360</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45360</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45360</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45360</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45360</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45360</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45360</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45360</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45360</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45360</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45360</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45360</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45360</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45360</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45360</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45360</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45360</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45360</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45360</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45360</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45360</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45360</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45360</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45360</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45360</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45360</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45360</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45360</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45360</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45360</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45360</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45360</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45360</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45360</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45360</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45360</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45360</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45360</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45360</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45360</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45360</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45360</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45360</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45360</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45360</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45360</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45360</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45360</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45360</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45360</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45360</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45360</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45360</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45360</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45360</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45360</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45360</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45360</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45360</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45360</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45360</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45360</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45360</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45360</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45360</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45360</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45360</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45360</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45360</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45360</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45360</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45360</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45360</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45360</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45360</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45360</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45360</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45360</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45360</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45360</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45360</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45360</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45360</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45360</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45360</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45360</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45360</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45360</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45360</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45360</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45360</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45360</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45360</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45360</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45360</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45360</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45360</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45360</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45360</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45360</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45360</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45360</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45360</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45360</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45360</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45360</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45360</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45360</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45360</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45360</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45360</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45360</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45360</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45360</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45360</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45360</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45360</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45360</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45360</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45360</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45360</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45360</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45360</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45360</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45360</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45360</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45360</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45360</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45360</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45360</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45360</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45360</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45360</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45360</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45360</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45360</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45360</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45360</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45360</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45360</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45360</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45360</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45360</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45360</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45360</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45360</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45360</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45360</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45360</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45360</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45360</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45360</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45360</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45360</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45360</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45360</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45360</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45360</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45360</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45360</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45360</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45360</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45360</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45360</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45360</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45360</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45360</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45360</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45360</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45360</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45360</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45360</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45360</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45360</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45360</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45360</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45360</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45360</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45360</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45360</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45360</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45360</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45360</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45360</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45360</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45360</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45360</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45360</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45360</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45360</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45360</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45360</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45360</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45360</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45360</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45360</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45360</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45360</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45360</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45360</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45360</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45360</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45360</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45360</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45360</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45360</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45360</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45360</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45360</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45360</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45360</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45360</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45360</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45360</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45360</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45360</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45360</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45360</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45360</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45360</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45360</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45360</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45360</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45360</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45360</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45360</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45360</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45360</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45360</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45360</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45360</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45360</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45360</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45360</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45360</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45360</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45360</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45360</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45360</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45360</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45360</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45360</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45360</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45360</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45360</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45360</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45360</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45360</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45360</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45360</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45360</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45360</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45360</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45360</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45360</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45360</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45360</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45360</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45360</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45360</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45360</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45360</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45360</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45360</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45360</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45360</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45360</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45360</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45360</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45360</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45360</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45360</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45360</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45360</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45360</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45360</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45360</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45360</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45360</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45360</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45360</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45360</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45360</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45360</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45360</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45360</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45360</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45360</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45360</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45360</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45360</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45360</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45360</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45360</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45360</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45360</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45360</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45360</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45360</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45360</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45360</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45360</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45360</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45360</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45360</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45360</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45360</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45360</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45360</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45360</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45360</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45360</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45360</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45360</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45360</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45360</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45360</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45360</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45360</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45360</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45360</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45360</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45360</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45360</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45360</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45360</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45360</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45360</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45360</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45360</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45360</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45360</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45360</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45360</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45360</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45360</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45360</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45360</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45360</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45360</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45360</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45360</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45360</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45360</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45360</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45360</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45360</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45360</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45360</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45360</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45360</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45360</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45360</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45360</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45360</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45360</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45360</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45360</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45360</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45360</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45360</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45360</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45360</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45360</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45360</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45360</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45360</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45360</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45360</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45360</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45360</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45360</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45360</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45360</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45360</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45360</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45360</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45360</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45360</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45360</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45360</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45360</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45360</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45360</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45360</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45360</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45360</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45360</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45360</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45360</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45360</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45360</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45360</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45360</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45360</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45360</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45360</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45360</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45360</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45360</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45360</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45360</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45360</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45360</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45360</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45360</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45360</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45360</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45360</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45360</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45360</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45360</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45360</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45360</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45360</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45360</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45360</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45360</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45360</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45360</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45360</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45360</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45360</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45360</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45360</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45360</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45360</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45360</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45360</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45360</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45360</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45360</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45360</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45360</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45360</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45360</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45360</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45360</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45360</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45360</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45360</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45360</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45360</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45360</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45360</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45360</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45360</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45360</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45360</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45360</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45360</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45360</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45360</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45360</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45360</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45360</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45360</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45360</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45360</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45360</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45360</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45360</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45360</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45360</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45360</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45360</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45360</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45360</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45360</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45360</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45360</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45360</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45360</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45360</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45360</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45360</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45360</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45360</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45360</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45360</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45360</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45360</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45360</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45360</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45360</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45360</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45360</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45360</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45360</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45360</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45360</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45360</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45360</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45360</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45360</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45360</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45360</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45360</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45360</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45360</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45360</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45360</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45360</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45360</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45360</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45360</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45360</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45360</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45360</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45360</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45360</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45360</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45360</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45360</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45360</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45360</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45360</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45360</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45360</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45360</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45360</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45360</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45360</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45360</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45360</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45360</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45360</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45360</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45360</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45360</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45360</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45360</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45360</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45360</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45360</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45360</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45360</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45360</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45360</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45360</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45360</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45360</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45360</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45360</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45360</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45360</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45360</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45360</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45360</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45360</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45360</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45360</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45360</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45360</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45360</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45360</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45360</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45360</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45360</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45360</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45360</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45360</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45360</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45360</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45360</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45360</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45360</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45360</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45360</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45360</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45360</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45360</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45360</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45360</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45360</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45360</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45360</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45360</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45360</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45360</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45360</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45360</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45360</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45360</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45360</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45360</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45360</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45360</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45360</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45360</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45360</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45360</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45360</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45360</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45360</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45360</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45360</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45360</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45360</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45360</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45360</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45360</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45360</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45360</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45360</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45360</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45360</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45360</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45360</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45360</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45360</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45360</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45360</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45360</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45360</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45360</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45360</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45360</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45360</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45360</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45360</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45360</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45360</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45360</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45360</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45360</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45360</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45360</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45360</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45360</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45360</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45360</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45360</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45360</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45360</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45360</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45360</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45360</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45360</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45360</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45360</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45360</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45360</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45360</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45360</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45360</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45360</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45360</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45360</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45360</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45360</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45360</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45360</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45360</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45360</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45360</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45360</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45360</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45360</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45360</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45360</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45360</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45360</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45360</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45360</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45360</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45360</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45360</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45360</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45360</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45360</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45360</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45360</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45360</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45360</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45360</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45360</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45360</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45360</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45360</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45360</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45360</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45360</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45360</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45360</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45360</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45360</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45360</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45360</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45360</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45360</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45360</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45360</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45360</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45360</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45360</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45360</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45360</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45360</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45360</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45360</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45360</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45360</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45360</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45360</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45360</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45360</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45360</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45360</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45360</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45360</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45360</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45360</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45360</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45360</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45360</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45360</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45360</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45360</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45360</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45360</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45360</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45360</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45360</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45360</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45360</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45360</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45360</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45360</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45360</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45360</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45360</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45360</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45360</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45360</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45360</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45360</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45360</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45360</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45360</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45360</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45360</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45360</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45360</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45360</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45360</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45360</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45360</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45360</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45360</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45360</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45360</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45360</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45360</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45360</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45360</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45360</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45360</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45360</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45360</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45360</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45360</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45360</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45360</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45360</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45360</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45360</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45360</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45360</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45360</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45360</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45360</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45360</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45360</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45360</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45360</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45360</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45360</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45360</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45360</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45360</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45360</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45360</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45360</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45360</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45360</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45360</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45360</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45360</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45360</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45360</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45360</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45360</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45360</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45360</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45360</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45360</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45360</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45360</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45360</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45360</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45360</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45360</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45360</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45360</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45360</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45360</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45360</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45360</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45360</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45360</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45360</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45360</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45360</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45360</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45360</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45360</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45360</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45360</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45360</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45360</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45360</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45360</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45360</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45360</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45360</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45360</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45360</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45360</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45360</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45360</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45360</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45360</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45360</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45360</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45360</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45360</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45360</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45360</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45360</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45360</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45360</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45360</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45360</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45360</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45360</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45360</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45360</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45360</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45360</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45360</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45360</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45360</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45360</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45360</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45360</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45360</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45360</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45360</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45360</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45360</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45360</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45360</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45360</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45360</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45360</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45360</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45360</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45360</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45360</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45360</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45360</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45360</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45360</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45360</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45360</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45360</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45360</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45360</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45360</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45360</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45360</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45360</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45360</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45360</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45360</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45360</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45360</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45360</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45360</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45360</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45360</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45360</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45360</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45360</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45360</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45360</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45360</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45360</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45360</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45360</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45360</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45360</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45360</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45360</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45360</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45360</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45360</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45360</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45360</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45360</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45360</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45360</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45360</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45360</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45360</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45360</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45360</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45360</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45360</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45360</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45360</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45360</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45360</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45360</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45360</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45360</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45360</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45360</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45360</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45360</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45360</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45360</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45360</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45360</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45360</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45360</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45360</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45360</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45360</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45360</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45360</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45360</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45360</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45360</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45360</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45360</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45360</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45360</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45360</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45360</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45360</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45360</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45360</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45360</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45360</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45360</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45360</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45360</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45360</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45360</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45360</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45360</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45360</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45360</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45360</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45360</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45360</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45360</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45360</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45360</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45360</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45360</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45360</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45360</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45360</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45360</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45360</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45360</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45360</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45360</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45360</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45360</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45360</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45360</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45360</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45360</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45360</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45360</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45360</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45360</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45360</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45360</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45360</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45360</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45360</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45360</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45360</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45360</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45360</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45360</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45360</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45360</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45360</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45360</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45360</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45360</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45360</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45360</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45360</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45360</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45360</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45360</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45360</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45360</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45360</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45360</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45360</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45360</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45360</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45360</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45360</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45360</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45360</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45360</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45360</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45360</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45360</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45360</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45360</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45360</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45360</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45360</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45360</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45360</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45360</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45360</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45360</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45360</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45360</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45360</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45360</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45360</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45360</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45360</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45360</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45360</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45360</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45360</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45360</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45360</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45360</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45360</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45360</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45360</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45360</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45360</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45360</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45360</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45360</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45360</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45360</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45360</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45360</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45360</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45360</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45360</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45360</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45360</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45360</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45360</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45360</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45360</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45360</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45360</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45360</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45360</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45360</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45360</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45360</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45360</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45360</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45360</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45360</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45360</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45360</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45360</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45360</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45360</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45360</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45360</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45360</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45360</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45360</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45360</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45360</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45360</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45360</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45360</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45360</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45360</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45360</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45360</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45360</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45360</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45360</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45360</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45360</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45360</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45360</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45360</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45360</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45360</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45360</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45360</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45360</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45360</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45360</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45360</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45360</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45360</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45360</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45360</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45360</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45360</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45360</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45360</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45360</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45360</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45360</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45360</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45360</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45360</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45360</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45360</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45360</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45360</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45360</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45360</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45360</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45360</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45360</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45360</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45360</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45360</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45360</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45360</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45360</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45360</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45360</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45360</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45360</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45360</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45360</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45360</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45360</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45360</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45360</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45360</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45360</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45360</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45360</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45360</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45360</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45360</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45360</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45360</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45360</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45360</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45360</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45360</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45360</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45360</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45360</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45360</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45360</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45360</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45360</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45360</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45360</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45360</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45360</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45360</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45360</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45360</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45360</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45360</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45360</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45360</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45360</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45360</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45360</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45360</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45360</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45360</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45360</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45360</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45360</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45360</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45360</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45360</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45360</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45360</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45360</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45360</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45360</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45360</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45360</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45360</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45360</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45360</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45360</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45360</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45360</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45360</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45360</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45360</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45360</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45360</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45360</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45360</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45360</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45360</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45360</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45360</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45360</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45360</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45360</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45360</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45360</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45360</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45360</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45360</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45360</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45360</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45360</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45360</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45360</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45360</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45360</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45360</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45360</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45360</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45360</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45360</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45360</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45360</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45360</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45360</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45360</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45360</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45360</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45360</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45360</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45360</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45360</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45360</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45360</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45360</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45360</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45360</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45360</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45360</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45360</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45360</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45360</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45360</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45360</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45360</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45360</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45360</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45360</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45360</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45360</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45360</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45360</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45360</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45360</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45360</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45360</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45360</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45360</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45360</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45360</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45360</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45360</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45360</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4801-2024</t>
        </is>
      </c>
      <c r="B6552" s="1" t="n">
        <v>45328</v>
      </c>
      <c r="C6552" s="1" t="n">
        <v>45360</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45360</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45360</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4603-2024</t>
        </is>
      </c>
      <c r="B6555" s="1" t="n">
        <v>45328</v>
      </c>
      <c r="C6555" s="1" t="n">
        <v>45360</v>
      </c>
      <c r="D6555" t="inlineStr">
        <is>
          <t>ÖREBRO LÄN</t>
        </is>
      </c>
      <c r="E6555" t="inlineStr">
        <is>
          <t>LINDESBERG</t>
        </is>
      </c>
      <c r="F6555" t="inlineStr">
        <is>
          <t>BillerudKorsnäs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45360</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4889-2024</t>
        </is>
      </c>
      <c r="B6557" s="1" t="n">
        <v>45329</v>
      </c>
      <c r="C6557" s="1" t="n">
        <v>45360</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4961-2024</t>
        </is>
      </c>
      <c r="B6558" s="1" t="n">
        <v>45329</v>
      </c>
      <c r="C6558" s="1" t="n">
        <v>45360</v>
      </c>
      <c r="D6558" t="inlineStr">
        <is>
          <t>ÖREBRO LÄN</t>
        </is>
      </c>
      <c r="E6558" t="inlineStr">
        <is>
          <t>KARLSKOGA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4997-2024</t>
        </is>
      </c>
      <c r="B6559" s="1" t="n">
        <v>45329</v>
      </c>
      <c r="C6559" s="1" t="n">
        <v>45360</v>
      </c>
      <c r="D6559" t="inlineStr">
        <is>
          <t>ÖREBRO LÄN</t>
        </is>
      </c>
      <c r="E6559" t="inlineStr">
        <is>
          <t>LINDESBERG</t>
        </is>
      </c>
      <c r="F6559" t="inlineStr">
        <is>
          <t>BillerudKorsnäs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4995-2024</t>
        </is>
      </c>
      <c r="B6560" s="1" t="n">
        <v>45329</v>
      </c>
      <c r="C6560" s="1" t="n">
        <v>45360</v>
      </c>
      <c r="D6560" t="inlineStr">
        <is>
          <t>ÖREBRO LÄN</t>
        </is>
      </c>
      <c r="E6560" t="inlineStr">
        <is>
          <t>LINDESBERG</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5127-2024</t>
        </is>
      </c>
      <c r="B6561" s="1" t="n">
        <v>45330</v>
      </c>
      <c r="C6561" s="1" t="n">
        <v>45360</v>
      </c>
      <c r="D6561" t="inlineStr">
        <is>
          <t>ÖREBRO LÄN</t>
        </is>
      </c>
      <c r="E6561" t="inlineStr">
        <is>
          <t>ÖREBRO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5136-2024</t>
        </is>
      </c>
      <c r="B6562" s="1" t="n">
        <v>45330</v>
      </c>
      <c r="C6562" s="1" t="n">
        <v>45360</v>
      </c>
      <c r="D6562" t="inlineStr">
        <is>
          <t>ÖREBRO LÄN</t>
        </is>
      </c>
      <c r="E6562" t="inlineStr">
        <is>
          <t>ÖREBRO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5080-2024</t>
        </is>
      </c>
      <c r="B6563" s="1" t="n">
        <v>45330</v>
      </c>
      <c r="C6563" s="1" t="n">
        <v>45360</v>
      </c>
      <c r="D6563" t="inlineStr">
        <is>
          <t>ÖREBRO LÄN</t>
        </is>
      </c>
      <c r="E6563" t="inlineStr">
        <is>
          <t>LINDESBERG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5218-2024</t>
        </is>
      </c>
      <c r="B6564" s="1" t="n">
        <v>45330</v>
      </c>
      <c r="C6564" s="1" t="n">
        <v>45360</v>
      </c>
      <c r="D6564" t="inlineStr">
        <is>
          <t>ÖREBRO LÄN</t>
        </is>
      </c>
      <c r="E6564" t="inlineStr">
        <is>
          <t>DEGERFORS</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5135-2024</t>
        </is>
      </c>
      <c r="B6565" s="1" t="n">
        <v>45330</v>
      </c>
      <c r="C6565" s="1" t="n">
        <v>45360</v>
      </c>
      <c r="D6565" t="inlineStr">
        <is>
          <t>ÖREBRO LÄN</t>
        </is>
      </c>
      <c r="E6565" t="inlineStr">
        <is>
          <t>ÖREBRO</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5276-2024</t>
        </is>
      </c>
      <c r="B6566" s="1" t="n">
        <v>45330</v>
      </c>
      <c r="C6566" s="1" t="n">
        <v>45360</v>
      </c>
      <c r="D6566" t="inlineStr">
        <is>
          <t>ÖREBRO LÄN</t>
        </is>
      </c>
      <c r="E6566" t="inlineStr">
        <is>
          <t>DEGERFORS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5277-2024</t>
        </is>
      </c>
      <c r="B6567" s="1" t="n">
        <v>45330</v>
      </c>
      <c r="C6567" s="1" t="n">
        <v>45360</v>
      </c>
      <c r="D6567" t="inlineStr">
        <is>
          <t>ÖREBRO LÄN</t>
        </is>
      </c>
      <c r="E6567" t="inlineStr">
        <is>
          <t>DEGERFORS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5113-2024</t>
        </is>
      </c>
      <c r="B6568" s="1" t="n">
        <v>45330</v>
      </c>
      <c r="C6568" s="1" t="n">
        <v>45360</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5125-2024</t>
        </is>
      </c>
      <c r="B6569" s="1" t="n">
        <v>45330</v>
      </c>
      <c r="C6569" s="1" t="n">
        <v>45360</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5129-2024</t>
        </is>
      </c>
      <c r="B6570" s="1" t="n">
        <v>45330</v>
      </c>
      <c r="C6570" s="1" t="n">
        <v>45360</v>
      </c>
      <c r="D6570" t="inlineStr">
        <is>
          <t>ÖREBRO LÄN</t>
        </is>
      </c>
      <c r="E6570" t="inlineStr">
        <is>
          <t>ÖREBRO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5133-2024</t>
        </is>
      </c>
      <c r="B6571" s="1" t="n">
        <v>45330</v>
      </c>
      <c r="C6571" s="1" t="n">
        <v>45360</v>
      </c>
      <c r="D6571" t="inlineStr">
        <is>
          <t>ÖREBRO LÄN</t>
        </is>
      </c>
      <c r="E6571" t="inlineStr">
        <is>
          <t>ÖREBRO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5219-2024</t>
        </is>
      </c>
      <c r="B6572" s="1" t="n">
        <v>45330</v>
      </c>
      <c r="C6572" s="1" t="n">
        <v>45360</v>
      </c>
      <c r="D6572" t="inlineStr">
        <is>
          <t>ÖREBRO LÄN</t>
        </is>
      </c>
      <c r="E6572" t="inlineStr">
        <is>
          <t>DEGERFORS</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45360</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45360</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45360</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45360</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5396-2024</t>
        </is>
      </c>
      <c r="B6577" s="1" t="n">
        <v>45331</v>
      </c>
      <c r="C6577" s="1" t="n">
        <v>45360</v>
      </c>
      <c r="D6577" t="inlineStr">
        <is>
          <t>ÖREBRO LÄN</t>
        </is>
      </c>
      <c r="E6577" t="inlineStr">
        <is>
          <t>LINDESBERG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5359-2024</t>
        </is>
      </c>
      <c r="B6578" s="1" t="n">
        <v>45331</v>
      </c>
      <c r="C6578" s="1" t="n">
        <v>45360</v>
      </c>
      <c r="D6578" t="inlineStr">
        <is>
          <t>ÖREBRO LÄN</t>
        </is>
      </c>
      <c r="E6578" t="inlineStr">
        <is>
          <t>NORA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5412-2024</t>
        </is>
      </c>
      <c r="B6579" s="1" t="n">
        <v>45331</v>
      </c>
      <c r="C6579" s="1" t="n">
        <v>45360</v>
      </c>
      <c r="D6579" t="inlineStr">
        <is>
          <t>ÖREBRO LÄN</t>
        </is>
      </c>
      <c r="E6579" t="inlineStr">
        <is>
          <t>NORA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5313-2024</t>
        </is>
      </c>
      <c r="B6580" s="1" t="n">
        <v>45331</v>
      </c>
      <c r="C6580" s="1" t="n">
        <v>45360</v>
      </c>
      <c r="D6580" t="inlineStr">
        <is>
          <t>ÖREBRO LÄN</t>
        </is>
      </c>
      <c r="E6580" t="inlineStr">
        <is>
          <t>LEKEBERG</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5324-2024</t>
        </is>
      </c>
      <c r="B6581" s="1" t="n">
        <v>45331</v>
      </c>
      <c r="C6581" s="1" t="n">
        <v>45360</v>
      </c>
      <c r="D6581" t="inlineStr">
        <is>
          <t>ÖREBRO LÄN</t>
        </is>
      </c>
      <c r="E6581" t="inlineStr">
        <is>
          <t>ÖREBRO</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5342-2024</t>
        </is>
      </c>
      <c r="B6582" s="1" t="n">
        <v>45331</v>
      </c>
      <c r="C6582" s="1" t="n">
        <v>45360</v>
      </c>
      <c r="D6582" t="inlineStr">
        <is>
          <t>ÖREBRO LÄN</t>
        </is>
      </c>
      <c r="E6582" t="inlineStr">
        <is>
          <t>ÖREBRO</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5352-2024</t>
        </is>
      </c>
      <c r="B6583" s="1" t="n">
        <v>45331</v>
      </c>
      <c r="C6583" s="1" t="n">
        <v>45360</v>
      </c>
      <c r="D6583" t="inlineStr">
        <is>
          <t>ÖREBRO LÄN</t>
        </is>
      </c>
      <c r="E6583" t="inlineStr">
        <is>
          <t>ÖREBRO</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5417-2024</t>
        </is>
      </c>
      <c r="B6584" s="1" t="n">
        <v>45331</v>
      </c>
      <c r="C6584" s="1" t="n">
        <v>45360</v>
      </c>
      <c r="D6584" t="inlineStr">
        <is>
          <t>ÖREBRO LÄN</t>
        </is>
      </c>
      <c r="E6584" t="inlineStr">
        <is>
          <t>HALLSBERG</t>
        </is>
      </c>
      <c r="F6584" t="inlineStr">
        <is>
          <t>Allmännings- och besparingsskogar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5559-2024</t>
        </is>
      </c>
      <c r="B6585" s="1" t="n">
        <v>45334</v>
      </c>
      <c r="C6585" s="1" t="n">
        <v>45360</v>
      </c>
      <c r="D6585" t="inlineStr">
        <is>
          <t>ÖREBRO LÄN</t>
        </is>
      </c>
      <c r="E6585" t="inlineStr">
        <is>
          <t>LEKEBERG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5643-2024</t>
        </is>
      </c>
      <c r="B6586" s="1" t="n">
        <v>45334</v>
      </c>
      <c r="C6586" s="1" t="n">
        <v>45360</v>
      </c>
      <c r="D6586" t="inlineStr">
        <is>
          <t>ÖREBRO LÄN</t>
        </is>
      </c>
      <c r="E6586" t="inlineStr">
        <is>
          <t>HÄLLEFORS</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5663-2024</t>
        </is>
      </c>
      <c r="B6587" s="1" t="n">
        <v>45334</v>
      </c>
      <c r="C6587" s="1" t="n">
        <v>45360</v>
      </c>
      <c r="D6587" t="inlineStr">
        <is>
          <t>ÖREBRO LÄN</t>
        </is>
      </c>
      <c r="E6587" t="inlineStr">
        <is>
          <t>HALLSBERG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5578-2024</t>
        </is>
      </c>
      <c r="B6588" s="1" t="n">
        <v>45334</v>
      </c>
      <c r="C6588" s="1" t="n">
        <v>45360</v>
      </c>
      <c r="D6588" t="inlineStr">
        <is>
          <t>ÖREBRO LÄN</t>
        </is>
      </c>
      <c r="E6588" t="inlineStr">
        <is>
          <t>ÖREBRO</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5657-2024</t>
        </is>
      </c>
      <c r="B6589" s="1" t="n">
        <v>45334</v>
      </c>
      <c r="C6589" s="1" t="n">
        <v>45360</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5661-2024</t>
        </is>
      </c>
      <c r="B6590" s="1" t="n">
        <v>45334</v>
      </c>
      <c r="C6590" s="1" t="n">
        <v>45360</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5550-2024</t>
        </is>
      </c>
      <c r="B6591" s="1" t="n">
        <v>45334</v>
      </c>
      <c r="C6591" s="1" t="n">
        <v>45360</v>
      </c>
      <c r="D6591" t="inlineStr">
        <is>
          <t>ÖREBRO LÄN</t>
        </is>
      </c>
      <c r="E6591" t="inlineStr">
        <is>
          <t>LINDESBERG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5581-2024</t>
        </is>
      </c>
      <c r="B6592" s="1" t="n">
        <v>45334</v>
      </c>
      <c r="C6592" s="1" t="n">
        <v>45360</v>
      </c>
      <c r="D6592" t="inlineStr">
        <is>
          <t>ÖREBRO LÄN</t>
        </is>
      </c>
      <c r="E6592" t="inlineStr">
        <is>
          <t>ÖREBRO</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5668-2024</t>
        </is>
      </c>
      <c r="B6593" s="1" t="n">
        <v>45334</v>
      </c>
      <c r="C6593" s="1" t="n">
        <v>45360</v>
      </c>
      <c r="D6593" t="inlineStr">
        <is>
          <t>ÖREBRO LÄN</t>
        </is>
      </c>
      <c r="E6593" t="inlineStr">
        <is>
          <t>HALLSBERG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5662-2024</t>
        </is>
      </c>
      <c r="B6594" s="1" t="n">
        <v>45334</v>
      </c>
      <c r="C6594" s="1" t="n">
        <v>45360</v>
      </c>
      <c r="D6594" t="inlineStr">
        <is>
          <t>ÖREBRO LÄN</t>
        </is>
      </c>
      <c r="E6594" t="inlineStr">
        <is>
          <t>HALLSBERG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5674-2024</t>
        </is>
      </c>
      <c r="B6595" s="1" t="n">
        <v>45334</v>
      </c>
      <c r="C6595" s="1" t="n">
        <v>45360</v>
      </c>
      <c r="D6595" t="inlineStr">
        <is>
          <t>ÖREBRO LÄN</t>
        </is>
      </c>
      <c r="E6595" t="inlineStr">
        <is>
          <t>HALLSBERG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5764-2024</t>
        </is>
      </c>
      <c r="B6596" s="1" t="n">
        <v>45335</v>
      </c>
      <c r="C6596" s="1" t="n">
        <v>45360</v>
      </c>
      <c r="D6596" t="inlineStr">
        <is>
          <t>ÖREBRO LÄN</t>
        </is>
      </c>
      <c r="E6596" t="inlineStr">
        <is>
          <t>HÄLLEFORS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5795-2024</t>
        </is>
      </c>
      <c r="B6597" s="1" t="n">
        <v>45335</v>
      </c>
      <c r="C6597" s="1" t="n">
        <v>45360</v>
      </c>
      <c r="D6597" t="inlineStr">
        <is>
          <t>ÖREBRO LÄN</t>
        </is>
      </c>
      <c r="E6597" t="inlineStr">
        <is>
          <t>ÖREBRO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5813-2024</t>
        </is>
      </c>
      <c r="B6598" s="1" t="n">
        <v>45335</v>
      </c>
      <c r="C6598" s="1" t="n">
        <v>45360</v>
      </c>
      <c r="D6598" t="inlineStr">
        <is>
          <t>ÖREBRO LÄN</t>
        </is>
      </c>
      <c r="E6598" t="inlineStr">
        <is>
          <t>LINDESBERG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5762-2024</t>
        </is>
      </c>
      <c r="B6599" s="1" t="n">
        <v>45335</v>
      </c>
      <c r="C6599" s="1" t="n">
        <v>45360</v>
      </c>
      <c r="D6599" t="inlineStr">
        <is>
          <t>ÖREBRO LÄN</t>
        </is>
      </c>
      <c r="E6599" t="inlineStr">
        <is>
          <t>HÄLLEFORS</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5959-2024</t>
        </is>
      </c>
      <c r="B6600" s="1" t="n">
        <v>45336</v>
      </c>
      <c r="C6600" s="1" t="n">
        <v>45360</v>
      </c>
      <c r="D6600" t="inlineStr">
        <is>
          <t>ÖREBRO LÄN</t>
        </is>
      </c>
      <c r="E6600" t="inlineStr">
        <is>
          <t>LINDESBERG</t>
        </is>
      </c>
      <c r="F6600" t="inlineStr">
        <is>
          <t>Sveaskog</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5967-2024</t>
        </is>
      </c>
      <c r="B6601" s="1" t="n">
        <v>45336</v>
      </c>
      <c r="C6601" s="1" t="n">
        <v>45360</v>
      </c>
      <c r="D6601" t="inlineStr">
        <is>
          <t>ÖREBRO LÄN</t>
        </is>
      </c>
      <c r="E6601" t="inlineStr">
        <is>
          <t>LINDESBERG</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5968-2024</t>
        </is>
      </c>
      <c r="B6602" s="1" t="n">
        <v>45336</v>
      </c>
      <c r="C6602" s="1" t="n">
        <v>45360</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45360</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6161-2024</t>
        </is>
      </c>
      <c r="B6604" s="1" t="n">
        <v>45337</v>
      </c>
      <c r="C6604" s="1" t="n">
        <v>45360</v>
      </c>
      <c r="D6604" t="inlineStr">
        <is>
          <t>ÖREBRO LÄN</t>
        </is>
      </c>
      <c r="E6604" t="inlineStr">
        <is>
          <t>LINDESBERG</t>
        </is>
      </c>
      <c r="F6604" t="inlineStr">
        <is>
          <t>Sveaskog</t>
        </is>
      </c>
      <c r="G6604" t="n">
        <v>13.3</v>
      </c>
      <c r="H6604" t="n">
        <v>0</v>
      </c>
      <c r="I6604" t="n">
        <v>0</v>
      </c>
      <c r="J6604" t="n">
        <v>0</v>
      </c>
      <c r="K6604" t="n">
        <v>0</v>
      </c>
      <c r="L6604" t="n">
        <v>0</v>
      </c>
      <c r="M6604" t="n">
        <v>0</v>
      </c>
      <c r="N6604" t="n">
        <v>0</v>
      </c>
      <c r="O6604" t="n">
        <v>0</v>
      </c>
      <c r="P6604" t="n">
        <v>0</v>
      </c>
      <c r="Q6604" t="n">
        <v>0</v>
      </c>
      <c r="R6604" s="2" t="inlineStr"/>
    </row>
    <row r="6605" ht="15" customHeight="1">
      <c r="A6605" t="inlineStr">
        <is>
          <t>A 6181-2024</t>
        </is>
      </c>
      <c r="B6605" s="1" t="n">
        <v>45337</v>
      </c>
      <c r="C6605" s="1" t="n">
        <v>45360</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6193-2024</t>
        </is>
      </c>
      <c r="B6606" s="1" t="n">
        <v>45337</v>
      </c>
      <c r="C6606" s="1" t="n">
        <v>45360</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6240-2024</t>
        </is>
      </c>
      <c r="B6607" s="1" t="n">
        <v>45337</v>
      </c>
      <c r="C6607" s="1" t="n">
        <v>45360</v>
      </c>
      <c r="D6607" t="inlineStr">
        <is>
          <t>ÖREBRO LÄN</t>
        </is>
      </c>
      <c r="E6607" t="inlineStr">
        <is>
          <t>DEGERFORS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6178-2024</t>
        </is>
      </c>
      <c r="B6608" s="1" t="n">
        <v>45337</v>
      </c>
      <c r="C6608" s="1" t="n">
        <v>45360</v>
      </c>
      <c r="D6608" t="inlineStr">
        <is>
          <t>ÖREBRO LÄN</t>
        </is>
      </c>
      <c r="E6608" t="inlineStr">
        <is>
          <t>LAXÅ</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6195-2024</t>
        </is>
      </c>
      <c r="B6609" s="1" t="n">
        <v>45337</v>
      </c>
      <c r="C6609" s="1" t="n">
        <v>45360</v>
      </c>
      <c r="D6609" t="inlineStr">
        <is>
          <t>ÖREBRO LÄN</t>
        </is>
      </c>
      <c r="E6609" t="inlineStr">
        <is>
          <t>DEGERFORS</t>
        </is>
      </c>
      <c r="F6609" t="inlineStr">
        <is>
          <t>Sveaskog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6255-2024</t>
        </is>
      </c>
      <c r="B6610" s="1" t="n">
        <v>45337</v>
      </c>
      <c r="C6610" s="1" t="n">
        <v>45360</v>
      </c>
      <c r="D6610" t="inlineStr">
        <is>
          <t>ÖREBRO LÄN</t>
        </is>
      </c>
      <c r="E6610" t="inlineStr">
        <is>
          <t>HALLSBERG</t>
        </is>
      </c>
      <c r="F6610" t="inlineStr">
        <is>
          <t>Övriga Aktiebolag</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6305-2024</t>
        </is>
      </c>
      <c r="B6611" s="1" t="n">
        <v>45338</v>
      </c>
      <c r="C6611" s="1" t="n">
        <v>45360</v>
      </c>
      <c r="D6611" t="inlineStr">
        <is>
          <t>ÖREBRO LÄN</t>
        </is>
      </c>
      <c r="E6611" t="inlineStr">
        <is>
          <t>LAXÅ</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6299-2024</t>
        </is>
      </c>
      <c r="B6612" s="1" t="n">
        <v>45338</v>
      </c>
      <c r="C6612" s="1" t="n">
        <v>45360</v>
      </c>
      <c r="D6612" t="inlineStr">
        <is>
          <t>ÖREBRO LÄN</t>
        </is>
      </c>
      <c r="E6612" t="inlineStr">
        <is>
          <t>LAXÅ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6315-2024</t>
        </is>
      </c>
      <c r="B6613" s="1" t="n">
        <v>45338</v>
      </c>
      <c r="C6613" s="1" t="n">
        <v>45360</v>
      </c>
      <c r="D6613" t="inlineStr">
        <is>
          <t>ÖREBRO LÄN</t>
        </is>
      </c>
      <c r="E6613" t="inlineStr">
        <is>
          <t>KUMLA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6379-2024</t>
        </is>
      </c>
      <c r="B6614" s="1" t="n">
        <v>45338</v>
      </c>
      <c r="C6614" s="1" t="n">
        <v>45360</v>
      </c>
      <c r="D6614" t="inlineStr">
        <is>
          <t>ÖREBRO LÄN</t>
        </is>
      </c>
      <c r="E6614" t="inlineStr">
        <is>
          <t>NORA</t>
        </is>
      </c>
      <c r="F6614" t="inlineStr">
        <is>
          <t>Kommuner</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6294-2024</t>
        </is>
      </c>
      <c r="B6615" s="1" t="n">
        <v>45338</v>
      </c>
      <c r="C6615" s="1" t="n">
        <v>45360</v>
      </c>
      <c r="D6615" t="inlineStr">
        <is>
          <t>ÖREBRO LÄN</t>
        </is>
      </c>
      <c r="E6615" t="inlineStr">
        <is>
          <t>LAXÅ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6310-2024</t>
        </is>
      </c>
      <c r="B6616" s="1" t="n">
        <v>45338</v>
      </c>
      <c r="C6616" s="1" t="n">
        <v>45360</v>
      </c>
      <c r="D6616" t="inlineStr">
        <is>
          <t>ÖREBRO LÄN</t>
        </is>
      </c>
      <c r="E6616" t="inlineStr">
        <is>
          <t>LJUSNARSBERG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6350-2024</t>
        </is>
      </c>
      <c r="B6617" s="1" t="n">
        <v>45338</v>
      </c>
      <c r="C6617" s="1" t="n">
        <v>45360</v>
      </c>
      <c r="D6617" t="inlineStr">
        <is>
          <t>ÖREBRO LÄN</t>
        </is>
      </c>
      <c r="E6617" t="inlineStr">
        <is>
          <t>NORA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45360</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6394-2024</t>
        </is>
      </c>
      <c r="B6619" s="1" t="n">
        <v>45338</v>
      </c>
      <c r="C6619" s="1" t="n">
        <v>45360</v>
      </c>
      <c r="D6619" t="inlineStr">
        <is>
          <t>ÖREBRO LÄN</t>
        </is>
      </c>
      <c r="E6619" t="inlineStr">
        <is>
          <t>DEGERFORS</t>
        </is>
      </c>
      <c r="F6619" t="inlineStr">
        <is>
          <t>Sveaskog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6300-2024</t>
        </is>
      </c>
      <c r="B6620" s="1" t="n">
        <v>45338</v>
      </c>
      <c r="C6620" s="1" t="n">
        <v>45360</v>
      </c>
      <c r="D6620" t="inlineStr">
        <is>
          <t>ÖREBRO LÄN</t>
        </is>
      </c>
      <c r="E6620" t="inlineStr">
        <is>
          <t>LAXÅ</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6308-2024</t>
        </is>
      </c>
      <c r="B6621" s="1" t="n">
        <v>45338</v>
      </c>
      <c r="C6621" s="1" t="n">
        <v>45360</v>
      </c>
      <c r="D6621" t="inlineStr">
        <is>
          <t>ÖREBRO LÄN</t>
        </is>
      </c>
      <c r="E6621" t="inlineStr">
        <is>
          <t>LAXÅ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6387-2024</t>
        </is>
      </c>
      <c r="B6622" s="1" t="n">
        <v>45338</v>
      </c>
      <c r="C6622" s="1" t="n">
        <v>45360</v>
      </c>
      <c r="D6622" t="inlineStr">
        <is>
          <t>ÖREBRO LÄN</t>
        </is>
      </c>
      <c r="E6622" t="inlineStr">
        <is>
          <t>DEGERFORS</t>
        </is>
      </c>
      <c r="F6622" t="inlineStr">
        <is>
          <t>Sveaskog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6452-2024</t>
        </is>
      </c>
      <c r="B6623" s="1" t="n">
        <v>45338</v>
      </c>
      <c r="C6623" s="1" t="n">
        <v>45360</v>
      </c>
      <c r="D6623" t="inlineStr">
        <is>
          <t>ÖREBRO LÄN</t>
        </is>
      </c>
      <c r="E6623" t="inlineStr">
        <is>
          <t>LAXÅ</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6470-2024</t>
        </is>
      </c>
      <c r="B6624" s="1" t="n">
        <v>45338</v>
      </c>
      <c r="C6624" s="1" t="n">
        <v>45360</v>
      </c>
      <c r="D6624" t="inlineStr">
        <is>
          <t>ÖREBRO LÄN</t>
        </is>
      </c>
      <c r="E6624" t="inlineStr">
        <is>
          <t>LINDESBERG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6856-2024</t>
        </is>
      </c>
      <c r="B6625" s="1" t="n">
        <v>45338</v>
      </c>
      <c r="C6625" s="1" t="n">
        <v>45360</v>
      </c>
      <c r="D6625" t="inlineStr">
        <is>
          <t>ÖREBRO LÄN</t>
        </is>
      </c>
      <c r="E6625" t="inlineStr">
        <is>
          <t>LAXÅ</t>
        </is>
      </c>
      <c r="G6625" t="n">
        <v>11.1</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45360</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6586-2024</t>
        </is>
      </c>
      <c r="B6627" s="1" t="n">
        <v>45341</v>
      </c>
      <c r="C6627" s="1" t="n">
        <v>45360</v>
      </c>
      <c r="D6627" t="inlineStr">
        <is>
          <t>ÖREBRO LÄN</t>
        </is>
      </c>
      <c r="E6627" t="inlineStr">
        <is>
          <t>ÖREBRO</t>
        </is>
      </c>
      <c r="F6627" t="inlineStr">
        <is>
          <t>Övriga Aktiebolag</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6665-2024</t>
        </is>
      </c>
      <c r="B6628" s="1" t="n">
        <v>45341</v>
      </c>
      <c r="C6628" s="1" t="n">
        <v>45360</v>
      </c>
      <c r="D6628" t="inlineStr">
        <is>
          <t>ÖREBRO LÄN</t>
        </is>
      </c>
      <c r="E6628" t="inlineStr">
        <is>
          <t>KARLSKOGA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6604-2024</t>
        </is>
      </c>
      <c r="B6629" s="1" t="n">
        <v>45341</v>
      </c>
      <c r="C6629" s="1" t="n">
        <v>45360</v>
      </c>
      <c r="D6629" t="inlineStr">
        <is>
          <t>ÖREBRO LÄN</t>
        </is>
      </c>
      <c r="E6629" t="inlineStr">
        <is>
          <t>LINDESBERG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6763-2024</t>
        </is>
      </c>
      <c r="B6630" s="1" t="n">
        <v>45342</v>
      </c>
      <c r="C6630" s="1" t="n">
        <v>45360</v>
      </c>
      <c r="D6630" t="inlineStr">
        <is>
          <t>ÖREBRO LÄN</t>
        </is>
      </c>
      <c r="E6630" t="inlineStr">
        <is>
          <t>HALLSBERG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6843-2024</t>
        </is>
      </c>
      <c r="B6631" s="1" t="n">
        <v>45342</v>
      </c>
      <c r="C6631" s="1" t="n">
        <v>45360</v>
      </c>
      <c r="D6631" t="inlineStr">
        <is>
          <t>ÖREBRO LÄN</t>
        </is>
      </c>
      <c r="E6631" t="inlineStr">
        <is>
          <t>LEKEBERG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6879-2024</t>
        </is>
      </c>
      <c r="B6632" s="1" t="n">
        <v>45342</v>
      </c>
      <c r="C6632" s="1" t="n">
        <v>45360</v>
      </c>
      <c r="D6632" t="inlineStr">
        <is>
          <t>ÖREBRO LÄN</t>
        </is>
      </c>
      <c r="E6632" t="inlineStr">
        <is>
          <t>ÖREBRO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7026-2024</t>
        </is>
      </c>
      <c r="B6633" s="1" t="n">
        <v>45343</v>
      </c>
      <c r="C6633" s="1" t="n">
        <v>45360</v>
      </c>
      <c r="D6633" t="inlineStr">
        <is>
          <t>ÖREBRO LÄN</t>
        </is>
      </c>
      <c r="E6633" t="inlineStr">
        <is>
          <t>LINDESBERG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6924-2024</t>
        </is>
      </c>
      <c r="B6634" s="1" t="n">
        <v>45343</v>
      </c>
      <c r="C6634" s="1" t="n">
        <v>45360</v>
      </c>
      <c r="D6634" t="inlineStr">
        <is>
          <t>ÖREBRO LÄN</t>
        </is>
      </c>
      <c r="E6634" t="inlineStr">
        <is>
          <t>ASKERSUND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45360</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45360</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45360</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7207-2024</t>
        </is>
      </c>
      <c r="B6638" s="1" t="n">
        <v>45344</v>
      </c>
      <c r="C6638" s="1" t="n">
        <v>45360</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7211-2024</t>
        </is>
      </c>
      <c r="B6639" s="1" t="n">
        <v>45344</v>
      </c>
      <c r="C6639" s="1" t="n">
        <v>45360</v>
      </c>
      <c r="D6639" t="inlineStr">
        <is>
          <t>ÖREBRO LÄN</t>
        </is>
      </c>
      <c r="E6639" t="inlineStr">
        <is>
          <t>LINDESBERG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7132-2024</t>
        </is>
      </c>
      <c r="B6640" s="1" t="n">
        <v>45344</v>
      </c>
      <c r="C6640" s="1" t="n">
        <v>45360</v>
      </c>
      <c r="D6640" t="inlineStr">
        <is>
          <t>ÖREBRO LÄN</t>
        </is>
      </c>
      <c r="E6640" t="inlineStr">
        <is>
          <t>LAXÅ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7137-2024</t>
        </is>
      </c>
      <c r="B6641" s="1" t="n">
        <v>45344</v>
      </c>
      <c r="C6641" s="1" t="n">
        <v>45360</v>
      </c>
      <c r="D6641" t="inlineStr">
        <is>
          <t>ÖREBRO LÄN</t>
        </is>
      </c>
      <c r="E6641" t="inlineStr">
        <is>
          <t>LAXÅ</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7187-2024</t>
        </is>
      </c>
      <c r="B6642" s="1" t="n">
        <v>45344</v>
      </c>
      <c r="C6642" s="1" t="n">
        <v>45360</v>
      </c>
      <c r="D6642" t="inlineStr">
        <is>
          <t>ÖREBRO LÄN</t>
        </is>
      </c>
      <c r="E6642" t="inlineStr">
        <is>
          <t>ASKERSUND</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7201-2024</t>
        </is>
      </c>
      <c r="B6643" s="1" t="n">
        <v>45344</v>
      </c>
      <c r="C6643" s="1" t="n">
        <v>45360</v>
      </c>
      <c r="D6643" t="inlineStr">
        <is>
          <t>ÖREBRO LÄN</t>
        </is>
      </c>
      <c r="E6643" t="inlineStr">
        <is>
          <t>LINDESBERG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7419-2024</t>
        </is>
      </c>
      <c r="B6644" s="1" t="n">
        <v>45345</v>
      </c>
      <c r="C6644" s="1" t="n">
        <v>45360</v>
      </c>
      <c r="D6644" t="inlineStr">
        <is>
          <t>ÖREBRO LÄN</t>
        </is>
      </c>
      <c r="E6644" t="inlineStr">
        <is>
          <t>KARLSKOGA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7426-2024</t>
        </is>
      </c>
      <c r="B6645" s="1" t="n">
        <v>45345</v>
      </c>
      <c r="C6645" s="1" t="n">
        <v>45360</v>
      </c>
      <c r="D6645" t="inlineStr">
        <is>
          <t>ÖREBRO LÄN</t>
        </is>
      </c>
      <c r="E6645" t="inlineStr">
        <is>
          <t>LEKEBERG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7492-2024</t>
        </is>
      </c>
      <c r="B6646" s="1" t="n">
        <v>45346</v>
      </c>
      <c r="C6646" s="1" t="n">
        <v>45360</v>
      </c>
      <c r="D6646" t="inlineStr">
        <is>
          <t>ÖREBRO LÄN</t>
        </is>
      </c>
      <c r="E6646" t="inlineStr">
        <is>
          <t>HALLSBERG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7499-2024</t>
        </is>
      </c>
      <c r="B6647" s="1" t="n">
        <v>45347</v>
      </c>
      <c r="C6647" s="1" t="n">
        <v>45360</v>
      </c>
      <c r="D6647" t="inlineStr">
        <is>
          <t>ÖREBRO LÄN</t>
        </is>
      </c>
      <c r="E6647" t="inlineStr">
        <is>
          <t>LJUSNARSBERG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7544-2024</t>
        </is>
      </c>
      <c r="B6648" s="1" t="n">
        <v>45348</v>
      </c>
      <c r="C6648" s="1" t="n">
        <v>45360</v>
      </c>
      <c r="D6648" t="inlineStr">
        <is>
          <t>ÖREBRO LÄN</t>
        </is>
      </c>
      <c r="E6648" t="inlineStr">
        <is>
          <t>ASKERSUND</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7579-2024</t>
        </is>
      </c>
      <c r="B6649" s="1" t="n">
        <v>45348</v>
      </c>
      <c r="C6649" s="1" t="n">
        <v>45360</v>
      </c>
      <c r="D6649" t="inlineStr">
        <is>
          <t>ÖREBRO LÄN</t>
        </is>
      </c>
      <c r="E6649" t="inlineStr">
        <is>
          <t>NORA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7591-2024</t>
        </is>
      </c>
      <c r="B6650" s="1" t="n">
        <v>45348</v>
      </c>
      <c r="C6650" s="1" t="n">
        <v>45360</v>
      </c>
      <c r="D6650" t="inlineStr">
        <is>
          <t>ÖREBRO LÄN</t>
        </is>
      </c>
      <c r="E6650" t="inlineStr">
        <is>
          <t>NORA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7611-2024</t>
        </is>
      </c>
      <c r="B6651" s="1" t="n">
        <v>45348</v>
      </c>
      <c r="C6651" s="1" t="n">
        <v>45360</v>
      </c>
      <c r="D6651" t="inlineStr">
        <is>
          <t>ÖREBRO LÄN</t>
        </is>
      </c>
      <c r="E6651" t="inlineStr">
        <is>
          <t>ÖREBRO</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7608-2024</t>
        </is>
      </c>
      <c r="B6652" s="1" t="n">
        <v>45348</v>
      </c>
      <c r="C6652" s="1" t="n">
        <v>45360</v>
      </c>
      <c r="D6652" t="inlineStr">
        <is>
          <t>ÖREBRO LÄN</t>
        </is>
      </c>
      <c r="E6652" t="inlineStr">
        <is>
          <t>ÖREBRO</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7609-2024</t>
        </is>
      </c>
      <c r="B6653" s="1" t="n">
        <v>45348</v>
      </c>
      <c r="C6653" s="1" t="n">
        <v>45360</v>
      </c>
      <c r="D6653" t="inlineStr">
        <is>
          <t>ÖREBRO LÄN</t>
        </is>
      </c>
      <c r="E6653" t="inlineStr">
        <is>
          <t>ÖREBRO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7661-2024</t>
        </is>
      </c>
      <c r="B6654" s="1" t="n">
        <v>45348</v>
      </c>
      <c r="C6654" s="1" t="n">
        <v>45360</v>
      </c>
      <c r="D6654" t="inlineStr">
        <is>
          <t>ÖREBRO LÄN</t>
        </is>
      </c>
      <c r="E6654" t="inlineStr">
        <is>
          <t>LINDESBERG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7634-2024</t>
        </is>
      </c>
      <c r="B6655" s="1" t="n">
        <v>45348</v>
      </c>
      <c r="C6655" s="1" t="n">
        <v>45360</v>
      </c>
      <c r="D6655" t="inlineStr">
        <is>
          <t>ÖREBRO LÄN</t>
        </is>
      </c>
      <c r="E6655" t="inlineStr">
        <is>
          <t>ÖREBRO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7788-2024</t>
        </is>
      </c>
      <c r="B6656" s="1" t="n">
        <v>45349</v>
      </c>
      <c r="C6656" s="1" t="n">
        <v>45360</v>
      </c>
      <c r="D6656" t="inlineStr">
        <is>
          <t>ÖREBRO LÄN</t>
        </is>
      </c>
      <c r="E6656" t="inlineStr">
        <is>
          <t>HALLSBERG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7802-2024</t>
        </is>
      </c>
      <c r="B6657" s="1" t="n">
        <v>45349</v>
      </c>
      <c r="C6657" s="1" t="n">
        <v>45360</v>
      </c>
      <c r="D6657" t="inlineStr">
        <is>
          <t>ÖREBRO LÄN</t>
        </is>
      </c>
      <c r="E6657" t="inlineStr">
        <is>
          <t>HALLSBERG</t>
        </is>
      </c>
      <c r="F6657" t="inlineStr">
        <is>
          <t>Allmännings- och besparingsskogar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7784-2024</t>
        </is>
      </c>
      <c r="B6658" s="1" t="n">
        <v>45349</v>
      </c>
      <c r="C6658" s="1" t="n">
        <v>45360</v>
      </c>
      <c r="D6658" t="inlineStr">
        <is>
          <t>ÖREBRO LÄN</t>
        </is>
      </c>
      <c r="E6658" t="inlineStr">
        <is>
          <t>HALLSBERG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7932-2024</t>
        </is>
      </c>
      <c r="B6659" s="1" t="n">
        <v>45349</v>
      </c>
      <c r="C6659" s="1" t="n">
        <v>45360</v>
      </c>
      <c r="D6659" t="inlineStr">
        <is>
          <t>ÖREBRO LÄN</t>
        </is>
      </c>
      <c r="E6659" t="inlineStr">
        <is>
          <t>LAXÅ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45360</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8005-2024</t>
        </is>
      </c>
      <c r="B6661" s="1" t="n">
        <v>45350</v>
      </c>
      <c r="C6661" s="1" t="n">
        <v>45360</v>
      </c>
      <c r="D6661" t="inlineStr">
        <is>
          <t>ÖREBRO LÄN</t>
        </is>
      </c>
      <c r="E6661" t="inlineStr">
        <is>
          <t>ÖREBRO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8072-2024</t>
        </is>
      </c>
      <c r="B6662" s="1" t="n">
        <v>45351</v>
      </c>
      <c r="C6662" s="1" t="n">
        <v>45360</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8104-2024</t>
        </is>
      </c>
      <c r="B6663" s="1" t="n">
        <v>45351</v>
      </c>
      <c r="C6663" s="1" t="n">
        <v>45360</v>
      </c>
      <c r="D6663" t="inlineStr">
        <is>
          <t>ÖREBRO LÄN</t>
        </is>
      </c>
      <c r="E6663" t="inlineStr">
        <is>
          <t>DEGERFORS</t>
        </is>
      </c>
      <c r="F6663" t="inlineStr">
        <is>
          <t>Sveaskog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8059-2024</t>
        </is>
      </c>
      <c r="B6664" s="1" t="n">
        <v>45351</v>
      </c>
      <c r="C6664" s="1" t="n">
        <v>45360</v>
      </c>
      <c r="D6664" t="inlineStr">
        <is>
          <t>ÖREBRO LÄN</t>
        </is>
      </c>
      <c r="E6664" t="inlineStr">
        <is>
          <t>DEGERFORS</t>
        </is>
      </c>
      <c r="F6664" t="inlineStr">
        <is>
          <t>Sveaskog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8062-2024</t>
        </is>
      </c>
      <c r="B6665" s="1" t="n">
        <v>45351</v>
      </c>
      <c r="C6665" s="1" t="n">
        <v>45360</v>
      </c>
      <c r="D6665" t="inlineStr">
        <is>
          <t>ÖREBRO LÄN</t>
        </is>
      </c>
      <c r="E6665" t="inlineStr">
        <is>
          <t>DEGERFORS</t>
        </is>
      </c>
      <c r="F6665" t="inlineStr">
        <is>
          <t>Sveaskog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8074-2024</t>
        </is>
      </c>
      <c r="B6666" s="1" t="n">
        <v>45351</v>
      </c>
      <c r="C6666" s="1" t="n">
        <v>45360</v>
      </c>
      <c r="D6666" t="inlineStr">
        <is>
          <t>ÖREBRO LÄN</t>
        </is>
      </c>
      <c r="E6666" t="inlineStr">
        <is>
          <t>DEGERFORS</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8063-2024</t>
        </is>
      </c>
      <c r="B6667" s="1" t="n">
        <v>45351</v>
      </c>
      <c r="C6667" s="1" t="n">
        <v>45360</v>
      </c>
      <c r="D6667" t="inlineStr">
        <is>
          <t>ÖREBRO LÄN</t>
        </is>
      </c>
      <c r="E6667" t="inlineStr">
        <is>
          <t>DEGERFORS</t>
        </is>
      </c>
      <c r="F6667" t="inlineStr">
        <is>
          <t>Sveaskog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8075-2024</t>
        </is>
      </c>
      <c r="B6668" s="1" t="n">
        <v>45351</v>
      </c>
      <c r="C6668" s="1" t="n">
        <v>45360</v>
      </c>
      <c r="D6668" t="inlineStr">
        <is>
          <t>ÖREBRO LÄN</t>
        </is>
      </c>
      <c r="E6668" t="inlineStr">
        <is>
          <t>DEGERFORS</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8106-2024</t>
        </is>
      </c>
      <c r="B6669" s="1" t="n">
        <v>45351</v>
      </c>
      <c r="C6669" s="1" t="n">
        <v>45360</v>
      </c>
      <c r="D6669" t="inlineStr">
        <is>
          <t>ÖREBRO LÄN</t>
        </is>
      </c>
      <c r="E6669" t="inlineStr">
        <is>
          <t>DEGERFORS</t>
        </is>
      </c>
      <c r="F6669" t="inlineStr">
        <is>
          <t>Sveaskog</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8105-2024</t>
        </is>
      </c>
      <c r="B6670" s="1" t="n">
        <v>45351</v>
      </c>
      <c r="C6670" s="1" t="n">
        <v>45360</v>
      </c>
      <c r="D6670" t="inlineStr">
        <is>
          <t>ÖREBRO LÄN</t>
        </is>
      </c>
      <c r="E6670" t="inlineStr">
        <is>
          <t>DEGERFORS</t>
        </is>
      </c>
      <c r="F6670" t="inlineStr">
        <is>
          <t>Sveaskog</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8295-2024</t>
        </is>
      </c>
      <c r="B6671" s="1" t="n">
        <v>45352</v>
      </c>
      <c r="C6671" s="1" t="n">
        <v>45360</v>
      </c>
      <c r="D6671" t="inlineStr">
        <is>
          <t>ÖREBRO LÄN</t>
        </is>
      </c>
      <c r="E6671" t="inlineStr">
        <is>
          <t>NORA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8292-2024</t>
        </is>
      </c>
      <c r="B6672" s="1" t="n">
        <v>45352</v>
      </c>
      <c r="C6672" s="1" t="n">
        <v>45360</v>
      </c>
      <c r="D6672" t="inlineStr">
        <is>
          <t>ÖREBRO LÄN</t>
        </is>
      </c>
      <c r="E6672" t="inlineStr">
        <is>
          <t>HÄLLEFORS</t>
        </is>
      </c>
      <c r="G6672" t="n">
        <v>15.6</v>
      </c>
      <c r="H6672" t="n">
        <v>0</v>
      </c>
      <c r="I6672" t="n">
        <v>0</v>
      </c>
      <c r="J6672" t="n">
        <v>0</v>
      </c>
      <c r="K6672" t="n">
        <v>0</v>
      </c>
      <c r="L6672" t="n">
        <v>0</v>
      </c>
      <c r="M6672" t="n">
        <v>0</v>
      </c>
      <c r="N6672" t="n">
        <v>0</v>
      </c>
      <c r="O6672" t="n">
        <v>0</v>
      </c>
      <c r="P6672" t="n">
        <v>0</v>
      </c>
      <c r="Q6672" t="n">
        <v>0</v>
      </c>
      <c r="R6672" s="2" t="inlineStr"/>
    </row>
    <row r="6673" ht="15" customHeight="1">
      <c r="A6673" t="inlineStr">
        <is>
          <t>A 8346-2024</t>
        </is>
      </c>
      <c r="B6673" s="1" t="n">
        <v>45352</v>
      </c>
      <c r="C6673" s="1" t="n">
        <v>45360</v>
      </c>
      <c r="D6673" t="inlineStr">
        <is>
          <t>ÖREBRO LÄN</t>
        </is>
      </c>
      <c r="E6673" t="inlineStr">
        <is>
          <t>HALLSBERG</t>
        </is>
      </c>
      <c r="F6673" t="inlineStr">
        <is>
          <t>Sveaskog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8331-2024</t>
        </is>
      </c>
      <c r="B6674" s="1" t="n">
        <v>45352</v>
      </c>
      <c r="C6674" s="1" t="n">
        <v>45360</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8347-2024</t>
        </is>
      </c>
      <c r="B6675" s="1" t="n">
        <v>45352</v>
      </c>
      <c r="C6675" s="1" t="n">
        <v>45360</v>
      </c>
      <c r="D6675" t="inlineStr">
        <is>
          <t>ÖREBRO LÄN</t>
        </is>
      </c>
      <c r="E6675" t="inlineStr">
        <is>
          <t>HALLSBERG</t>
        </is>
      </c>
      <c r="F6675" t="inlineStr">
        <is>
          <t>Sveaskog</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8466-2024</t>
        </is>
      </c>
      <c r="B6676" s="1" t="n">
        <v>45355</v>
      </c>
      <c r="C6676" s="1" t="n">
        <v>45360</v>
      </c>
      <c r="D6676" t="inlineStr">
        <is>
          <t>ÖREBRO LÄN</t>
        </is>
      </c>
      <c r="E6676" t="inlineStr">
        <is>
          <t>LINDESBERG</t>
        </is>
      </c>
      <c r="F6676" t="inlineStr">
        <is>
          <t>BillerudKorsnäs AB</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8556-2024</t>
        </is>
      </c>
      <c r="B6677" s="1" t="n">
        <v>45355</v>
      </c>
      <c r="C6677" s="1" t="n">
        <v>45360</v>
      </c>
      <c r="D6677" t="inlineStr">
        <is>
          <t>ÖREBRO LÄN</t>
        </is>
      </c>
      <c r="E6677" t="inlineStr">
        <is>
          <t>KARLSKOGA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8632-2024</t>
        </is>
      </c>
      <c r="B6678" s="1" t="n">
        <v>45355</v>
      </c>
      <c r="C6678" s="1" t="n">
        <v>45360</v>
      </c>
      <c r="D6678" t="inlineStr">
        <is>
          <t>ÖREBRO LÄN</t>
        </is>
      </c>
      <c r="E6678" t="inlineStr">
        <is>
          <t>LEKEBERG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8519-2024</t>
        </is>
      </c>
      <c r="B6679" s="1" t="n">
        <v>45355</v>
      </c>
      <c r="C6679" s="1" t="n">
        <v>45360</v>
      </c>
      <c r="D6679" t="inlineStr">
        <is>
          <t>ÖREBRO LÄN</t>
        </is>
      </c>
      <c r="E6679" t="inlineStr">
        <is>
          <t>HÄLLEFORS</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8612-2024</t>
        </is>
      </c>
      <c r="B6680" s="1" t="n">
        <v>45355</v>
      </c>
      <c r="C6680" s="1" t="n">
        <v>45360</v>
      </c>
      <c r="D6680" t="inlineStr">
        <is>
          <t>ÖREBRO LÄN</t>
        </is>
      </c>
      <c r="E6680" t="inlineStr">
        <is>
          <t>LINDESBERG</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8930-2024</t>
        </is>
      </c>
      <c r="B6681" s="1" t="n">
        <v>45357</v>
      </c>
      <c r="C6681" s="1" t="n">
        <v>45360</v>
      </c>
      <c r="D6681" t="inlineStr">
        <is>
          <t>ÖREBRO LÄN</t>
        </is>
      </c>
      <c r="E6681" t="inlineStr">
        <is>
          <t>ASKERSUND</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8925-2024</t>
        </is>
      </c>
      <c r="B6682" s="1" t="n">
        <v>45357</v>
      </c>
      <c r="C6682" s="1" t="n">
        <v>45360</v>
      </c>
      <c r="D6682" t="inlineStr">
        <is>
          <t>ÖREBRO LÄN</t>
        </is>
      </c>
      <c r="E6682" t="inlineStr">
        <is>
          <t>ASKERSUND</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9077-2024</t>
        </is>
      </c>
      <c r="B6683" s="1" t="n">
        <v>45357</v>
      </c>
      <c r="C6683" s="1" t="n">
        <v>45360</v>
      </c>
      <c r="D6683" t="inlineStr">
        <is>
          <t>ÖREBRO LÄN</t>
        </is>
      </c>
      <c r="E6683" t="inlineStr">
        <is>
          <t>LJUSNARSBERG</t>
        </is>
      </c>
      <c r="G6683" t="n">
        <v>12.7</v>
      </c>
      <c r="H6683" t="n">
        <v>0</v>
      </c>
      <c r="I6683" t="n">
        <v>0</v>
      </c>
      <c r="J6683" t="n">
        <v>0</v>
      </c>
      <c r="K6683" t="n">
        <v>0</v>
      </c>
      <c r="L6683" t="n">
        <v>0</v>
      </c>
      <c r="M6683" t="n">
        <v>0</v>
      </c>
      <c r="N6683" t="n">
        <v>0</v>
      </c>
      <c r="O6683" t="n">
        <v>0</v>
      </c>
      <c r="P6683" t="n">
        <v>0</v>
      </c>
      <c r="Q6683" t="n">
        <v>0</v>
      </c>
      <c r="R6683" s="2" t="inlineStr"/>
    </row>
    <row r="6684" ht="15" customHeight="1">
      <c r="A6684" t="inlineStr">
        <is>
          <t>A 9076-2024</t>
        </is>
      </c>
      <c r="B6684" s="1" t="n">
        <v>45357</v>
      </c>
      <c r="C6684" s="1" t="n">
        <v>45360</v>
      </c>
      <c r="D6684" t="inlineStr">
        <is>
          <t>ÖREBRO LÄN</t>
        </is>
      </c>
      <c r="E6684" t="inlineStr">
        <is>
          <t>LJUSNARSBERG</t>
        </is>
      </c>
      <c r="G6684" t="n">
        <v>15.8</v>
      </c>
      <c r="H6684" t="n">
        <v>0</v>
      </c>
      <c r="I6684" t="n">
        <v>0</v>
      </c>
      <c r="J6684" t="n">
        <v>0</v>
      </c>
      <c r="K6684" t="n">
        <v>0</v>
      </c>
      <c r="L6684" t="n">
        <v>0</v>
      </c>
      <c r="M6684" t="n">
        <v>0</v>
      </c>
      <c r="N6684" t="n">
        <v>0</v>
      </c>
      <c r="O6684" t="n">
        <v>0</v>
      </c>
      <c r="P6684" t="n">
        <v>0</v>
      </c>
      <c r="Q6684" t="n">
        <v>0</v>
      </c>
      <c r="R6684" s="2" t="inlineStr"/>
    </row>
    <row r="6685" ht="15" customHeight="1">
      <c r="A6685" t="inlineStr">
        <is>
          <t>A 8902-2024</t>
        </is>
      </c>
      <c r="B6685" s="1" t="n">
        <v>45357</v>
      </c>
      <c r="C6685" s="1" t="n">
        <v>45360</v>
      </c>
      <c r="D6685" t="inlineStr">
        <is>
          <t>ÖREBRO LÄN</t>
        </is>
      </c>
      <c r="E6685" t="inlineStr">
        <is>
          <t>LINDESBERG</t>
        </is>
      </c>
      <c r="F6685" t="inlineStr">
        <is>
          <t>Kommuner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9180-2024</t>
        </is>
      </c>
      <c r="B6686" s="1" t="n">
        <v>45358</v>
      </c>
      <c r="C6686" s="1" t="n">
        <v>45360</v>
      </c>
      <c r="D6686" t="inlineStr">
        <is>
          <t>ÖREBRO LÄN</t>
        </is>
      </c>
      <c r="E6686" t="inlineStr">
        <is>
          <t>KARLSKOGA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9312-2024</t>
        </is>
      </c>
      <c r="B6687" s="1" t="n">
        <v>45358</v>
      </c>
      <c r="C6687" s="1" t="n">
        <v>45360</v>
      </c>
      <c r="D6687" t="inlineStr">
        <is>
          <t>ÖREBRO LÄN</t>
        </is>
      </c>
      <c r="E6687" t="inlineStr">
        <is>
          <t>LAXÅ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9379-2024</t>
        </is>
      </c>
      <c r="B6688" s="1" t="n">
        <v>45359</v>
      </c>
      <c r="C6688" s="1" t="n">
        <v>45360</v>
      </c>
      <c r="D6688" t="inlineStr">
        <is>
          <t>ÖREBRO LÄN</t>
        </is>
      </c>
      <c r="E6688" t="inlineStr">
        <is>
          <t>ÖREBRO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9500-2024</t>
        </is>
      </c>
      <c r="B6689" s="1" t="n">
        <v>45359</v>
      </c>
      <c r="C6689" s="1" t="n">
        <v>45360</v>
      </c>
      <c r="D6689" t="inlineStr">
        <is>
          <t>ÖREBRO LÄN</t>
        </is>
      </c>
      <c r="E6689" t="inlineStr">
        <is>
          <t>LJUSNARSBERG</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9552-2024</t>
        </is>
      </c>
      <c r="B6690" s="1" t="n">
        <v>45360</v>
      </c>
      <c r="C6690" s="1" t="n">
        <v>45360</v>
      </c>
      <c r="D6690" t="inlineStr">
        <is>
          <t>ÖREBRO LÄN</t>
        </is>
      </c>
      <c r="E6690" t="inlineStr">
        <is>
          <t>LINDESBERG</t>
        </is>
      </c>
      <c r="F6690" t="inlineStr">
        <is>
          <t>Sveaskog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9551-2024</t>
        </is>
      </c>
      <c r="B6691" s="1" t="n">
        <v>45360</v>
      </c>
      <c r="C6691" s="1" t="n">
        <v>45360</v>
      </c>
      <c r="D6691" t="inlineStr">
        <is>
          <t>ÖREBRO LÄN</t>
        </is>
      </c>
      <c r="E6691" t="inlineStr">
        <is>
          <t>LINDESBERG</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9458-2024</t>
        </is>
      </c>
      <c r="B6692" s="1" t="n">
        <v>45359</v>
      </c>
      <c r="C6692" s="1" t="n">
        <v>45360</v>
      </c>
      <c r="D6692" t="inlineStr">
        <is>
          <t>ÖREBRO LÄN</t>
        </is>
      </c>
      <c r="E6692" t="inlineStr">
        <is>
          <t>ÖREBRO</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9513-2024</t>
        </is>
      </c>
      <c r="B6693" s="1" t="n">
        <v>45359</v>
      </c>
      <c r="C6693" s="1" t="n">
        <v>45360</v>
      </c>
      <c r="D6693" t="inlineStr">
        <is>
          <t>ÖREBRO LÄN</t>
        </is>
      </c>
      <c r="E6693" t="inlineStr">
        <is>
          <t>LJUSNARSBERG</t>
        </is>
      </c>
      <c r="G6693" t="n">
        <v>1.7</v>
      </c>
      <c r="H6693" t="n">
        <v>0</v>
      </c>
      <c r="I6693" t="n">
        <v>0</v>
      </c>
      <c r="J6693" t="n">
        <v>0</v>
      </c>
      <c r="K6693" t="n">
        <v>0</v>
      </c>
      <c r="L6693" t="n">
        <v>0</v>
      </c>
      <c r="M6693" t="n">
        <v>0</v>
      </c>
      <c r="N6693" t="n">
        <v>0</v>
      </c>
      <c r="O6693" t="n">
        <v>0</v>
      </c>
      <c r="P6693" t="n">
        <v>0</v>
      </c>
      <c r="Q6693" t="n">
        <v>0</v>
      </c>
      <c r="R6693" s="2" t="inlineStr"/>
    </row>
    <row r="6694">
      <c r="A6694" t="inlineStr">
        <is>
          <t>A 9550-2024</t>
        </is>
      </c>
      <c r="B6694" s="1" t="n">
        <v>45359</v>
      </c>
      <c r="C6694" s="1" t="n">
        <v>45360</v>
      </c>
      <c r="D6694" t="inlineStr">
        <is>
          <t>ÖREBRO LÄN</t>
        </is>
      </c>
      <c r="E6694" t="inlineStr">
        <is>
          <t>LINDESBERG</t>
        </is>
      </c>
      <c r="F6694" t="inlineStr">
        <is>
          <t>Sveaskog</t>
        </is>
      </c>
      <c r="G6694" t="n">
        <v>3.2</v>
      </c>
      <c r="H6694" t="n">
        <v>0</v>
      </c>
      <c r="I6694" t="n">
        <v>0</v>
      </c>
      <c r="J6694" t="n">
        <v>0</v>
      </c>
      <c r="K6694" t="n">
        <v>0</v>
      </c>
      <c r="L6694" t="n">
        <v>0</v>
      </c>
      <c r="M6694" t="n">
        <v>0</v>
      </c>
      <c r="N6694" t="n">
        <v>0</v>
      </c>
      <c r="O6694" t="n">
        <v>0</v>
      </c>
      <c r="P6694" t="n">
        <v>0</v>
      </c>
      <c r="Q6694" t="n">
        <v>0</v>
      </c>
      <c r="R66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2024-03-09T14:02:15Z</dcterms:created>
  <dcterms:modified xmlns:dcterms="http://purl.org/dc/terms/" xmlns:xsi="http://www.w3.org/2001/XMLSchema-instance" xsi:type="dcterms:W3CDTF">2024-03-09T14:02:27Z</dcterms:modified>
</cp:coreProperties>
</file>